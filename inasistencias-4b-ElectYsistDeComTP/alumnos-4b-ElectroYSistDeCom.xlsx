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<sst xmlns="http://schemas.openxmlformats.org/spreadsheetml/2006/main" count="621" uniqueCount="104">
  <si>
    <t xml:space="preserve">nro</t>
  </si>
  <si>
    <t xml:space="preserve">Nombre</t>
  </si>
  <si>
    <t xml:space="preserve">Apellido(s)</t>
  </si>
  <si>
    <t xml:space="preserve">Grupos</t>
  </si>
  <si>
    <t xml:space="preserve">obs</t>
  </si>
  <si>
    <t xml:space="preserve">presentes</t>
  </si>
  <si>
    <t xml:space="preserve">ausentes</t>
  </si>
  <si>
    <t xml:space="preserve">total</t>
  </si>
  <si>
    <t xml:space="preserve">nota</t>
  </si>
  <si>
    <t xml:space="preserve">Val Ped</t>
  </si>
  <si>
    <t xml:space="preserve">Nota-EC</t>
  </si>
  <si>
    <t xml:space="preserve">nota proyecto</t>
  </si>
  <si>
    <t xml:space="preserve">Ec</t>
  </si>
  <si>
    <t xml:space="preserve">proy</t>
  </si>
  <si>
    <t xml:space="preserve">Victoria</t>
  </si>
  <si>
    <t xml:space="preserve">ANDRADA BASCOPE</t>
  </si>
  <si>
    <t xml:space="preserve">1-Hidroelectrica</t>
  </si>
  <si>
    <t xml:space="preserve">P</t>
  </si>
  <si>
    <t xml:space="preserve">traer el prototipo</t>
  </si>
  <si>
    <t xml:space="preserve">no trajo, traer prototipo según el digubjo, con ladron de joules</t>
  </si>
  <si>
    <t xml:space="preserve">ladron de joules completo y andando y andando y soldado</t>
  </si>
  <si>
    <t xml:space="preserve">arreglar el ladron de joules, soldar el capacitor, colocar todo en cajita y probar en clase la parte</t>
  </si>
  <si>
    <t xml:space="preserve">emprolijar la cajita</t>
  </si>
  <si>
    <t xml:space="preserve">traer cajita, traer ladron de joules, video con todo andando</t>
  </si>
  <si>
    <t xml:space="preserve">probarlo a full</t>
  </si>
  <si>
    <t xml:space="preserve">Eugenia</t>
  </si>
  <si>
    <t xml:space="preserve">Barzaghi Martínez</t>
  </si>
  <si>
    <t xml:space="preserve">A</t>
  </si>
  <si>
    <t xml:space="preserve">Dylan Gaston</t>
  </si>
  <si>
    <t xml:space="preserve">CARABAJAL</t>
  </si>
  <si>
    <t xml:space="preserve">Tadeo Martin</t>
  </si>
  <si>
    <t xml:space="preserve">LAGOS</t>
  </si>
  <si>
    <t xml:space="preserve">Benicio Valentin</t>
  </si>
  <si>
    <t xml:space="preserve">LUNA SERRANO</t>
  </si>
  <si>
    <t xml:space="preserve">se vio en cuaderno</t>
  </si>
  <si>
    <t xml:space="preserve">Nicolás</t>
  </si>
  <si>
    <t xml:space="preserve">TISEYRA</t>
  </si>
  <si>
    <t xml:space="preserve">Zaira Ruth</t>
  </si>
  <si>
    <t xml:space="preserve">Chucusea Quiroga</t>
  </si>
  <si>
    <t xml:space="preserve">2-biomasa y eolica</t>
  </si>
  <si>
    <t xml:space="preserve">descompuesta</t>
  </si>
  <si>
    <t xml:space="preserve">van a traer las boterras, fotos</t>
  </si>
  <si>
    <t xml:space="preserve">no tenemos nada</t>
  </si>
  <si>
    <t xml:space="preserve">tienen que traer un informe, fotos</t>
  </si>
  <si>
    <t xml:space="preserve">soldar los componentes , todo unto en una cajita. llevar el modelo al video, si funciona mantenemos el 10</t>
  </si>
  <si>
    <t xml:space="preserve">traer un video donde se me mida con un tester la generacion de energia, ver de hacer un ladron de joules y un diodo</t>
  </si>
  <si>
    <t xml:space="preserve">armar la otra mitad del ladron y generar la tension prometida  y grabar video</t>
  </si>
  <si>
    <t xml:space="preserve">Julieta</t>
  </si>
  <si>
    <t xml:space="preserve">RODRIGUEZ MIÑO</t>
  </si>
  <si>
    <t xml:space="preserve">p</t>
  </si>
  <si>
    <t xml:space="preserve">Piden cambiar a energia eolica</t>
  </si>
  <si>
    <t xml:space="preserve">Lucas Emanuel</t>
  </si>
  <si>
    <t xml:space="preserve">SUÁREZ CESPEDES</t>
  </si>
  <si>
    <t xml:space="preserve">Santino Jonas</t>
  </si>
  <si>
    <t xml:space="preserve">CORREA</t>
  </si>
  <si>
    <t xml:space="preserve">3-solar</t>
  </si>
  <si>
    <t xml:space="preserve">traer panel solar , bateria de plomo</t>
  </si>
  <si>
    <t xml:space="preserve">no trajeron foto, para la proxima</t>
  </si>
  <si>
    <t xml:space="preserve">trajeron panel, controlaor, bateria, cables</t>
  </si>
  <si>
    <t xml:space="preserve">armar un video con la generacion y la carga de la bateria</t>
  </si>
  <si>
    <t xml:space="preserve">falta la carga de la bateria, agregar al video</t>
  </si>
  <si>
    <t xml:space="preserve">Farid Emir</t>
  </si>
  <si>
    <t xml:space="preserve">PEREYRA</t>
  </si>
  <si>
    <t xml:space="preserve">conseguir manual, formas de conexión</t>
  </si>
  <si>
    <t xml:space="preserve">Tobías Valentín</t>
  </si>
  <si>
    <t xml:space="preserve">SANTILLÁN GÜERCI</t>
  </si>
  <si>
    <t xml:space="preserve">O</t>
  </si>
  <si>
    <t xml:space="preserve">Ivan Delmenico</t>
  </si>
  <si>
    <t xml:space="preserve">DELMENICO</t>
  </si>
  <si>
    <t xml:space="preserve">4-pila de cobre y magnesio</t>
  </si>
  <si>
    <t xml:space="preserve">traer el material, para mostrar funcionamiento</t>
  </si>
  <si>
    <t xml:space="preserve"> traer el material, para mostrar funcionamiento x3</t>
  </si>
  <si>
    <t xml:space="preserve">armar un ladron de joules y por lo menos 3 tapers conectados en serie</t>
  </si>
  <si>
    <t xml:space="preserve">no trajo nada </t>
  </si>
  <si>
    <t xml:space="preserve"> no trajo nada</t>
  </si>
  <si>
    <t xml:space="preserve">probar liquidos, mejorar prototipo y ladron de joules, conectar led, le di toroide</t>
  </si>
  <si>
    <t xml:space="preserve">Paloma Marianella</t>
  </si>
  <si>
    <t xml:space="preserve">FARIAS RUIZ</t>
  </si>
  <si>
    <t xml:space="preserve">subir un prototipo </t>
  </si>
  <si>
    <t xml:space="preserve">León</t>
  </si>
  <si>
    <t xml:space="preserve">FERREYRA GARNERO</t>
  </si>
  <si>
    <t xml:space="preserve">Sophie Micaela</t>
  </si>
  <si>
    <t xml:space="preserve">LEMOS</t>
  </si>
  <si>
    <t xml:space="preserve">Axel Ian</t>
  </si>
  <si>
    <t xml:space="preserve">FLEITAS</t>
  </si>
  <si>
    <t xml:space="preserve">5-pizoelectricos</t>
  </si>
  <si>
    <t xml:space="preserve">Traer 3 pizo electricos coun una baldoza armada, ver tema ladron de joule</t>
  </si>
  <si>
    <t xml:space="preserve">no tenemos material</t>
  </si>
  <si>
    <t xml:space="preserve">probar baldoza con ladron de joules</t>
  </si>
  <si>
    <t xml:space="preserve">Thiago Ezquiel</t>
  </si>
  <si>
    <t xml:space="preserve">GOMEZ</t>
  </si>
  <si>
    <t xml:space="preserve">Mateo Bautista</t>
  </si>
  <si>
    <t xml:space="preserve">LESCANO</t>
  </si>
  <si>
    <t xml:space="preserve">Ezequiel Ricardo</t>
  </si>
  <si>
    <t xml:space="preserve">ZAPATA SANTOS</t>
  </si>
  <si>
    <t xml:space="preserve">presente</t>
  </si>
  <si>
    <t xml:space="preserve">media falta</t>
  </si>
  <si>
    <t xml:space="preserve">tarde</t>
  </si>
  <si>
    <t xml:space="preserve">Tarde</t>
  </si>
  <si>
    <t xml:space="preserve">1-material</t>
  </si>
  <si>
    <t xml:space="preserve">2-primera impresion</t>
  </si>
  <si>
    <t xml:space="preserve">3-leyde faraday</t>
  </si>
  <si>
    <t xml:space="preserve">asistencia</t>
  </si>
  <si>
    <t xml:space="preserve">valoracion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</si>
</sst>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000000"/>
        <sz val="12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6"/>
  <sheetViews>
    <sheetView showFormulas="false" showGridLines="true" showRowColHeaders="true" showZeros="true" rightToLeft="false" tabSelected="true" showOutlineSymbols="true" defaultGridColor="true" view="normal" topLeftCell="AS1" colorId="64" zoomScale="110" zoomScaleNormal="110" zoomScalePageLayoutView="100" workbookViewId="0">
      <selection pane="topLeft" activeCell="BA8" activeCellId="0" sqref="BA8"/>
    </sheetView>
  </sheetViews>
  <sheetFormatPr defaultColWidth="8.78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19.44"/>
    <col collapsed="false" customWidth="true" hidden="false" outlineLevel="0" max="4" min="4" style="1" width="31.19"/>
    <col collapsed="false" customWidth="true" hidden="true" outlineLevel="0" max="5" min="5" style="1" width="8.62"/>
    <col collapsed="false" customWidth="false" hidden="true" outlineLevel="0" max="11" min="6" style="1" width="8.79"/>
    <col collapsed="false" customWidth="true" hidden="true" outlineLevel="0" max="12" min="12" style="1" width="13.32"/>
    <col collapsed="false" customWidth="false" hidden="true" outlineLevel="0" max="22" min="13" style="1" width="8.79"/>
    <col collapsed="false" customWidth="true" hidden="true" outlineLevel="0" max="23" min="23" style="1" width="63.84"/>
    <col collapsed="false" customWidth="false" hidden="true" outlineLevel="0" max="25" min="24" style="1" width="8.79"/>
    <col collapsed="false" customWidth="true" hidden="true" outlineLevel="0" max="26" min="26" style="1" width="53.33"/>
    <col collapsed="false" customWidth="false" hidden="true" outlineLevel="0" max="28" min="27" style="1" width="8.79"/>
    <col collapsed="false" customWidth="true" hidden="true" outlineLevel="0" max="29" min="29" style="1" width="63.84"/>
    <col collapsed="false" customWidth="false" hidden="true" outlineLevel="0" max="31" min="30" style="1" width="8.79"/>
    <col collapsed="false" customWidth="true" hidden="true" outlineLevel="0" max="32" min="32" style="1" width="60.08"/>
    <col collapsed="false" customWidth="false" hidden="true" outlineLevel="0" max="35" min="33" style="1" width="8.79"/>
    <col collapsed="false" customWidth="true" hidden="true" outlineLevel="0" max="36" min="36" style="1" width="81.26"/>
    <col collapsed="false" customWidth="true" hidden="true" outlineLevel="0" max="37" min="37" style="1" width="18.33"/>
    <col collapsed="false" customWidth="true" hidden="true" outlineLevel="0" max="38" min="38" style="1" width="63.23"/>
    <col collapsed="false" customWidth="false" hidden="true" outlineLevel="0" max="40" min="39" style="1" width="8.79"/>
    <col collapsed="false" customWidth="true" hidden="true" outlineLevel="0" max="41" min="41" style="1" width="63.23"/>
    <col collapsed="false" customWidth="false" hidden="true" outlineLevel="0" max="43" min="42" style="1" width="8.79"/>
    <col collapsed="false" customWidth="true" hidden="false" outlineLevel="0" max="44" min="44" style="1" width="65.44"/>
    <col collapsed="false" customWidth="true" hidden="false" outlineLevel="0" max="48" min="48" style="1" width="10.58"/>
    <col collapsed="false" customWidth="true" hidden="false" outlineLevel="0" max="16384" min="16334" style="1" width="10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46093</v>
      </c>
      <c r="F1" s="2" t="n">
        <v>46108</v>
      </c>
      <c r="G1" s="2" t="n">
        <v>46122</v>
      </c>
      <c r="H1" s="2"/>
      <c r="I1" s="2" t="n">
        <v>46129</v>
      </c>
      <c r="J1" s="2"/>
      <c r="K1" s="2" t="n">
        <v>46136</v>
      </c>
      <c r="L1" s="2" t="s">
        <v>4</v>
      </c>
      <c r="M1" s="2" t="n">
        <v>46150</v>
      </c>
      <c r="N1" s="2" t="n">
        <v>46157</v>
      </c>
      <c r="O1" s="2" t="n">
        <v>46164</v>
      </c>
      <c r="P1" s="2" t="n">
        <v>46171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n">
        <v>46178</v>
      </c>
      <c r="W1" s="2" t="s">
        <v>4</v>
      </c>
      <c r="X1" s="2" t="n">
        <v>46185</v>
      </c>
      <c r="Y1" s="2" t="s">
        <v>8</v>
      </c>
      <c r="Z1" s="2" t="s">
        <v>4</v>
      </c>
      <c r="AA1" s="2" t="n">
        <v>46192</v>
      </c>
      <c r="AB1" s="2" t="s">
        <v>8</v>
      </c>
      <c r="AC1" s="2" t="s">
        <v>4</v>
      </c>
      <c r="AD1" s="2" t="n">
        <v>46199</v>
      </c>
      <c r="AE1" s="2" t="s">
        <v>8</v>
      </c>
      <c r="AF1" s="2" t="s">
        <v>4</v>
      </c>
      <c r="AG1" s="2" t="n">
        <v>46220</v>
      </c>
      <c r="AH1" s="2" t="n">
        <v>46241</v>
      </c>
      <c r="AI1" s="2" t="s">
        <v>4</v>
      </c>
      <c r="AJ1" s="2" t="n">
        <v>46227</v>
      </c>
      <c r="AK1" s="2" t="n">
        <v>46255</v>
      </c>
      <c r="AL1" s="2" t="s">
        <v>4</v>
      </c>
      <c r="AM1" s="2" t="n">
        <v>46262</v>
      </c>
      <c r="AN1" s="2" t="s">
        <v>8</v>
      </c>
      <c r="AO1" s="2" t="s">
        <v>4</v>
      </c>
      <c r="AP1" s="2" t="n">
        <v>46269</v>
      </c>
      <c r="AQ1" s="2" t="s">
        <v>8</v>
      </c>
      <c r="AR1" s="2" t="s">
        <v>4</v>
      </c>
      <c r="AS1" s="2" t="n">
        <v>46276</v>
      </c>
      <c r="AT1" s="2" t="n">
        <v>46283</v>
      </c>
      <c r="AU1" s="2" t="n">
        <v>46290</v>
      </c>
      <c r="AV1" s="2" t="s">
        <v>10</v>
      </c>
      <c r="AW1" s="2" t="s">
        <v>11</v>
      </c>
      <c r="AX1" s="2"/>
      <c r="AY1" s="2" t="n">
        <v>46297</v>
      </c>
      <c r="AZ1" s="2" t="s">
        <v>12</v>
      </c>
      <c r="BA1" s="2" t="s">
        <v>13</v>
      </c>
      <c r="BB1" s="2" t="n">
        <v>46304</v>
      </c>
      <c r="BC1" s="2" t="n">
        <v>46311</v>
      </c>
      <c r="BD1" s="2" t="n">
        <v>46318</v>
      </c>
      <c r="BE1" s="2" t="n">
        <v>46325</v>
      </c>
      <c r="BF1" s="2" t="n">
        <v>46332</v>
      </c>
      <c r="BG1" s="2" t="n">
        <v>46339</v>
      </c>
      <c r="BH1" s="2" t="n">
        <v>46346</v>
      </c>
      <c r="BI1" s="2" t="n">
        <v>46353</v>
      </c>
      <c r="BJ1" s="2" t="n">
        <v>46360</v>
      </c>
      <c r="BK1" s="2" t="n">
        <v>46367</v>
      </c>
      <c r="BL1" s="2" t="n">
        <v>46374</v>
      </c>
      <c r="BM1" s="2" t="n">
        <v>46381</v>
      </c>
    </row>
    <row r="2" customFormat="false" ht="15.65" hidden="false" customHeight="false" outlineLevel="0" collapsed="false">
      <c r="A2" s="1" t="n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3" t="s">
        <v>17</v>
      </c>
      <c r="G2" s="3" t="s">
        <v>17</v>
      </c>
      <c r="H2" s="3"/>
      <c r="I2" s="3" t="s">
        <v>17</v>
      </c>
      <c r="J2" s="3"/>
      <c r="K2" s="3" t="s">
        <v>17</v>
      </c>
      <c r="M2" s="3" t="s">
        <v>17</v>
      </c>
      <c r="N2" s="3" t="s">
        <v>17</v>
      </c>
      <c r="O2" s="3" t="s">
        <v>17</v>
      </c>
      <c r="P2" s="3" t="s">
        <v>17</v>
      </c>
      <c r="Q2" s="3" t="n">
        <f aca="false">COUNTIF(E2:P2,"P")</f>
        <v>9</v>
      </c>
      <c r="R2" s="3" t="n">
        <f aca="false">COUNTIF(E2:P2,"A")</f>
        <v>0</v>
      </c>
      <c r="S2" s="3" t="n">
        <f aca="false">SUM(Q2:R2)</f>
        <v>9</v>
      </c>
      <c r="T2" s="4" t="n">
        <f aca="false">ROUND(Q2*10/S2,0)</f>
        <v>10</v>
      </c>
      <c r="U2" s="4" t="str">
        <f aca="false">IF(T2&gt;6,"TEA",IF(T2&gt;3,"TEP","TED"))</f>
        <v>TEA</v>
      </c>
      <c r="V2" s="3" t="s">
        <v>17</v>
      </c>
      <c r="W2" s="3" t="s">
        <v>18</v>
      </c>
      <c r="X2" s="3" t="s">
        <v>17</v>
      </c>
      <c r="Y2" s="1" t="n">
        <v>9</v>
      </c>
      <c r="Z2" s="3" t="s">
        <v>19</v>
      </c>
      <c r="AA2" s="3" t="s">
        <v>17</v>
      </c>
      <c r="AB2" s="1" t="n">
        <v>9</v>
      </c>
      <c r="AC2" s="3" t="s">
        <v>20</v>
      </c>
      <c r="AD2" s="3" t="s">
        <v>17</v>
      </c>
      <c r="AE2" s="1" t="n">
        <v>7</v>
      </c>
      <c r="AF2" s="3" t="s">
        <v>20</v>
      </c>
      <c r="AG2" s="3" t="s">
        <v>17</v>
      </c>
      <c r="AH2" s="3" t="s">
        <v>17</v>
      </c>
      <c r="AI2" s="1" t="n">
        <v>8</v>
      </c>
      <c r="AJ2" s="3" t="s">
        <v>21</v>
      </c>
      <c r="AK2" s="1" t="n">
        <v>10</v>
      </c>
      <c r="AL2" s="1" t="s">
        <v>22</v>
      </c>
      <c r="AM2" s="3" t="s">
        <v>17</v>
      </c>
      <c r="AN2" s="1" t="n">
        <v>8</v>
      </c>
      <c r="AO2" s="3" t="s">
        <v>23</v>
      </c>
      <c r="AP2" s="1" t="s">
        <v>17</v>
      </c>
      <c r="AQ2" s="1" t="n">
        <v>10</v>
      </c>
      <c r="AR2" s="1" t="s">
        <v>24</v>
      </c>
      <c r="AT2" s="3" t="s">
        <v>17</v>
      </c>
      <c r="AU2" s="1" t="s">
        <v>17</v>
      </c>
      <c r="AV2" s="1" t="n">
        <v>6</v>
      </c>
      <c r="AW2" s="1" t="n">
        <v>6</v>
      </c>
      <c r="AY2" s="5" t="s">
        <v>17</v>
      </c>
      <c r="AZ2" s="0" t="n">
        <v>9</v>
      </c>
      <c r="BA2" s="0" t="n">
        <v>6</v>
      </c>
      <c r="BN2" s="2"/>
      <c r="BO2" s="2"/>
      <c r="BP2" s="2"/>
    </row>
    <row r="3" s="3" customFormat="true" ht="15.65" hidden="false" customHeight="false" outlineLevel="0" collapsed="false">
      <c r="A3" s="1" t="n">
        <v>2</v>
      </c>
      <c r="B3" s="1" t="s">
        <v>25</v>
      </c>
      <c r="C3" s="1" t="s">
        <v>26</v>
      </c>
      <c r="D3" s="1" t="s">
        <v>16</v>
      </c>
      <c r="E3" s="1" t="s">
        <v>17</v>
      </c>
      <c r="F3" s="3" t="s">
        <v>27</v>
      </c>
      <c r="G3" s="3" t="s">
        <v>17</v>
      </c>
      <c r="I3" s="3" t="s">
        <v>17</v>
      </c>
      <c r="K3" s="3" t="s">
        <v>17</v>
      </c>
      <c r="M3" s="3" t="s">
        <v>17</v>
      </c>
      <c r="N3" s="3" t="s">
        <v>17</v>
      </c>
      <c r="O3" s="3" t="s">
        <v>17</v>
      </c>
      <c r="P3" s="3" t="s">
        <v>17</v>
      </c>
      <c r="Q3" s="3" t="n">
        <f aca="false">COUNTIF(E3:P3,"P")</f>
        <v>8</v>
      </c>
      <c r="R3" s="3" t="n">
        <f aca="false">COUNTIF(E3:P3,"A")</f>
        <v>1</v>
      </c>
      <c r="S3" s="3" t="n">
        <f aca="false">SUM(Q3:R3)</f>
        <v>9</v>
      </c>
      <c r="T3" s="4" t="n">
        <f aca="false">ROUND(Q3*10/S3,0)</f>
        <v>9</v>
      </c>
      <c r="U3" s="4" t="str">
        <f aca="false">IF(T3&gt;6,"TEA",IF(T3&gt;3,"TEP","TED"))</f>
        <v>TEA</v>
      </c>
      <c r="V3" s="3" t="s">
        <v>27</v>
      </c>
      <c r="X3" s="3" t="s">
        <v>17</v>
      </c>
      <c r="Y3" s="3" t="n">
        <v>9</v>
      </c>
      <c r="AA3" s="3" t="s">
        <v>17</v>
      </c>
      <c r="AB3" s="1" t="n">
        <v>9</v>
      </c>
      <c r="AD3" s="3" t="s">
        <v>17</v>
      </c>
      <c r="AE3" s="1" t="n">
        <v>7</v>
      </c>
      <c r="AF3" s="1"/>
      <c r="AG3" s="3" t="s">
        <v>17</v>
      </c>
      <c r="AH3" s="3" t="s">
        <v>17</v>
      </c>
      <c r="AI3" s="3" t="n">
        <v>8</v>
      </c>
      <c r="AK3" s="1" t="s">
        <v>27</v>
      </c>
      <c r="AM3" s="3" t="s">
        <v>27</v>
      </c>
      <c r="AP3" s="1" t="s">
        <v>17</v>
      </c>
      <c r="AQ3" s="1"/>
      <c r="AR3" s="1"/>
      <c r="AT3" s="3" t="s">
        <v>17</v>
      </c>
      <c r="AU3" s="1" t="s">
        <v>17</v>
      </c>
      <c r="AV3" s="1" t="n">
        <v>6</v>
      </c>
      <c r="AW3" s="1" t="n">
        <v>6</v>
      </c>
      <c r="AX3" s="1"/>
      <c r="AY3" s="0" t="s">
        <v>17</v>
      </c>
      <c r="AZ3" s="0" t="n">
        <v>9</v>
      </c>
      <c r="BA3" s="0" t="n">
        <v>6</v>
      </c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3" customFormat="true" ht="15.65" hidden="false" customHeight="false" outlineLevel="0" collapsed="false">
      <c r="A4" s="1" t="n">
        <v>3</v>
      </c>
      <c r="B4" s="1" t="s">
        <v>28</v>
      </c>
      <c r="C4" s="1" t="s">
        <v>29</v>
      </c>
      <c r="D4" s="1" t="s">
        <v>16</v>
      </c>
      <c r="E4" s="1" t="s">
        <v>17</v>
      </c>
      <c r="F4" s="1" t="s">
        <v>17</v>
      </c>
      <c r="G4" s="3" t="s">
        <v>17</v>
      </c>
      <c r="I4" s="3" t="s">
        <v>17</v>
      </c>
      <c r="K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n">
        <f aca="false">COUNTIF(E4:P4,"P")</f>
        <v>9</v>
      </c>
      <c r="R4" s="3" t="n">
        <f aca="false">COUNTIF(E4:P4,"A")</f>
        <v>0</v>
      </c>
      <c r="S4" s="3" t="n">
        <f aca="false">SUM(Q4:R4)</f>
        <v>9</v>
      </c>
      <c r="T4" s="4" t="n">
        <f aca="false">ROUND(Q4*10/S4,0)</f>
        <v>10</v>
      </c>
      <c r="U4" s="4" t="str">
        <f aca="false">IF(T4&gt;6,"TEA",IF(T4&gt;3,"TEP","TED"))</f>
        <v>TEA</v>
      </c>
      <c r="V4" s="3" t="s">
        <v>17</v>
      </c>
      <c r="X4" s="3" t="s">
        <v>17</v>
      </c>
      <c r="Y4" s="3" t="n">
        <v>9</v>
      </c>
      <c r="AA4" s="3" t="s">
        <v>17</v>
      </c>
      <c r="AB4" s="1" t="n">
        <v>9</v>
      </c>
      <c r="AD4" s="3" t="s">
        <v>17</v>
      </c>
      <c r="AE4" s="1" t="n">
        <v>7</v>
      </c>
      <c r="AF4" s="1"/>
      <c r="AG4" s="3" t="s">
        <v>17</v>
      </c>
      <c r="AH4" s="3" t="s">
        <v>17</v>
      </c>
      <c r="AI4" s="3" t="n">
        <v>8</v>
      </c>
      <c r="AK4" s="1" t="s">
        <v>17</v>
      </c>
      <c r="AM4" s="3" t="s">
        <v>17</v>
      </c>
      <c r="AP4" s="1" t="s">
        <v>17</v>
      </c>
      <c r="AQ4" s="1"/>
      <c r="AR4" s="1"/>
      <c r="AT4" s="3" t="s">
        <v>17</v>
      </c>
      <c r="AU4" s="1" t="s">
        <v>17</v>
      </c>
      <c r="AV4" s="1" t="n">
        <v>6</v>
      </c>
      <c r="AW4" s="1" t="n">
        <v>6</v>
      </c>
      <c r="AX4" s="1"/>
      <c r="AY4" s="0" t="s">
        <v>17</v>
      </c>
      <c r="AZ4" s="0" t="n">
        <v>9</v>
      </c>
      <c r="BA4" s="0" t="n">
        <v>6</v>
      </c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" customFormat="true" ht="18.95" hidden="false" customHeight="true" outlineLevel="0" collapsed="false">
      <c r="A5" s="1" t="n">
        <v>11</v>
      </c>
      <c r="B5" s="1" t="s">
        <v>30</v>
      </c>
      <c r="C5" s="1" t="s">
        <v>31</v>
      </c>
      <c r="D5" s="1" t="s">
        <v>16</v>
      </c>
      <c r="E5" s="1" t="s">
        <v>17</v>
      </c>
      <c r="F5" s="1" t="s">
        <v>17</v>
      </c>
      <c r="G5" s="1" t="s">
        <v>17</v>
      </c>
      <c r="I5" s="1" t="s">
        <v>17</v>
      </c>
      <c r="K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3" t="n">
        <f aca="false">COUNTIF(E5:P5,"P")</f>
        <v>9</v>
      </c>
      <c r="R5" s="3" t="n">
        <f aca="false">COUNTIF(E5:P5,"A")</f>
        <v>0</v>
      </c>
      <c r="S5" s="3" t="n">
        <f aca="false">SUM(Q5:R5)</f>
        <v>9</v>
      </c>
      <c r="T5" s="4" t="n">
        <f aca="false">ROUND(Q5*10/S5,0)</f>
        <v>10</v>
      </c>
      <c r="U5" s="4" t="str">
        <f aca="false">IF(T5&gt;6,"TEA",IF(T5&gt;3,"TEP","TED"))</f>
        <v>TEA</v>
      </c>
      <c r="V5" s="1" t="s">
        <v>17</v>
      </c>
      <c r="X5" s="1" t="s">
        <v>17</v>
      </c>
      <c r="Y5" s="1" t="n">
        <v>9</v>
      </c>
      <c r="AA5" s="1" t="s">
        <v>17</v>
      </c>
      <c r="AB5" s="1" t="n">
        <v>9</v>
      </c>
      <c r="AD5" s="3" t="s">
        <v>17</v>
      </c>
      <c r="AE5" s="1" t="n">
        <v>7</v>
      </c>
      <c r="AG5" s="1" t="s">
        <v>27</v>
      </c>
      <c r="AH5" s="1" t="s">
        <v>17</v>
      </c>
      <c r="AI5" s="1" t="n">
        <v>8</v>
      </c>
      <c r="AK5" s="1" t="s">
        <v>17</v>
      </c>
      <c r="AM5" s="1" t="s">
        <v>17</v>
      </c>
      <c r="AP5" s="1" t="s">
        <v>17</v>
      </c>
      <c r="AT5" s="1" t="s">
        <v>17</v>
      </c>
      <c r="AU5" s="1" t="s">
        <v>17</v>
      </c>
      <c r="AV5" s="1" t="n">
        <v>6</v>
      </c>
      <c r="AW5" s="1" t="n">
        <v>6</v>
      </c>
      <c r="AY5" s="0" t="s">
        <v>17</v>
      </c>
      <c r="AZ5" s="0" t="n">
        <v>9</v>
      </c>
      <c r="BA5" s="0" t="n">
        <v>6</v>
      </c>
    </row>
    <row r="6" s="1" customFormat="true" ht="15.65" hidden="false" customHeight="false" outlineLevel="0" collapsed="false">
      <c r="A6" s="6" t="n">
        <v>14</v>
      </c>
      <c r="B6" s="6" t="s">
        <v>32</v>
      </c>
      <c r="C6" s="6" t="s">
        <v>33</v>
      </c>
      <c r="D6" s="6" t="s">
        <v>16</v>
      </c>
      <c r="E6" s="6" t="s">
        <v>27</v>
      </c>
      <c r="F6" s="7" t="s">
        <v>27</v>
      </c>
      <c r="G6" s="6" t="s">
        <v>17</v>
      </c>
      <c r="H6" s="6" t="s">
        <v>34</v>
      </c>
      <c r="I6" s="6" t="s">
        <v>17</v>
      </c>
      <c r="J6" s="6" t="s">
        <v>34</v>
      </c>
      <c r="K6" s="7" t="s">
        <v>17</v>
      </c>
      <c r="L6" s="7"/>
      <c r="M6" s="7" t="s">
        <v>17</v>
      </c>
      <c r="N6" s="7" t="s">
        <v>17</v>
      </c>
      <c r="O6" s="7" t="s">
        <v>17</v>
      </c>
      <c r="P6" s="7" t="s">
        <v>17</v>
      </c>
      <c r="Q6" s="6" t="n">
        <f aca="false">COUNTIF(E6:P6,"P")</f>
        <v>7</v>
      </c>
      <c r="R6" s="7" t="n">
        <f aca="false">COUNTIF(E6:P6,"A")</f>
        <v>2</v>
      </c>
      <c r="S6" s="6" t="n">
        <f aca="false">SUM(Q6:R6)</f>
        <v>9</v>
      </c>
      <c r="T6" s="4" t="n">
        <f aca="false">ROUND(Q6*10/S6,0)</f>
        <v>8</v>
      </c>
      <c r="U6" s="4" t="str">
        <f aca="false">IF(T6&gt;6,"TEA",IF(T6&gt;3,"TEP","TED"))</f>
        <v>TEA</v>
      </c>
      <c r="V6" s="7" t="s">
        <v>17</v>
      </c>
      <c r="X6" s="1" t="s">
        <v>17</v>
      </c>
      <c r="Y6" s="1" t="n">
        <v>9</v>
      </c>
      <c r="AA6" s="1" t="s">
        <v>17</v>
      </c>
      <c r="AB6" s="1" t="n">
        <v>9</v>
      </c>
      <c r="AD6" s="3" t="s">
        <v>17</v>
      </c>
      <c r="AE6" s="1" t="n">
        <v>7</v>
      </c>
      <c r="AG6" s="7" t="s">
        <v>17</v>
      </c>
      <c r="AH6" s="7" t="s">
        <v>17</v>
      </c>
      <c r="AI6" s="1" t="n">
        <v>8</v>
      </c>
      <c r="AK6" s="1" t="s">
        <v>17</v>
      </c>
      <c r="AM6" s="7" t="s">
        <v>17</v>
      </c>
      <c r="AN6" s="7"/>
      <c r="AP6" s="1" t="s">
        <v>17</v>
      </c>
      <c r="AT6" s="1" t="s">
        <v>17</v>
      </c>
      <c r="AU6" s="1" t="s">
        <v>17</v>
      </c>
      <c r="AV6" s="1" t="n">
        <v>6</v>
      </c>
      <c r="AW6" s="1" t="n">
        <v>6</v>
      </c>
      <c r="AY6" s="0" t="s">
        <v>17</v>
      </c>
      <c r="AZ6" s="0" t="n">
        <v>9</v>
      </c>
      <c r="BA6" s="0" t="n">
        <v>6</v>
      </c>
    </row>
    <row r="7" s="1" customFormat="true" ht="15.65" hidden="false" customHeight="false" outlineLevel="0" collapsed="false">
      <c r="A7" s="1" t="n">
        <v>19</v>
      </c>
      <c r="B7" s="1" t="s">
        <v>35</v>
      </c>
      <c r="C7" s="1" t="s">
        <v>36</v>
      </c>
      <c r="D7" s="1" t="s">
        <v>16</v>
      </c>
      <c r="E7" s="1" t="s">
        <v>17</v>
      </c>
      <c r="F7" s="1" t="s">
        <v>17</v>
      </c>
      <c r="G7" s="1" t="s">
        <v>17</v>
      </c>
      <c r="I7" s="1" t="s">
        <v>17</v>
      </c>
      <c r="K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3" t="n">
        <f aca="false">COUNTIF(E7:P7,"P")</f>
        <v>9</v>
      </c>
      <c r="R7" s="3" t="n">
        <f aca="false">COUNTIF(E7:P7,"A")</f>
        <v>0</v>
      </c>
      <c r="S7" s="3" t="n">
        <f aca="false">SUM(Q7:R7)</f>
        <v>9</v>
      </c>
      <c r="T7" s="4" t="n">
        <f aca="false">ROUND(Q7*10/S7,0)</f>
        <v>10</v>
      </c>
      <c r="U7" s="4" t="str">
        <f aca="false">IF(T7&gt;6,"TEA",IF(T7&gt;3,"TEP","TED"))</f>
        <v>TEA</v>
      </c>
      <c r="V7" s="1" t="s">
        <v>17</v>
      </c>
      <c r="X7" s="1" t="s">
        <v>17</v>
      </c>
      <c r="Y7" s="1" t="n">
        <v>9</v>
      </c>
      <c r="AA7" s="1" t="s">
        <v>17</v>
      </c>
      <c r="AB7" s="1" t="n">
        <v>9</v>
      </c>
      <c r="AD7" s="3" t="s">
        <v>17</v>
      </c>
      <c r="AE7" s="1" t="n">
        <v>7</v>
      </c>
      <c r="AG7" s="1" t="s">
        <v>17</v>
      </c>
      <c r="AH7" s="1" t="s">
        <v>17</v>
      </c>
      <c r="AI7" s="1" t="n">
        <v>8</v>
      </c>
      <c r="AK7" s="1" t="s">
        <v>17</v>
      </c>
      <c r="AM7" s="1" t="s">
        <v>17</v>
      </c>
      <c r="AP7" s="1" t="s">
        <v>17</v>
      </c>
      <c r="AT7" s="1" t="s">
        <v>27</v>
      </c>
      <c r="AU7" s="1" t="s">
        <v>17</v>
      </c>
      <c r="AV7" s="1" t="n">
        <v>6</v>
      </c>
      <c r="AW7" s="1" t="n">
        <v>6</v>
      </c>
      <c r="AY7" s="0" t="s">
        <v>17</v>
      </c>
      <c r="AZ7" s="0" t="n">
        <v>9</v>
      </c>
      <c r="BA7" s="0" t="n">
        <v>6</v>
      </c>
    </row>
    <row r="8" s="3" customFormat="true" ht="15.6" hidden="false" customHeight="true" outlineLevel="0" collapsed="false">
      <c r="A8" s="1" t="n">
        <v>4</v>
      </c>
      <c r="B8" s="1" t="s">
        <v>37</v>
      </c>
      <c r="C8" s="1" t="s">
        <v>38</v>
      </c>
      <c r="D8" s="1" t="s">
        <v>39</v>
      </c>
      <c r="E8" s="1" t="s">
        <v>17</v>
      </c>
      <c r="F8" s="3" t="s">
        <v>17</v>
      </c>
      <c r="G8" s="3" t="s">
        <v>17</v>
      </c>
      <c r="I8" s="3" t="s">
        <v>17</v>
      </c>
      <c r="K8" s="3" t="s">
        <v>27</v>
      </c>
      <c r="L8" s="3" t="s">
        <v>40</v>
      </c>
      <c r="M8" s="3" t="s">
        <v>17</v>
      </c>
      <c r="N8" s="1" t="s">
        <v>17</v>
      </c>
      <c r="O8" s="1" t="s">
        <v>17</v>
      </c>
      <c r="P8" s="1" t="s">
        <v>17</v>
      </c>
      <c r="Q8" s="3" t="n">
        <f aca="false">COUNTIF(E8:P8,"P")</f>
        <v>8</v>
      </c>
      <c r="R8" s="3" t="n">
        <f aca="false">COUNTIF(E8:P8,"A")</f>
        <v>1</v>
      </c>
      <c r="S8" s="3" t="n">
        <f aca="false">SUM(Q8:R8)</f>
        <v>9</v>
      </c>
      <c r="T8" s="4" t="n">
        <f aca="false">ROUND(Q8*10/S8,0)</f>
        <v>9</v>
      </c>
      <c r="U8" s="4" t="str">
        <f aca="false">IF(T8&gt;6,"TEA",IF(T8&gt;3,"TEP","TED"))</f>
        <v>TEA</v>
      </c>
      <c r="V8" s="1" t="s">
        <v>17</v>
      </c>
      <c r="W8" s="1" t="s">
        <v>41</v>
      </c>
      <c r="X8" s="3" t="s">
        <v>17</v>
      </c>
      <c r="Y8" s="3" t="n">
        <v>3</v>
      </c>
      <c r="Z8" s="3" t="s">
        <v>42</v>
      </c>
      <c r="AA8" s="3" t="s">
        <v>17</v>
      </c>
      <c r="AB8" s="3" t="n">
        <v>7</v>
      </c>
      <c r="AD8" s="3" t="s">
        <v>17</v>
      </c>
      <c r="AE8" s="1" t="n">
        <v>3</v>
      </c>
      <c r="AF8" s="3" t="s">
        <v>43</v>
      </c>
      <c r="AG8" s="1" t="s">
        <v>17</v>
      </c>
      <c r="AH8" s="1" t="s">
        <v>17</v>
      </c>
      <c r="AI8" s="3" t="n">
        <v>10</v>
      </c>
      <c r="AJ8" s="8" t="s">
        <v>44</v>
      </c>
      <c r="AK8" s="1" t="n">
        <v>10</v>
      </c>
      <c r="AL8" s="8" t="s">
        <v>45</v>
      </c>
      <c r="AM8" s="1" t="s">
        <v>17</v>
      </c>
      <c r="AN8" s="1" t="n">
        <v>8</v>
      </c>
      <c r="AP8" s="1" t="s">
        <v>17</v>
      </c>
      <c r="AQ8" s="1" t="n">
        <v>5</v>
      </c>
      <c r="AR8" s="1" t="s">
        <v>46</v>
      </c>
      <c r="AT8" s="3" t="s">
        <v>17</v>
      </c>
      <c r="AU8" s="1" t="s">
        <v>17</v>
      </c>
      <c r="AV8" s="1" t="n">
        <v>6</v>
      </c>
      <c r="AW8" s="1" t="n">
        <v>6</v>
      </c>
      <c r="AX8" s="1"/>
      <c r="AY8" s="0" t="s">
        <v>17</v>
      </c>
      <c r="AZ8" s="0" t="n">
        <v>8</v>
      </c>
      <c r="BA8" s="0" t="n">
        <v>8</v>
      </c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3" customFormat="true" ht="15.65" hidden="false" customHeight="false" outlineLevel="0" collapsed="false">
      <c r="A9" s="1" t="n">
        <v>16</v>
      </c>
      <c r="B9" s="1" t="s">
        <v>47</v>
      </c>
      <c r="C9" s="1" t="s">
        <v>48</v>
      </c>
      <c r="D9" s="1" t="s">
        <v>39</v>
      </c>
      <c r="E9" s="1" t="s">
        <v>17</v>
      </c>
      <c r="F9" s="1" t="s">
        <v>17</v>
      </c>
      <c r="G9" s="1" t="s">
        <v>17</v>
      </c>
      <c r="H9" s="1"/>
      <c r="I9" s="1" t="s">
        <v>17</v>
      </c>
      <c r="J9" s="1"/>
      <c r="K9" s="3" t="s">
        <v>17</v>
      </c>
      <c r="M9" s="3" t="s">
        <v>17</v>
      </c>
      <c r="N9" s="3" t="s">
        <v>17</v>
      </c>
      <c r="O9" s="3" t="s">
        <v>49</v>
      </c>
      <c r="P9" s="3" t="s">
        <v>17</v>
      </c>
      <c r="Q9" s="3" t="n">
        <f aca="false">COUNTIF(E9:P9,"P")</f>
        <v>9</v>
      </c>
      <c r="R9" s="3" t="n">
        <f aca="false">COUNTIF(E9:P9,"A")</f>
        <v>0</v>
      </c>
      <c r="S9" s="3" t="n">
        <f aca="false">SUM(Q9:R9)</f>
        <v>9</v>
      </c>
      <c r="T9" s="4" t="n">
        <f aca="false">ROUND(Q9*10/S9,0)</f>
        <v>10</v>
      </c>
      <c r="U9" s="4" t="str">
        <f aca="false">IF(T9&gt;6,"TEA",IF(T9&gt;3,"TEP","TED"))</f>
        <v>TEA</v>
      </c>
      <c r="V9" s="3" t="s">
        <v>17</v>
      </c>
      <c r="X9" s="3" t="s">
        <v>17</v>
      </c>
      <c r="Y9" s="3" t="n">
        <v>3</v>
      </c>
      <c r="Z9" s="1"/>
      <c r="AA9" s="3" t="s">
        <v>17</v>
      </c>
      <c r="AB9" s="3" t="n">
        <v>7</v>
      </c>
      <c r="AC9" s="3" t="s">
        <v>50</v>
      </c>
      <c r="AD9" s="3" t="s">
        <v>17</v>
      </c>
      <c r="AE9" s="1" t="n">
        <v>3</v>
      </c>
      <c r="AF9" s="1"/>
      <c r="AG9" s="3" t="s">
        <v>17</v>
      </c>
      <c r="AH9" s="3" t="s">
        <v>17</v>
      </c>
      <c r="AI9" s="3" t="n">
        <v>10</v>
      </c>
      <c r="AK9" s="1" t="s">
        <v>17</v>
      </c>
      <c r="AM9" s="3" t="s">
        <v>17</v>
      </c>
      <c r="AP9" s="1" t="s">
        <v>17</v>
      </c>
      <c r="AQ9" s="1" t="n">
        <v>5</v>
      </c>
      <c r="AR9" s="1"/>
      <c r="AT9" s="3" t="s">
        <v>17</v>
      </c>
      <c r="AU9" s="1" t="s">
        <v>17</v>
      </c>
      <c r="AV9" s="1" t="n">
        <v>6</v>
      </c>
      <c r="AW9" s="1" t="n">
        <v>6</v>
      </c>
      <c r="AX9" s="1"/>
      <c r="AY9" s="0" t="s">
        <v>17</v>
      </c>
      <c r="AZ9" s="0" t="n">
        <v>8</v>
      </c>
      <c r="BA9" s="0" t="n">
        <v>8</v>
      </c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="3" customFormat="true" ht="15.65" hidden="false" customHeight="false" outlineLevel="0" collapsed="false">
      <c r="A10" s="1" t="n">
        <v>18</v>
      </c>
      <c r="B10" s="1" t="s">
        <v>51</v>
      </c>
      <c r="C10" s="1" t="s">
        <v>52</v>
      </c>
      <c r="D10" s="1" t="s">
        <v>39</v>
      </c>
      <c r="E10" s="1" t="s">
        <v>17</v>
      </c>
      <c r="F10" s="1" t="s">
        <v>17</v>
      </c>
      <c r="G10" s="3" t="s">
        <v>17</v>
      </c>
      <c r="I10" s="3" t="s">
        <v>27</v>
      </c>
      <c r="K10" s="1" t="s">
        <v>17</v>
      </c>
      <c r="L10" s="1"/>
      <c r="M10" s="1" t="s">
        <v>17</v>
      </c>
      <c r="N10" s="1" t="s">
        <v>17</v>
      </c>
      <c r="O10" s="1" t="s">
        <v>17</v>
      </c>
      <c r="P10" s="1" t="s">
        <v>17</v>
      </c>
      <c r="Q10" s="3" t="n">
        <f aca="false">COUNTIF(E10:P10,"P")</f>
        <v>8</v>
      </c>
      <c r="R10" s="3" t="n">
        <f aca="false">COUNTIF(E10:P10,"A")</f>
        <v>1</v>
      </c>
      <c r="S10" s="3" t="n">
        <f aca="false">SUM(Q10:R10)</f>
        <v>9</v>
      </c>
      <c r="T10" s="4" t="n">
        <f aca="false">ROUND(Q10*10/S10,0)</f>
        <v>9</v>
      </c>
      <c r="U10" s="4" t="str">
        <f aca="false">IF(T10&gt;6,"TEA",IF(T10&gt;3,"TEP","TED"))</f>
        <v>TEA</v>
      </c>
      <c r="V10" s="1" t="s">
        <v>17</v>
      </c>
      <c r="X10" s="3" t="s">
        <v>17</v>
      </c>
      <c r="Y10" s="3" t="n">
        <v>3</v>
      </c>
      <c r="AA10" s="3" t="s">
        <v>17</v>
      </c>
      <c r="AB10" s="3" t="n">
        <v>7</v>
      </c>
      <c r="AD10" s="3" t="s">
        <v>17</v>
      </c>
      <c r="AE10" s="1" t="n">
        <v>3</v>
      </c>
      <c r="AF10" s="1"/>
      <c r="AG10" s="1" t="s">
        <v>17</v>
      </c>
      <c r="AH10" s="1" t="s">
        <v>17</v>
      </c>
      <c r="AI10" s="3" t="n">
        <v>10</v>
      </c>
      <c r="AK10" s="1" t="s">
        <v>17</v>
      </c>
      <c r="AM10" s="1" t="s">
        <v>17</v>
      </c>
      <c r="AN10" s="1"/>
      <c r="AP10" s="1" t="s">
        <v>17</v>
      </c>
      <c r="AQ10" s="1" t="n">
        <v>5</v>
      </c>
      <c r="AR10" s="1"/>
      <c r="AT10" s="3" t="s">
        <v>17</v>
      </c>
      <c r="AU10" s="1" t="s">
        <v>17</v>
      </c>
      <c r="AV10" s="1" t="n">
        <v>6</v>
      </c>
      <c r="AW10" s="1" t="n">
        <v>6</v>
      </c>
      <c r="AX10" s="1"/>
      <c r="AY10" s="0" t="s">
        <v>17</v>
      </c>
      <c r="AZ10" s="0" t="n">
        <v>8</v>
      </c>
      <c r="BA10" s="0" t="n">
        <v>8</v>
      </c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="1" customFormat="true" ht="15.65" hidden="false" customHeight="false" outlineLevel="0" collapsed="false">
      <c r="A11" s="1" t="n">
        <v>5</v>
      </c>
      <c r="B11" s="1" t="s">
        <v>53</v>
      </c>
      <c r="C11" s="1" t="s">
        <v>54</v>
      </c>
      <c r="D11" s="1" t="s">
        <v>55</v>
      </c>
      <c r="E11" s="1" t="s">
        <v>17</v>
      </c>
      <c r="F11" s="1" t="s">
        <v>17</v>
      </c>
      <c r="G11" s="1" t="s">
        <v>17</v>
      </c>
      <c r="I11" s="1" t="s">
        <v>17</v>
      </c>
      <c r="K11" s="1" t="s">
        <v>17</v>
      </c>
      <c r="M11" s="1" t="s">
        <v>17</v>
      </c>
      <c r="N11" s="1" t="s">
        <v>17</v>
      </c>
      <c r="O11" s="1" t="s">
        <v>17</v>
      </c>
      <c r="P11" s="1" t="s">
        <v>27</v>
      </c>
      <c r="Q11" s="3" t="n">
        <f aca="false">COUNTIF(E11:P11,"P")</f>
        <v>8</v>
      </c>
      <c r="R11" s="3" t="n">
        <f aca="false">COUNTIF(E11:P11,"A")</f>
        <v>1</v>
      </c>
      <c r="S11" s="3" t="n">
        <f aca="false">SUM(Q11:R11)</f>
        <v>9</v>
      </c>
      <c r="T11" s="4" t="n">
        <f aca="false">ROUND(Q11*10/S11,0)</f>
        <v>9</v>
      </c>
      <c r="U11" s="4" t="str">
        <f aca="false">IF(T11&gt;6,"TEA",IF(T11&gt;3,"TEP","TED"))</f>
        <v>TEA</v>
      </c>
      <c r="V11" s="1" t="s">
        <v>17</v>
      </c>
      <c r="W11" s="1" t="s">
        <v>56</v>
      </c>
      <c r="X11" s="1" t="s">
        <v>17</v>
      </c>
      <c r="Y11" s="1" t="n">
        <v>5</v>
      </c>
      <c r="Z11" s="3" t="s">
        <v>57</v>
      </c>
      <c r="AA11" s="1" t="s">
        <v>17</v>
      </c>
      <c r="AB11" s="1" t="n">
        <v>3</v>
      </c>
      <c r="AD11" s="3" t="s">
        <v>17</v>
      </c>
      <c r="AE11" s="1" t="n">
        <v>9</v>
      </c>
      <c r="AF11" s="3" t="s">
        <v>58</v>
      </c>
      <c r="AG11" s="1" t="s">
        <v>17</v>
      </c>
      <c r="AH11" s="1" t="s">
        <v>17</v>
      </c>
      <c r="AI11" s="1" t="n">
        <v>1</v>
      </c>
      <c r="AJ11" s="3" t="s">
        <v>58</v>
      </c>
      <c r="AK11" s="1" t="n">
        <v>10</v>
      </c>
      <c r="AL11" s="3" t="s">
        <v>59</v>
      </c>
      <c r="AM11" s="1" t="s">
        <v>17</v>
      </c>
      <c r="AN11" s="1" t="n">
        <v>8</v>
      </c>
      <c r="AP11" s="1" t="s">
        <v>17</v>
      </c>
      <c r="AQ11" s="1" t="n">
        <v>8</v>
      </c>
      <c r="AR11" s="1" t="s">
        <v>60</v>
      </c>
      <c r="AT11" s="1" t="s">
        <v>17</v>
      </c>
      <c r="AU11" s="1" t="s">
        <v>17</v>
      </c>
      <c r="AV11" s="1" t="n">
        <v>1</v>
      </c>
      <c r="AW11" s="1" t="n">
        <v>6</v>
      </c>
      <c r="AY11" s="0" t="s">
        <v>17</v>
      </c>
      <c r="AZ11" s="0" t="n">
        <v>8</v>
      </c>
      <c r="BA11" s="0" t="n">
        <v>5</v>
      </c>
    </row>
    <row r="12" s="1" customFormat="true" ht="15.65" hidden="false" customHeight="false" outlineLevel="0" collapsed="false">
      <c r="A12" s="1" t="n">
        <v>15</v>
      </c>
      <c r="B12" s="1" t="s">
        <v>61</v>
      </c>
      <c r="C12" s="1" t="s">
        <v>62</v>
      </c>
      <c r="D12" s="1" t="s">
        <v>55</v>
      </c>
      <c r="E12" s="1" t="s">
        <v>17</v>
      </c>
      <c r="F12" s="3" t="s">
        <v>17</v>
      </c>
      <c r="G12" s="1" t="s">
        <v>17</v>
      </c>
      <c r="I12" s="1" t="s">
        <v>17</v>
      </c>
      <c r="K12" s="3" t="s">
        <v>17</v>
      </c>
      <c r="L12" s="3"/>
      <c r="M12" s="3" t="s">
        <v>17</v>
      </c>
      <c r="N12" s="3" t="s">
        <v>17</v>
      </c>
      <c r="O12" s="3" t="s">
        <v>17</v>
      </c>
      <c r="P12" s="3" t="s">
        <v>17</v>
      </c>
      <c r="Q12" s="3" t="n">
        <f aca="false">COUNTIF(E12:P12,"P")</f>
        <v>9</v>
      </c>
      <c r="R12" s="3" t="n">
        <f aca="false">COUNTIF(E12:P12,"A")</f>
        <v>0</v>
      </c>
      <c r="S12" s="3" t="n">
        <f aca="false">SUM(Q12:R12)</f>
        <v>9</v>
      </c>
      <c r="T12" s="4" t="n">
        <f aca="false">ROUND(Q12*10/S12,0)</f>
        <v>10</v>
      </c>
      <c r="U12" s="4" t="str">
        <f aca="false">IF(T12&gt;6,"TEA",IF(T12&gt;3,"TEP","TED"))</f>
        <v>TEA</v>
      </c>
      <c r="V12" s="3" t="s">
        <v>17</v>
      </c>
      <c r="X12" s="1" t="s">
        <v>17</v>
      </c>
      <c r="Y12" s="1" t="n">
        <v>1</v>
      </c>
      <c r="AA12" s="1" t="s">
        <v>27</v>
      </c>
      <c r="AB12" s="1" t="n">
        <v>3</v>
      </c>
      <c r="AD12" s="3" t="s">
        <v>17</v>
      </c>
      <c r="AE12" s="1" t="n">
        <v>9</v>
      </c>
      <c r="AF12" s="3" t="s">
        <v>63</v>
      </c>
      <c r="AG12" s="3" t="s">
        <v>17</v>
      </c>
      <c r="AH12" s="3" t="s">
        <v>17</v>
      </c>
      <c r="AI12" s="1" t="n">
        <v>1</v>
      </c>
      <c r="AJ12" s="3" t="s">
        <v>63</v>
      </c>
      <c r="AK12" s="1" t="s">
        <v>17</v>
      </c>
      <c r="AM12" s="3" t="s">
        <v>17</v>
      </c>
      <c r="AN12" s="3"/>
      <c r="AP12" s="1" t="s">
        <v>17</v>
      </c>
      <c r="AQ12" s="1" t="n">
        <v>8</v>
      </c>
      <c r="AT12" s="1" t="s">
        <v>17</v>
      </c>
      <c r="AU12" s="1" t="s">
        <v>17</v>
      </c>
      <c r="AV12" s="1" t="n">
        <v>1</v>
      </c>
      <c r="AW12" s="1" t="n">
        <v>6</v>
      </c>
      <c r="AY12" s="0" t="s">
        <v>17</v>
      </c>
      <c r="AZ12" s="0" t="n">
        <v>8</v>
      </c>
      <c r="BA12" s="0" t="n">
        <v>5</v>
      </c>
    </row>
    <row r="13" s="1" customFormat="true" ht="15.65" hidden="false" customHeight="false" outlineLevel="0" collapsed="false">
      <c r="A13" s="1" t="n">
        <v>17</v>
      </c>
      <c r="B13" s="1" t="s">
        <v>64</v>
      </c>
      <c r="C13" s="1" t="s">
        <v>65</v>
      </c>
      <c r="D13" s="1" t="s">
        <v>55</v>
      </c>
      <c r="E13" s="1" t="s">
        <v>17</v>
      </c>
      <c r="F13" s="1" t="s">
        <v>17</v>
      </c>
      <c r="G13" s="3" t="s">
        <v>17</v>
      </c>
      <c r="H13" s="3"/>
      <c r="I13" s="3" t="s">
        <v>17</v>
      </c>
      <c r="J13" s="3"/>
      <c r="K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3" t="n">
        <f aca="false">COUNTIF(E13:P13,"P")</f>
        <v>9</v>
      </c>
      <c r="R13" s="3" t="n">
        <f aca="false">COUNTIF(E13:P13,"A")</f>
        <v>0</v>
      </c>
      <c r="S13" s="3" t="n">
        <f aca="false">SUM(Q13:R13)</f>
        <v>9</v>
      </c>
      <c r="T13" s="4" t="n">
        <f aca="false">ROUND(Q13*10/S13,0)</f>
        <v>10</v>
      </c>
      <c r="U13" s="4" t="str">
        <f aca="false">IF(T13&gt;6,"TEA",IF(T13&gt;3,"TEP","TED"))</f>
        <v>TEA</v>
      </c>
      <c r="V13" s="1" t="s">
        <v>66</v>
      </c>
      <c r="X13" s="1" t="s">
        <v>17</v>
      </c>
      <c r="Y13" s="1" t="n">
        <v>1</v>
      </c>
      <c r="AA13" s="1" t="s">
        <v>17</v>
      </c>
      <c r="AB13" s="1" t="n">
        <v>3</v>
      </c>
      <c r="AD13" s="3" t="s">
        <v>17</v>
      </c>
      <c r="AE13" s="1" t="n">
        <v>9</v>
      </c>
      <c r="AG13" s="1" t="s">
        <v>27</v>
      </c>
      <c r="AH13" s="1" t="s">
        <v>27</v>
      </c>
      <c r="AI13" s="1" t="n">
        <v>1</v>
      </c>
      <c r="AK13" s="1" t="s">
        <v>17</v>
      </c>
      <c r="AM13" s="1" t="s">
        <v>17</v>
      </c>
      <c r="AP13" s="1" t="s">
        <v>17</v>
      </c>
      <c r="AQ13" s="1" t="n">
        <v>8</v>
      </c>
      <c r="AT13" s="1" t="s">
        <v>17</v>
      </c>
      <c r="AU13" s="1" t="s">
        <v>17</v>
      </c>
      <c r="AV13" s="1" t="n">
        <v>3</v>
      </c>
      <c r="AW13" s="1" t="n">
        <v>6</v>
      </c>
      <c r="AY13" s="0" t="s">
        <v>66</v>
      </c>
      <c r="AZ13" s="0" t="n">
        <v>8</v>
      </c>
      <c r="BA13" s="0" t="n">
        <v>5</v>
      </c>
    </row>
    <row r="14" s="3" customFormat="true" ht="15.65" hidden="false" customHeight="false" outlineLevel="0" collapsed="false">
      <c r="A14" s="1" t="n">
        <v>6</v>
      </c>
      <c r="B14" s="1" t="s">
        <v>67</v>
      </c>
      <c r="C14" s="1" t="s">
        <v>68</v>
      </c>
      <c r="D14" s="1" t="s">
        <v>69</v>
      </c>
      <c r="E14" s="1" t="s">
        <v>27</v>
      </c>
      <c r="F14" s="1" t="s">
        <v>17</v>
      </c>
      <c r="G14" s="3" t="s">
        <v>17</v>
      </c>
      <c r="I14" s="3" t="s">
        <v>17</v>
      </c>
      <c r="K14" s="1" t="s">
        <v>17</v>
      </c>
      <c r="L14" s="1"/>
      <c r="M14" s="1" t="s">
        <v>17</v>
      </c>
      <c r="N14" s="1" t="s">
        <v>17</v>
      </c>
      <c r="O14" s="1" t="s">
        <v>27</v>
      </c>
      <c r="P14" s="1" t="s">
        <v>17</v>
      </c>
      <c r="Q14" s="3" t="n">
        <f aca="false">COUNTIF(E14:P14,"P")</f>
        <v>7</v>
      </c>
      <c r="R14" s="3" t="n">
        <f aca="false">COUNTIF(E14:P14,"A")</f>
        <v>2</v>
      </c>
      <c r="S14" s="3" t="n">
        <f aca="false">SUM(Q14:R14)</f>
        <v>9</v>
      </c>
      <c r="T14" s="4" t="n">
        <f aca="false">ROUND(Q14*10/S14,0)</f>
        <v>8</v>
      </c>
      <c r="U14" s="4" t="str">
        <f aca="false">IF(T14&gt;6,"TEA",IF(T14&gt;3,"TEP","TED"))</f>
        <v>TEA</v>
      </c>
      <c r="V14" s="1" t="s">
        <v>17</v>
      </c>
      <c r="W14" s="3" t="s">
        <v>70</v>
      </c>
      <c r="X14" s="3" t="s">
        <v>17</v>
      </c>
      <c r="Y14" s="3" t="n">
        <v>7</v>
      </c>
      <c r="Z14" s="3" t="s">
        <v>70</v>
      </c>
      <c r="AA14" s="3" t="s">
        <v>27</v>
      </c>
      <c r="AB14" s="3" t="n">
        <v>5</v>
      </c>
      <c r="AC14" s="3" t="s">
        <v>71</v>
      </c>
      <c r="AD14" s="3" t="s">
        <v>17</v>
      </c>
      <c r="AE14" s="1" t="n">
        <v>10</v>
      </c>
      <c r="AF14" s="3" t="s">
        <v>72</v>
      </c>
      <c r="AG14" s="1" t="s">
        <v>27</v>
      </c>
      <c r="AH14" s="1" t="s">
        <v>17</v>
      </c>
      <c r="AI14" s="3" t="n">
        <v>1</v>
      </c>
      <c r="AJ14" s="3" t="s">
        <v>73</v>
      </c>
      <c r="AK14" s="1" t="n">
        <v>1</v>
      </c>
      <c r="AL14" s="1" t="s">
        <v>74</v>
      </c>
      <c r="AM14" s="1" t="s">
        <v>27</v>
      </c>
      <c r="AN14" s="1"/>
      <c r="AP14" s="1" t="s">
        <v>17</v>
      </c>
      <c r="AQ14" s="1" t="n">
        <v>10</v>
      </c>
      <c r="AR14" s="1" t="s">
        <v>75</v>
      </c>
      <c r="AT14" s="3" t="s">
        <v>17</v>
      </c>
      <c r="AU14" s="1" t="s">
        <v>17</v>
      </c>
      <c r="AV14" s="1" t="n">
        <v>2</v>
      </c>
      <c r="AW14" s="1" t="n">
        <v>6</v>
      </c>
      <c r="AX14" s="1"/>
      <c r="AY14" s="0" t="s">
        <v>17</v>
      </c>
      <c r="AZ14" s="0" t="n">
        <v>1</v>
      </c>
      <c r="BA14" s="0" t="n">
        <v>5</v>
      </c>
      <c r="XDF14" s="1"/>
      <c r="XDG14" s="1"/>
      <c r="XDH14" s="1"/>
      <c r="XDI14" s="1"/>
      <c r="XDJ14" s="1"/>
      <c r="XDK14" s="6"/>
      <c r="XDL14" s="6"/>
      <c r="XDM14" s="6"/>
      <c r="XDN14" s="6"/>
      <c r="XDO14" s="6"/>
      <c r="XDP14" s="6"/>
      <c r="XDQ14" s="6"/>
      <c r="XDR14" s="6"/>
      <c r="XDS14" s="6"/>
      <c r="XDT14" s="6"/>
      <c r="XDU14" s="6"/>
      <c r="XDV14" s="6"/>
      <c r="XDW14" s="6"/>
      <c r="XDX14" s="6"/>
      <c r="XDY14" s="6"/>
      <c r="XDZ14" s="6"/>
      <c r="XEA14" s="6"/>
      <c r="XEB14" s="6"/>
      <c r="XEC14" s="6"/>
      <c r="XED14" s="6"/>
      <c r="XEE14" s="6"/>
      <c r="XEF14" s="6"/>
      <c r="XEG14" s="6"/>
      <c r="XEH14" s="6"/>
      <c r="XEI14" s="6"/>
      <c r="XEJ14" s="6"/>
      <c r="XEK14" s="6"/>
      <c r="XEL14" s="6"/>
      <c r="XEM14" s="6"/>
      <c r="XEN14" s="6"/>
      <c r="XEO14" s="6"/>
      <c r="XEP14" s="6"/>
      <c r="XEQ14" s="6"/>
      <c r="XER14" s="6"/>
      <c r="XES14" s="6"/>
      <c r="XET14" s="6"/>
      <c r="XEU14" s="6"/>
      <c r="XEV14" s="6"/>
      <c r="XEW14" s="6"/>
      <c r="XEX14" s="6"/>
      <c r="XEY14" s="6"/>
      <c r="XEZ14" s="6"/>
      <c r="XFA14" s="6"/>
      <c r="XFB14" s="6"/>
      <c r="XFC14" s="6"/>
      <c r="XFD14" s="6"/>
    </row>
    <row r="15" s="7" customFormat="true" ht="15.65" hidden="false" customHeight="false" outlineLevel="0" collapsed="false">
      <c r="A15" s="1" t="n">
        <v>7</v>
      </c>
      <c r="B15" s="1" t="s">
        <v>76</v>
      </c>
      <c r="C15" s="1" t="s">
        <v>77</v>
      </c>
      <c r="D15" s="1" t="s">
        <v>69</v>
      </c>
      <c r="E15" s="1" t="s">
        <v>17</v>
      </c>
      <c r="F15" s="1" t="s">
        <v>17</v>
      </c>
      <c r="G15" s="1" t="s">
        <v>17</v>
      </c>
      <c r="H15" s="1"/>
      <c r="I15" s="1" t="s">
        <v>17</v>
      </c>
      <c r="J15" s="1"/>
      <c r="K15" s="1" t="s">
        <v>17</v>
      </c>
      <c r="L15" s="1"/>
      <c r="M15" s="1" t="s">
        <v>17</v>
      </c>
      <c r="N15" s="3" t="s">
        <v>17</v>
      </c>
      <c r="O15" s="3" t="s">
        <v>17</v>
      </c>
      <c r="P15" s="3" t="s">
        <v>17</v>
      </c>
      <c r="Q15" s="3" t="n">
        <f aca="false">COUNTIF(E15:P15,"P")</f>
        <v>9</v>
      </c>
      <c r="R15" s="3" t="n">
        <f aca="false">COUNTIF(E15:P15,"A")</f>
        <v>0</v>
      </c>
      <c r="S15" s="3" t="n">
        <f aca="false">SUM(Q15:R15)</f>
        <v>9</v>
      </c>
      <c r="T15" s="4" t="n">
        <f aca="false">ROUND(Q15*10/S15,0)</f>
        <v>10</v>
      </c>
      <c r="U15" s="4" t="str">
        <f aca="false">IF(T15&gt;6,"TEA",IF(T15&gt;3,"TEP","TED"))</f>
        <v>TEA</v>
      </c>
      <c r="V15" s="3" t="s">
        <v>17</v>
      </c>
      <c r="X15" s="7" t="s">
        <v>17</v>
      </c>
      <c r="Y15" s="7" t="n">
        <v>7</v>
      </c>
      <c r="AA15" s="7" t="s">
        <v>17</v>
      </c>
      <c r="AB15" s="7" t="n">
        <v>5</v>
      </c>
      <c r="AD15" s="3" t="s">
        <v>17</v>
      </c>
      <c r="AE15" s="1" t="n">
        <v>10</v>
      </c>
      <c r="AF15" s="1"/>
      <c r="AG15" s="3" t="s">
        <v>17</v>
      </c>
      <c r="AH15" s="3" t="s">
        <v>17</v>
      </c>
      <c r="AI15" s="7" t="n">
        <v>1</v>
      </c>
      <c r="AK15" s="1" t="s">
        <v>17</v>
      </c>
      <c r="AM15" s="3" t="s">
        <v>27</v>
      </c>
      <c r="AN15" s="3" t="n">
        <v>7</v>
      </c>
      <c r="AO15" s="7" t="s">
        <v>78</v>
      </c>
      <c r="AP15" s="1" t="s">
        <v>27</v>
      </c>
      <c r="AQ15" s="1"/>
      <c r="AR15" s="1"/>
      <c r="AT15" s="7" t="s">
        <v>17</v>
      </c>
      <c r="AU15" s="1" t="s">
        <v>17</v>
      </c>
      <c r="AV15" s="1" t="n">
        <v>2</v>
      </c>
      <c r="AW15" s="1" t="n">
        <v>6</v>
      </c>
      <c r="AX15" s="1"/>
      <c r="AY15" s="0" t="s">
        <v>17</v>
      </c>
      <c r="AZ15" s="0" t="n">
        <v>1</v>
      </c>
      <c r="BA15" s="0" t="n">
        <v>5</v>
      </c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3" customFormat="true" ht="15.65" hidden="false" customHeight="false" outlineLevel="0" collapsed="false">
      <c r="A16" s="1" t="n">
        <v>8</v>
      </c>
      <c r="B16" s="1" t="s">
        <v>79</v>
      </c>
      <c r="C16" s="1" t="s">
        <v>80</v>
      </c>
      <c r="D16" s="1" t="s">
        <v>69</v>
      </c>
      <c r="E16" s="1" t="s">
        <v>17</v>
      </c>
      <c r="F16" s="1" t="s">
        <v>17</v>
      </c>
      <c r="G16" s="3" t="s">
        <v>27</v>
      </c>
      <c r="I16" s="3" t="s">
        <v>17</v>
      </c>
      <c r="K16" s="3" t="s">
        <v>17</v>
      </c>
      <c r="M16" s="3" t="s">
        <v>17</v>
      </c>
      <c r="N16" s="3" t="s">
        <v>17</v>
      </c>
      <c r="O16" s="3" t="s">
        <v>17</v>
      </c>
      <c r="P16" s="3" t="s">
        <v>17</v>
      </c>
      <c r="Q16" s="3" t="n">
        <f aca="false">COUNTIF(E16:P16,"P")</f>
        <v>8</v>
      </c>
      <c r="R16" s="3" t="n">
        <f aca="false">COUNTIF(E16:P16,"A")</f>
        <v>1</v>
      </c>
      <c r="S16" s="3" t="n">
        <f aca="false">SUM(Q16:R16)</f>
        <v>9</v>
      </c>
      <c r="T16" s="4" t="n">
        <f aca="false">ROUND(Q16*10/S16,0)</f>
        <v>9</v>
      </c>
      <c r="U16" s="4" t="str">
        <f aca="false">IF(T16&gt;6,"TEA",IF(T16&gt;3,"TEP","TED"))</f>
        <v>TEA</v>
      </c>
      <c r="V16" s="3" t="s">
        <v>17</v>
      </c>
      <c r="W16" s="1"/>
      <c r="X16" s="3" t="s">
        <v>27</v>
      </c>
      <c r="Y16" s="3" t="n">
        <v>7</v>
      </c>
      <c r="AA16" s="3" t="s">
        <v>17</v>
      </c>
      <c r="AB16" s="3" t="n">
        <v>5</v>
      </c>
      <c r="AD16" s="3" t="s">
        <v>17</v>
      </c>
      <c r="AE16" s="1" t="n">
        <v>10</v>
      </c>
      <c r="AF16" s="1"/>
      <c r="AG16" s="3" t="s">
        <v>27</v>
      </c>
      <c r="AH16" s="3" t="s">
        <v>17</v>
      </c>
      <c r="AI16" s="3" t="n">
        <v>1</v>
      </c>
      <c r="AK16" s="1" t="s">
        <v>17</v>
      </c>
      <c r="AM16" s="3" t="s">
        <v>17</v>
      </c>
      <c r="AP16" s="1" t="s">
        <v>17</v>
      </c>
      <c r="AQ16" s="1"/>
      <c r="AR16" s="1"/>
      <c r="AT16" s="3" t="s">
        <v>17</v>
      </c>
      <c r="AU16" s="1" t="s">
        <v>17</v>
      </c>
      <c r="AV16" s="1" t="n">
        <v>2</v>
      </c>
      <c r="AW16" s="1" t="n">
        <v>6</v>
      </c>
      <c r="AX16" s="1"/>
      <c r="AY16" s="0" t="s">
        <v>17</v>
      </c>
      <c r="AZ16" s="0" t="n">
        <v>1</v>
      </c>
      <c r="BA16" s="0" t="n">
        <v>5</v>
      </c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3" customFormat="true" ht="15.65" hidden="false" customHeight="false" outlineLevel="0" collapsed="false">
      <c r="A17" s="1" t="n">
        <v>12</v>
      </c>
      <c r="B17" s="1" t="s">
        <v>81</v>
      </c>
      <c r="C17" s="1" t="s">
        <v>82</v>
      </c>
      <c r="D17" s="1" t="s">
        <v>69</v>
      </c>
      <c r="E17" s="1" t="s">
        <v>17</v>
      </c>
      <c r="F17" s="3" t="s">
        <v>17</v>
      </c>
      <c r="G17" s="3" t="s">
        <v>17</v>
      </c>
      <c r="I17" s="3" t="s">
        <v>17</v>
      </c>
      <c r="K17" s="1" t="s">
        <v>17</v>
      </c>
      <c r="L17" s="1"/>
      <c r="M17" s="1" t="s">
        <v>17</v>
      </c>
      <c r="N17" s="1" t="s">
        <v>17</v>
      </c>
      <c r="O17" s="1" t="s">
        <v>17</v>
      </c>
      <c r="P17" s="1" t="s">
        <v>17</v>
      </c>
      <c r="Q17" s="3" t="n">
        <f aca="false">COUNTIF(E17:P17,"P")</f>
        <v>9</v>
      </c>
      <c r="R17" s="3" t="n">
        <f aca="false">COUNTIF(E17:P17,"A")</f>
        <v>0</v>
      </c>
      <c r="S17" s="3" t="n">
        <f aca="false">SUM(Q17:R17)</f>
        <v>9</v>
      </c>
      <c r="T17" s="4" t="n">
        <f aca="false">ROUND(Q17*10/S17,0)</f>
        <v>10</v>
      </c>
      <c r="U17" s="4" t="str">
        <f aca="false">IF(T17&gt;6,"TEA",IF(T17&gt;3,"TEP","TED"))</f>
        <v>TEA</v>
      </c>
      <c r="V17" s="1" t="s">
        <v>17</v>
      </c>
      <c r="X17" s="3" t="s">
        <v>17</v>
      </c>
      <c r="Y17" s="3" t="n">
        <v>7</v>
      </c>
      <c r="AA17" s="3" t="s">
        <v>17</v>
      </c>
      <c r="AB17" s="3" t="n">
        <v>5</v>
      </c>
      <c r="AD17" s="3" t="s">
        <v>17</v>
      </c>
      <c r="AE17" s="1" t="n">
        <v>10</v>
      </c>
      <c r="AF17" s="1"/>
      <c r="AG17" s="1" t="s">
        <v>27</v>
      </c>
      <c r="AH17" s="1" t="s">
        <v>17</v>
      </c>
      <c r="AI17" s="3" t="n">
        <v>1</v>
      </c>
      <c r="AK17" s="1" t="s">
        <v>17</v>
      </c>
      <c r="AM17" s="1" t="s">
        <v>17</v>
      </c>
      <c r="AN17" s="1"/>
      <c r="AP17" s="1" t="s">
        <v>17</v>
      </c>
      <c r="AQ17" s="1"/>
      <c r="AR17" s="1"/>
      <c r="AT17" s="3" t="s">
        <v>17</v>
      </c>
      <c r="AU17" s="1" t="s">
        <v>27</v>
      </c>
      <c r="AV17" s="1" t="n">
        <v>2</v>
      </c>
      <c r="AW17" s="1" t="n">
        <v>6</v>
      </c>
      <c r="AX17" s="1"/>
      <c r="AY17" s="0" t="s">
        <v>17</v>
      </c>
      <c r="AZ17" s="0" t="n">
        <v>1</v>
      </c>
      <c r="BA17" s="0" t="n">
        <v>5</v>
      </c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1" customFormat="true" ht="15.65" hidden="false" customHeight="false" outlineLevel="0" collapsed="false">
      <c r="A18" s="1" t="n">
        <v>9</v>
      </c>
      <c r="B18" s="1" t="s">
        <v>83</v>
      </c>
      <c r="C18" s="1" t="s">
        <v>84</v>
      </c>
      <c r="D18" s="1" t="s">
        <v>85</v>
      </c>
      <c r="E18" s="1" t="s">
        <v>17</v>
      </c>
      <c r="F18" s="1" t="s">
        <v>17</v>
      </c>
      <c r="G18" s="1" t="s">
        <v>17</v>
      </c>
      <c r="I18" s="1" t="s">
        <v>17</v>
      </c>
      <c r="K18" s="3" t="s">
        <v>17</v>
      </c>
      <c r="L18" s="3"/>
      <c r="M18" s="3" t="s">
        <v>17</v>
      </c>
      <c r="N18" s="3" t="s">
        <v>17</v>
      </c>
      <c r="O18" s="3" t="s">
        <v>49</v>
      </c>
      <c r="P18" s="3" t="s">
        <v>17</v>
      </c>
      <c r="Q18" s="3" t="n">
        <f aca="false">COUNTIF(E18:P18,"P")</f>
        <v>9</v>
      </c>
      <c r="R18" s="3" t="n">
        <f aca="false">COUNTIF(E18:P18,"A")</f>
        <v>0</v>
      </c>
      <c r="S18" s="3" t="n">
        <f aca="false">SUM(Q18:R18)</f>
        <v>9</v>
      </c>
      <c r="T18" s="4" t="n">
        <f aca="false">ROUND(Q18*10/S18,0)</f>
        <v>10</v>
      </c>
      <c r="U18" s="4" t="str">
        <f aca="false">IF(T18&gt;6,"TEA",IF(T18&gt;3,"TEP","TED"))</f>
        <v>TEA</v>
      </c>
      <c r="V18" s="3" t="s">
        <v>17</v>
      </c>
      <c r="W18" s="3" t="s">
        <v>86</v>
      </c>
      <c r="X18" s="1" t="s">
        <v>17</v>
      </c>
      <c r="Y18" s="1" t="n">
        <v>1</v>
      </c>
      <c r="Z18" s="1" t="s">
        <v>87</v>
      </c>
      <c r="AA18" s="1" t="s">
        <v>17</v>
      </c>
      <c r="AB18" s="1" t="n">
        <v>7</v>
      </c>
      <c r="AC18" s="3" t="s">
        <v>86</v>
      </c>
      <c r="AD18" s="3" t="s">
        <v>17</v>
      </c>
      <c r="AE18" s="1" t="n">
        <v>7</v>
      </c>
      <c r="AF18" s="3" t="s">
        <v>86</v>
      </c>
      <c r="AG18" s="3" t="s">
        <v>17</v>
      </c>
      <c r="AH18" s="3" t="s">
        <v>17</v>
      </c>
      <c r="AI18" s="1" t="n">
        <v>1</v>
      </c>
      <c r="AJ18" s="3" t="s">
        <v>86</v>
      </c>
      <c r="AK18" s="1" t="n">
        <v>10</v>
      </c>
      <c r="AL18" s="3" t="s">
        <v>86</v>
      </c>
      <c r="AM18" s="3" t="s">
        <v>17</v>
      </c>
      <c r="AN18" s="3" t="n">
        <v>9</v>
      </c>
      <c r="AO18" s="3" t="s">
        <v>86</v>
      </c>
      <c r="AP18" s="1" t="s">
        <v>17</v>
      </c>
      <c r="AQ18" s="1" t="n">
        <v>10</v>
      </c>
      <c r="AR18" s="1" t="s">
        <v>88</v>
      </c>
      <c r="AT18" s="1" t="s">
        <v>17</v>
      </c>
      <c r="AU18" s="1" t="s">
        <v>17</v>
      </c>
      <c r="AV18" s="1" t="n">
        <v>3</v>
      </c>
      <c r="AW18" s="1" t="n">
        <v>8</v>
      </c>
      <c r="AY18" s="0" t="s">
        <v>17</v>
      </c>
      <c r="AZ18" s="0" t="n">
        <v>7</v>
      </c>
      <c r="BA18" s="0" t="n">
        <v>6</v>
      </c>
    </row>
    <row r="19" s="1" customFormat="true" ht="15.65" hidden="false" customHeight="false" outlineLevel="0" collapsed="false">
      <c r="A19" s="1" t="n">
        <v>10</v>
      </c>
      <c r="B19" s="1" t="s">
        <v>89</v>
      </c>
      <c r="C19" s="1" t="s">
        <v>90</v>
      </c>
      <c r="D19" s="1" t="s">
        <v>85</v>
      </c>
      <c r="E19" s="1" t="s">
        <v>17</v>
      </c>
      <c r="F19" s="1" t="s">
        <v>17</v>
      </c>
      <c r="G19" s="3" t="s">
        <v>17</v>
      </c>
      <c r="H19" s="3"/>
      <c r="I19" s="3" t="s">
        <v>27</v>
      </c>
      <c r="J19" s="3"/>
      <c r="K19" s="3" t="s">
        <v>17</v>
      </c>
      <c r="L19" s="3"/>
      <c r="M19" s="3" t="s">
        <v>17</v>
      </c>
      <c r="N19" s="1" t="s">
        <v>17</v>
      </c>
      <c r="O19" s="1" t="s">
        <v>17</v>
      </c>
      <c r="P19" s="1" t="s">
        <v>17</v>
      </c>
      <c r="Q19" s="3" t="n">
        <f aca="false">COUNTIF(E19:P19,"P")</f>
        <v>8</v>
      </c>
      <c r="R19" s="3" t="n">
        <f aca="false">COUNTIF(E19:P19,"A")</f>
        <v>1</v>
      </c>
      <c r="S19" s="3" t="n">
        <f aca="false">SUM(Q19:R19)</f>
        <v>9</v>
      </c>
      <c r="T19" s="4" t="n">
        <f aca="false">ROUND(Q19*10/S19,0)</f>
        <v>9</v>
      </c>
      <c r="U19" s="4" t="str">
        <f aca="false">IF(T19&gt;6,"TEA",IF(T19&gt;3,"TEP","TED"))</f>
        <v>TEA</v>
      </c>
      <c r="V19" s="1" t="s">
        <v>17</v>
      </c>
      <c r="X19" s="1" t="s">
        <v>17</v>
      </c>
      <c r="Y19" s="1" t="n">
        <v>1</v>
      </c>
      <c r="AA19" s="1" t="s">
        <v>17</v>
      </c>
      <c r="AB19" s="1" t="n">
        <v>7</v>
      </c>
      <c r="AD19" s="3" t="s">
        <v>17</v>
      </c>
      <c r="AE19" s="1" t="n">
        <v>7</v>
      </c>
      <c r="AG19" s="1" t="s">
        <v>17</v>
      </c>
      <c r="AH19" s="1" t="s">
        <v>17</v>
      </c>
      <c r="AI19" s="1" t="n">
        <v>1</v>
      </c>
      <c r="AK19" s="1" t="s">
        <v>17</v>
      </c>
      <c r="AM19" s="1" t="s">
        <v>17</v>
      </c>
      <c r="AP19" s="1" t="s">
        <v>17</v>
      </c>
      <c r="AT19" s="1" t="s">
        <v>27</v>
      </c>
      <c r="AU19" s="1" t="s">
        <v>17</v>
      </c>
      <c r="AV19" s="1" t="n">
        <v>3</v>
      </c>
      <c r="AW19" s="1" t="n">
        <v>8</v>
      </c>
      <c r="AY19" s="0" t="s">
        <v>17</v>
      </c>
      <c r="AZ19" s="0" t="n">
        <v>7</v>
      </c>
      <c r="BA19" s="0" t="n">
        <v>6</v>
      </c>
    </row>
    <row r="20" s="1" customFormat="true" ht="15.65" hidden="false" customHeight="false" outlineLevel="0" collapsed="false">
      <c r="A20" s="1" t="n">
        <v>13</v>
      </c>
      <c r="B20" s="1" t="s">
        <v>91</v>
      </c>
      <c r="C20" s="1" t="s">
        <v>92</v>
      </c>
      <c r="D20" s="1" t="s">
        <v>85</v>
      </c>
      <c r="E20" s="1" t="s">
        <v>17</v>
      </c>
      <c r="F20" s="1" t="s">
        <v>17</v>
      </c>
      <c r="G20" s="1" t="s">
        <v>17</v>
      </c>
      <c r="I20" s="1" t="s">
        <v>17</v>
      </c>
      <c r="K20" s="1" t="s">
        <v>17</v>
      </c>
      <c r="M20" s="1" t="s">
        <v>17</v>
      </c>
      <c r="N20" s="3" t="s">
        <v>17</v>
      </c>
      <c r="O20" s="3" t="s">
        <v>17</v>
      </c>
      <c r="P20" s="3" t="s">
        <v>49</v>
      </c>
      <c r="Q20" s="3" t="n">
        <f aca="false">COUNTIF(E20:P20,"P")</f>
        <v>9</v>
      </c>
      <c r="R20" s="3" t="n">
        <f aca="false">COUNTIF(E20:P20,"A")</f>
        <v>0</v>
      </c>
      <c r="S20" s="3" t="n">
        <f aca="false">SUM(Q20:R20)</f>
        <v>9</v>
      </c>
      <c r="T20" s="4" t="n">
        <f aca="false">ROUND(Q20*10/S20,0)</f>
        <v>10</v>
      </c>
      <c r="U20" s="4" t="str">
        <f aca="false">IF(T20&gt;6,"TEA",IF(T20&gt;3,"TEP","TED"))</f>
        <v>TEA</v>
      </c>
      <c r="V20" s="3" t="s">
        <v>17</v>
      </c>
      <c r="X20" s="1" t="s">
        <v>17</v>
      </c>
      <c r="Y20" s="1" t="n">
        <v>1</v>
      </c>
      <c r="AA20" s="1" t="s">
        <v>17</v>
      </c>
      <c r="AB20" s="1" t="n">
        <v>7</v>
      </c>
      <c r="AD20" s="3" t="s">
        <v>17</v>
      </c>
      <c r="AE20" s="1" t="n">
        <v>7</v>
      </c>
      <c r="AG20" s="3" t="s">
        <v>17</v>
      </c>
      <c r="AH20" s="3" t="s">
        <v>17</v>
      </c>
      <c r="AI20" s="1" t="n">
        <v>1</v>
      </c>
      <c r="AK20" s="1" t="s">
        <v>17</v>
      </c>
      <c r="AM20" s="3" t="s">
        <v>17</v>
      </c>
      <c r="AN20" s="3"/>
      <c r="AP20" s="1" t="s">
        <v>17</v>
      </c>
      <c r="AT20" s="1" t="s">
        <v>27</v>
      </c>
      <c r="AU20" s="1" t="s">
        <v>17</v>
      </c>
      <c r="AV20" s="1" t="n">
        <v>3</v>
      </c>
      <c r="AW20" s="1" t="n">
        <v>8</v>
      </c>
      <c r="AY20" s="0" t="s">
        <v>17</v>
      </c>
      <c r="AZ20" s="0" t="n">
        <v>7</v>
      </c>
      <c r="BA20" s="0" t="n">
        <v>6</v>
      </c>
    </row>
    <row r="21" s="1" customFormat="true" ht="15.65" hidden="false" customHeight="false" outlineLevel="0" collapsed="false">
      <c r="A21" s="1" t="n">
        <v>20</v>
      </c>
      <c r="B21" s="1" t="s">
        <v>93</v>
      </c>
      <c r="C21" s="1" t="s">
        <v>94</v>
      </c>
      <c r="D21" s="1" t="s">
        <v>85</v>
      </c>
      <c r="E21" s="1" t="s">
        <v>17</v>
      </c>
      <c r="F21" s="1" t="s">
        <v>17</v>
      </c>
      <c r="G21" s="1" t="s">
        <v>17</v>
      </c>
      <c r="I21" s="1" t="s">
        <v>17</v>
      </c>
      <c r="K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3" t="n">
        <f aca="false">COUNTIF(E21:P21,"P")</f>
        <v>9</v>
      </c>
      <c r="R21" s="3" t="n">
        <f aca="false">COUNTIF(E21:P21,"A")</f>
        <v>0</v>
      </c>
      <c r="S21" s="3" t="n">
        <f aca="false">SUM(Q21:R21)</f>
        <v>9</v>
      </c>
      <c r="T21" s="4" t="n">
        <f aca="false">ROUND(Q21*10/S21,0)</f>
        <v>10</v>
      </c>
      <c r="U21" s="4" t="str">
        <f aca="false">IF(T21&gt;6,"TEA",IF(T21&gt;3,"TEP","TED"))</f>
        <v>TEA</v>
      </c>
      <c r="V21" s="1" t="s">
        <v>17</v>
      </c>
      <c r="X21" s="1" t="s">
        <v>17</v>
      </c>
      <c r="Y21" s="1" t="n">
        <v>1</v>
      </c>
      <c r="AA21" s="1" t="s">
        <v>17</v>
      </c>
      <c r="AB21" s="1" t="n">
        <v>7</v>
      </c>
      <c r="AD21" s="3" t="s">
        <v>17</v>
      </c>
      <c r="AE21" s="1" t="n">
        <v>7</v>
      </c>
      <c r="AG21" s="1" t="s">
        <v>27</v>
      </c>
      <c r="AH21" s="1" t="s">
        <v>27</v>
      </c>
      <c r="AI21" s="1" t="n">
        <v>1</v>
      </c>
      <c r="AK21" s="1" t="s">
        <v>17</v>
      </c>
      <c r="AM21" s="1" t="s">
        <v>17</v>
      </c>
      <c r="AP21" s="1" t="s">
        <v>17</v>
      </c>
      <c r="AT21" s="1" t="s">
        <v>17</v>
      </c>
      <c r="AU21" s="1" t="s">
        <v>17</v>
      </c>
      <c r="AV21" s="1" t="n">
        <v>3</v>
      </c>
      <c r="AW21" s="1" t="n">
        <v>8</v>
      </c>
      <c r="AY21" s="0" t="s">
        <v>17</v>
      </c>
      <c r="AZ21" s="0" t="n">
        <v>7</v>
      </c>
      <c r="BA21" s="0" t="n">
        <v>6</v>
      </c>
    </row>
    <row r="22" s="1" customFormat="true" ht="15" hidden="false" customHeight="false" outlineLevel="0" collapsed="false">
      <c r="AT22" s="1" t="n">
        <f aca="false">COUNTIF(AT2:AT21,"P")</f>
        <v>17</v>
      </c>
      <c r="AU22" s="1" t="n">
        <f aca="false">COUNTIF(AU2:AU21,"P")</f>
        <v>19</v>
      </c>
      <c r="AY22" s="1" t="n">
        <f aca="false">COUNTIF(AY2:AY21,"P")</f>
        <v>19</v>
      </c>
    </row>
    <row r="23" customFormat="false" ht="15" hidden="false" customHeight="false" outlineLevel="0" collapsed="false">
      <c r="C23" s="1" t="s">
        <v>95</v>
      </c>
      <c r="D23" s="1" t="s">
        <v>5</v>
      </c>
      <c r="E23" s="1" t="n">
        <f aca="false">COUNTIF(E2:E22,"P")</f>
        <v>18</v>
      </c>
      <c r="F23" s="1" t="n">
        <f aca="false">COUNTIF(F2:F22,"P")</f>
        <v>18</v>
      </c>
      <c r="G23" s="1" t="n">
        <f aca="false">COUNTIF(G2:G22,"P")</f>
        <v>19</v>
      </c>
      <c r="I23" s="1" t="n">
        <f aca="false">COUNTIF(I2:I22,"P")</f>
        <v>18</v>
      </c>
      <c r="K23" s="1" t="n">
        <f aca="false">COUNTIF(K2:K22,"P")</f>
        <v>19</v>
      </c>
      <c r="M23" s="1" t="n">
        <f aca="false">COUNTIF(M2:M22,"P")</f>
        <v>20</v>
      </c>
      <c r="N23" s="1" t="n">
        <f aca="false">COUNTIF(N2:N22,"P")</f>
        <v>20</v>
      </c>
      <c r="O23" s="1" t="n">
        <f aca="false">COUNTIF(O2:O22,"P")</f>
        <v>19</v>
      </c>
      <c r="P23" s="1" t="n">
        <f aca="false">COUNTIF(P2:P22,"P")</f>
        <v>19</v>
      </c>
      <c r="V23" s="1" t="n">
        <f aca="false">COUNTIF(V2:V22,"P")</f>
        <v>18</v>
      </c>
      <c r="X23" s="1" t="n">
        <f aca="false">COUNTIF(X2:X22,"P")</f>
        <v>19</v>
      </c>
      <c r="AA23" s="1" t="n">
        <f aca="false">COUNTIF(AA2:AA22,"P")</f>
        <v>18</v>
      </c>
      <c r="AD23" s="1" t="n">
        <f aca="false">COUNTIF(AD2:AD22,"P")</f>
        <v>20</v>
      </c>
      <c r="AG23" s="1" t="n">
        <f aca="false">COUNTIF(AG2:AG22,"P")</f>
        <v>14</v>
      </c>
      <c r="AK23" s="1" t="n">
        <f aca="false">COUNTIF(AK2:AK22,"P")</f>
        <v>14</v>
      </c>
      <c r="AP23" s="1" t="n">
        <f aca="false">COUNTIF(AP2:AP22,"P")</f>
        <v>19</v>
      </c>
    </row>
    <row r="24" customFormat="false" ht="15" hidden="false" customHeight="false" outlineLevel="0" collapsed="false">
      <c r="C24" s="1" t="s">
        <v>96</v>
      </c>
      <c r="D24" s="1" t="s">
        <v>96</v>
      </c>
      <c r="E24" s="1" t="n">
        <f aca="false">COUNTIF(E3:E17,"M")</f>
        <v>0</v>
      </c>
      <c r="F24" s="1" t="n">
        <f aca="false">COUNTIF(F3:F17,"M")</f>
        <v>0</v>
      </c>
      <c r="G24" s="1" t="n">
        <f aca="false">COUNTIF(G3:G17,"M")</f>
        <v>0</v>
      </c>
      <c r="I24" s="1" t="n">
        <f aca="false">COUNTIF(I3:I17,"M")</f>
        <v>0</v>
      </c>
      <c r="K24" s="1" t="n">
        <f aca="false">COUNTIF(K3:K17,"M")</f>
        <v>0</v>
      </c>
      <c r="M24" s="1" t="n">
        <f aca="false">COUNTIF(M3:M17,"M")</f>
        <v>0</v>
      </c>
      <c r="N24" s="1" t="n">
        <f aca="false">COUNTIF(N3:N17,"M")</f>
        <v>0</v>
      </c>
      <c r="O24" s="1" t="n">
        <f aca="false">COUNTIF(O3:O17,"M")</f>
        <v>0</v>
      </c>
      <c r="P24" s="1" t="n">
        <f aca="false">COUNTIF(P3:P17,"M")</f>
        <v>0</v>
      </c>
      <c r="V24" s="1" t="n">
        <f aca="false">COUNTIF(V3:V17,"M")</f>
        <v>0</v>
      </c>
      <c r="X24" s="1" t="n">
        <f aca="false">COUNTIF(X3:X17,"M")</f>
        <v>0</v>
      </c>
      <c r="AA24" s="1" t="n">
        <f aca="false">COUNTIF(AA3:AA17,"M")</f>
        <v>0</v>
      </c>
      <c r="AD24" s="1" t="n">
        <f aca="false">COUNTIF(AD3:AD17,"M")</f>
        <v>0</v>
      </c>
      <c r="AG24" s="1" t="n">
        <f aca="false">COUNTIF(AG3:AG17,"M")</f>
        <v>0</v>
      </c>
      <c r="AK24" s="1" t="n">
        <f aca="false">COUNTIF(AK3:AK17,"M")</f>
        <v>0</v>
      </c>
      <c r="AP24" s="1" t="n">
        <f aca="false">COUNTIF(AP3:AP17,"M")</f>
        <v>0</v>
      </c>
    </row>
    <row r="25" customFormat="false" ht="15" hidden="false" customHeight="false" outlineLevel="0" collapsed="false">
      <c r="C25" s="1" t="s">
        <v>97</v>
      </c>
      <c r="D25" s="1" t="s">
        <v>98</v>
      </c>
      <c r="E25" s="1" t="n">
        <f aca="false">COUNTIF(E3:E17,"T")</f>
        <v>0</v>
      </c>
      <c r="F25" s="1" t="n">
        <f aca="false">COUNTIF(F3:F17,"T")</f>
        <v>0</v>
      </c>
      <c r="G25" s="1" t="n">
        <f aca="false">COUNTIF(G3:G17,"T")</f>
        <v>0</v>
      </c>
      <c r="I25" s="1" t="n">
        <f aca="false">COUNTIF(I3:I17,"T")</f>
        <v>0</v>
      </c>
      <c r="K25" s="1" t="n">
        <f aca="false">COUNTIF(K3:K17,"T")</f>
        <v>0</v>
      </c>
      <c r="M25" s="1" t="n">
        <f aca="false">COUNTIF(M3:M17,"T")</f>
        <v>0</v>
      </c>
      <c r="N25" s="1" t="n">
        <f aca="false">COUNTIF(N3:N17,"T")</f>
        <v>0</v>
      </c>
      <c r="O25" s="1" t="n">
        <f aca="false">COUNTIF(O3:O17,"T")</f>
        <v>0</v>
      </c>
      <c r="P25" s="1" t="n">
        <f aca="false">COUNTIF(P3:P17,"T")</f>
        <v>0</v>
      </c>
      <c r="V25" s="1" t="n">
        <f aca="false">COUNTIF(V3:V17,"T")</f>
        <v>0</v>
      </c>
      <c r="X25" s="1" t="n">
        <f aca="false">COUNTIF(X3:X17,"T")</f>
        <v>0</v>
      </c>
      <c r="AA25" s="1" t="n">
        <f aca="false">COUNTIF(AA3:AA17,"T")</f>
        <v>0</v>
      </c>
      <c r="AD25" s="1" t="n">
        <f aca="false">COUNTIF(AD3:AD17,"T")</f>
        <v>0</v>
      </c>
      <c r="AG25" s="1" t="n">
        <f aca="false">COUNTIF(AG3:AG17,"T")</f>
        <v>0</v>
      </c>
      <c r="AK25" s="1" t="n">
        <f aca="false">COUNTIF(AK3:AK17,"T")</f>
        <v>0</v>
      </c>
      <c r="AP25" s="1" t="n">
        <f aca="false">COUNTIF(AP3:AP17,"T")</f>
        <v>0</v>
      </c>
    </row>
    <row r="26" customFormat="false" ht="15" hidden="false" customHeight="false" outlineLevel="0" collapsed="false">
      <c r="C26" s="1" t="s">
        <v>7</v>
      </c>
      <c r="E26" s="1" t="n">
        <f aca="false">SUM(E23:E25)</f>
        <v>18</v>
      </c>
      <c r="F26" s="1" t="n">
        <f aca="false">SUM(F23:F25)</f>
        <v>18</v>
      </c>
      <c r="G26" s="1" t="n">
        <f aca="false">SUM(G23:G25)</f>
        <v>19</v>
      </c>
      <c r="I26" s="1" t="n">
        <f aca="false">SUM(I23:I25)</f>
        <v>18</v>
      </c>
      <c r="K26" s="1" t="n">
        <f aca="false">SUM(K23:K25)</f>
        <v>19</v>
      </c>
      <c r="M26" s="1" t="n">
        <f aca="false">SUM(M23:M25)</f>
        <v>20</v>
      </c>
      <c r="N26" s="1" t="n">
        <f aca="false">SUM(N23:N25)</f>
        <v>20</v>
      </c>
      <c r="O26" s="1" t="n">
        <f aca="false">SUM(O23:O25)</f>
        <v>19</v>
      </c>
      <c r="P26" s="1" t="n">
        <f aca="false">SUM(P23:P25)</f>
        <v>19</v>
      </c>
      <c r="V26" s="1" t="n">
        <f aca="false">SUM(V23:V25)</f>
        <v>18</v>
      </c>
      <c r="X26" s="1" t="n">
        <f aca="false">SUM(X23:X25)</f>
        <v>19</v>
      </c>
      <c r="AA26" s="1" t="n">
        <f aca="false">SUM(AA23:AA25)</f>
        <v>18</v>
      </c>
      <c r="AD26" s="1" t="n">
        <f aca="false">SUM(AD23:AD25)</f>
        <v>20</v>
      </c>
      <c r="AG26" s="1" t="n">
        <f aca="false">SUM(AG23:AG25)</f>
        <v>14</v>
      </c>
      <c r="AK26" s="1" t="n">
        <f aca="false">SUM(AK23:AK25)</f>
        <v>14</v>
      </c>
      <c r="AP26" s="1" t="n">
        <f aca="false">SUM(AP23:AP25)</f>
        <v>19</v>
      </c>
    </row>
  </sheetData>
  <conditionalFormatting sqref="T2:T21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conditionalFormatting sqref="U2:U21">
    <cfRule type="cellIs" priority="5" operator="greaterThan" aboveAverage="0" equalAverage="0" bottom="0" percent="0" rank="0" text="" dxfId="0">
      <formula>6</formula>
    </cfRule>
    <cfRule type="cellIs" priority="6" operator="between" aboveAverage="0" equalAverage="0" bottom="0" percent="0" rank="0" text="" dxfId="1">
      <formula>4</formula>
      <formula>6</formula>
    </cfRule>
    <cfRule type="cellIs" priority="7" operator="lessThan" aboveAverage="0" equalAverage="0" bottom="0" percent="0" rank="0" text="" dxfId="2">
      <formula>4</formula>
    </cfRule>
    <cfRule type="cellIs" priority="8" operator="equal" aboveAverage="0" equalAverage="0" bottom="0" percent="0" rank="0" text="" dxfId="3">
      <formula>"TEA"</formula>
    </cfRule>
    <cfRule type="cellIs" priority="9" operator="equal" aboveAverage="0" equalAverage="0" bottom="0" percent="0" rank="0" text="" dxfId="4">
      <formula>"TEP"</formula>
    </cfRule>
    <cfRule type="cellIs" priority="10" operator="equal" aboveAverage="0" equalAverage="0" bottom="0" percent="0" rank="0" text="" dxfId="5">
      <formula>"TED"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2" activeCellId="0" sqref="K2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18.21"/>
    <col collapsed="false" customWidth="true" hidden="false" outlineLevel="0" max="3" min="3" style="1" width="19.44"/>
    <col collapsed="false" customWidth="true" hidden="false" outlineLevel="0" max="4" min="4" style="1" width="24.94"/>
    <col collapsed="false" customWidth="false" hidden="true" outlineLevel="0" max="5" min="5" style="1" width="9.62"/>
    <col collapsed="false" customWidth="true" hidden="false" outlineLevel="0" max="6" min="6" style="1" width="17.4"/>
    <col collapsed="false" customWidth="true" hidden="false" outlineLevel="0" max="7" min="7" style="1" width="18.92"/>
    <col collapsed="false" customWidth="true" hidden="false" outlineLevel="0" max="8" min="8" style="1" width="9.78"/>
    <col collapsed="false" customWidth="true" hidden="false" outlineLevel="0" max="16384" min="16339" style="1" width="10.58"/>
  </cols>
  <sheetData>
    <row r="1" customFormat="false" ht="15" hidden="false" customHeight="false" outlineLevel="0" collapsed="false">
      <c r="B1" s="3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99</v>
      </c>
      <c r="F2" s="1" t="s">
        <v>100</v>
      </c>
      <c r="G2" s="1" t="s">
        <v>101</v>
      </c>
      <c r="H2" s="1" t="s">
        <v>102</v>
      </c>
      <c r="I2" s="3" t="s">
        <v>8</v>
      </c>
      <c r="J2" s="3" t="s">
        <v>103</v>
      </c>
    </row>
    <row r="3" customFormat="false" ht="15.65" hidden="false" customHeight="false" outlineLevel="0" collapsed="false">
      <c r="A3" s="1" t="n">
        <v>1</v>
      </c>
      <c r="B3" s="1" t="s">
        <v>14</v>
      </c>
      <c r="C3" s="1" t="s">
        <v>15</v>
      </c>
      <c r="D3" s="1" t="s">
        <v>16</v>
      </c>
      <c r="E3" s="1" t="n">
        <v>10</v>
      </c>
      <c r="F3" s="4" t="n">
        <v>8</v>
      </c>
      <c r="G3" s="4" t="n">
        <v>7</v>
      </c>
      <c r="H3" s="4" t="n">
        <v>10</v>
      </c>
      <c r="I3" s="4" t="n">
        <v>10</v>
      </c>
      <c r="J3" s="4" t="str">
        <f aca="false">IF(I3&gt;6,"TEA",IF(I3&gt;3,"TEP","TED"))</f>
        <v>TEA</v>
      </c>
    </row>
    <row r="4" customFormat="false" ht="15.65" hidden="false" customHeight="false" outlineLevel="0" collapsed="false">
      <c r="A4" s="1" t="n">
        <v>2</v>
      </c>
      <c r="B4" s="1" t="s">
        <v>25</v>
      </c>
      <c r="C4" s="1" t="s">
        <v>26</v>
      </c>
      <c r="D4" s="1" t="s">
        <v>16</v>
      </c>
      <c r="E4" s="1" t="n">
        <v>7</v>
      </c>
      <c r="F4" s="4" t="n">
        <v>8</v>
      </c>
      <c r="G4" s="4" t="n">
        <v>7</v>
      </c>
      <c r="H4" s="4" t="n">
        <v>9</v>
      </c>
      <c r="I4" s="4" t="n">
        <v>9</v>
      </c>
      <c r="J4" s="4" t="str">
        <f aca="false">IF(I4&gt;6,"TEA",IF(I4&gt;3,"TEP","TED"))</f>
        <v>TEA</v>
      </c>
    </row>
    <row r="5" customFormat="false" ht="15.65" hidden="false" customHeight="false" outlineLevel="0" collapsed="false">
      <c r="A5" s="1" t="n">
        <v>3</v>
      </c>
      <c r="B5" s="1" t="s">
        <v>28</v>
      </c>
      <c r="C5" s="1" t="s">
        <v>29</v>
      </c>
      <c r="D5" s="1" t="s">
        <v>16</v>
      </c>
      <c r="E5" s="1" t="n">
        <v>1</v>
      </c>
      <c r="F5" s="4" t="n">
        <v>8</v>
      </c>
      <c r="G5" s="4" t="n">
        <v>7</v>
      </c>
      <c r="H5" s="4" t="n">
        <v>10</v>
      </c>
      <c r="I5" s="4" t="n">
        <v>10</v>
      </c>
      <c r="J5" s="4" t="str">
        <f aca="false">IF(I5&gt;6,"TEA",IF(I5&gt;3,"TEP","TED"))</f>
        <v>TEA</v>
      </c>
    </row>
    <row r="6" customFormat="false" ht="15.65" hidden="false" customHeight="false" outlineLevel="0" collapsed="false">
      <c r="A6" s="1" t="n">
        <v>4</v>
      </c>
      <c r="B6" s="1" t="s">
        <v>37</v>
      </c>
      <c r="C6" s="1" t="s">
        <v>38</v>
      </c>
      <c r="D6" s="1" t="s">
        <v>39</v>
      </c>
      <c r="E6" s="1" t="n">
        <v>1</v>
      </c>
      <c r="F6" s="4" t="n">
        <v>8</v>
      </c>
      <c r="G6" s="4" t="n">
        <v>7</v>
      </c>
      <c r="H6" s="4" t="n">
        <v>8</v>
      </c>
      <c r="I6" s="4" t="n">
        <v>9</v>
      </c>
      <c r="J6" s="4" t="str">
        <f aca="false">IF(I6&gt;6,"TEA",IF(I6&gt;3,"TEP","TED"))</f>
        <v>TEA</v>
      </c>
    </row>
    <row r="7" customFormat="false" ht="15.65" hidden="false" customHeight="false" outlineLevel="0" collapsed="false">
      <c r="A7" s="1" t="n">
        <v>5</v>
      </c>
      <c r="B7" s="1" t="s">
        <v>53</v>
      </c>
      <c r="C7" s="1" t="s">
        <v>54</v>
      </c>
      <c r="D7" s="1" t="s">
        <v>55</v>
      </c>
      <c r="E7" s="1" t="n">
        <v>9</v>
      </c>
      <c r="F7" s="4" t="n">
        <v>8</v>
      </c>
      <c r="G7" s="4" t="n">
        <v>7</v>
      </c>
      <c r="H7" s="4" t="n">
        <v>9</v>
      </c>
      <c r="I7" s="4" t="n">
        <v>9</v>
      </c>
      <c r="J7" s="4" t="str">
        <f aca="false">IF(I7&gt;6,"TEA",IF(I7&gt;3,"TEP","TED"))</f>
        <v>TEA</v>
      </c>
    </row>
    <row r="8" customFormat="false" ht="15.65" hidden="false" customHeight="false" outlineLevel="0" collapsed="false">
      <c r="A8" s="1" t="n">
        <v>6</v>
      </c>
      <c r="B8" s="1" t="s">
        <v>67</v>
      </c>
      <c r="C8" s="1" t="s">
        <v>68</v>
      </c>
      <c r="D8" s="1" t="s">
        <v>69</v>
      </c>
      <c r="E8" s="1" t="n">
        <v>10</v>
      </c>
      <c r="F8" s="4" t="n">
        <v>8</v>
      </c>
      <c r="G8" s="4" t="n">
        <v>7</v>
      </c>
      <c r="H8" s="4" t="n">
        <v>8</v>
      </c>
      <c r="I8" s="4" t="n">
        <v>8</v>
      </c>
      <c r="J8" s="4" t="str">
        <f aca="false">IF(I8&gt;6,"TEA",IF(I8&gt;3,"TEP","TED"))</f>
        <v>TEA</v>
      </c>
    </row>
    <row r="9" customFormat="false" ht="15.65" hidden="false" customHeight="false" outlineLevel="0" collapsed="false">
      <c r="A9" s="1" t="n">
        <v>7</v>
      </c>
      <c r="B9" s="1" t="s">
        <v>76</v>
      </c>
      <c r="C9" s="1" t="s">
        <v>77</v>
      </c>
      <c r="D9" s="1" t="s">
        <v>69</v>
      </c>
      <c r="E9" s="1" t="n">
        <v>1</v>
      </c>
      <c r="F9" s="4" t="n">
        <v>8</v>
      </c>
      <c r="G9" s="4" t="n">
        <v>6</v>
      </c>
      <c r="H9" s="4" t="n">
        <v>10</v>
      </c>
      <c r="I9" s="4" t="n">
        <v>10</v>
      </c>
      <c r="J9" s="4" t="str">
        <f aca="false">IF(I9&gt;6,"TEA",IF(I9&gt;3,"TEP","TED"))</f>
        <v>TEA</v>
      </c>
    </row>
    <row r="10" customFormat="false" ht="15.65" hidden="false" customHeight="false" outlineLevel="0" collapsed="false">
      <c r="A10" s="1" t="n">
        <v>8</v>
      </c>
      <c r="B10" s="1" t="s">
        <v>79</v>
      </c>
      <c r="C10" s="1" t="s">
        <v>80</v>
      </c>
      <c r="D10" s="1" t="s">
        <v>69</v>
      </c>
      <c r="E10" s="1" t="n">
        <v>8</v>
      </c>
      <c r="F10" s="4" t="n">
        <v>8</v>
      </c>
      <c r="G10" s="4" t="n">
        <v>6</v>
      </c>
      <c r="H10" s="4" t="n">
        <v>9</v>
      </c>
      <c r="I10" s="4" t="n">
        <v>9</v>
      </c>
      <c r="J10" s="4" t="str">
        <f aca="false">IF(I10&gt;6,"TEA",IF(I10&gt;3,"TEP","TED"))</f>
        <v>TEA</v>
      </c>
    </row>
    <row r="11" customFormat="false" ht="15.65" hidden="false" customHeight="false" outlineLevel="0" collapsed="false">
      <c r="A11" s="1" t="n">
        <v>9</v>
      </c>
      <c r="B11" s="1" t="s">
        <v>83</v>
      </c>
      <c r="C11" s="1" t="s">
        <v>84</v>
      </c>
      <c r="D11" s="1" t="s">
        <v>85</v>
      </c>
      <c r="E11" s="1" t="n">
        <v>10</v>
      </c>
      <c r="F11" s="4" t="n">
        <v>8</v>
      </c>
      <c r="G11" s="4" t="n">
        <v>6</v>
      </c>
      <c r="H11" s="4" t="n">
        <v>10</v>
      </c>
      <c r="I11" s="4" t="n">
        <v>10</v>
      </c>
      <c r="J11" s="4" t="str">
        <f aca="false">IF(I11&gt;6,"TEA",IF(I11&gt;3,"TEP","TED"))</f>
        <v>TEA</v>
      </c>
    </row>
    <row r="12" customFormat="false" ht="15.65" hidden="false" customHeight="false" outlineLevel="0" collapsed="false">
      <c r="A12" s="1" t="n">
        <v>10</v>
      </c>
      <c r="B12" s="1" t="s">
        <v>89</v>
      </c>
      <c r="C12" s="1" t="s">
        <v>90</v>
      </c>
      <c r="D12" s="1" t="s">
        <v>85</v>
      </c>
      <c r="F12" s="4" t="n">
        <v>9</v>
      </c>
      <c r="G12" s="4" t="n">
        <v>7</v>
      </c>
      <c r="H12" s="4" t="n">
        <v>9</v>
      </c>
      <c r="I12" s="4" t="n">
        <v>9</v>
      </c>
      <c r="J12" s="4" t="str">
        <f aca="false">IF(I12&gt;6,"TEA",IF(I12&gt;3,"TEP","TED"))</f>
        <v>TEA</v>
      </c>
    </row>
    <row r="13" customFormat="false" ht="15.65" hidden="false" customHeight="false" outlineLevel="0" collapsed="false">
      <c r="A13" s="1" t="n">
        <v>11</v>
      </c>
      <c r="B13" s="1" t="s">
        <v>30</v>
      </c>
      <c r="C13" s="1" t="s">
        <v>31</v>
      </c>
      <c r="D13" s="1" t="s">
        <v>16</v>
      </c>
      <c r="F13" s="4" t="n">
        <v>9</v>
      </c>
      <c r="G13" s="4" t="n">
        <v>7</v>
      </c>
      <c r="H13" s="4" t="n">
        <v>10</v>
      </c>
      <c r="I13" s="4" t="n">
        <v>10</v>
      </c>
      <c r="J13" s="4" t="str">
        <f aca="false">IF(I13&gt;6,"TEA",IF(I13&gt;3,"TEP","TED"))</f>
        <v>TEA</v>
      </c>
    </row>
    <row r="14" customFormat="false" ht="15.65" hidden="false" customHeight="false" outlineLevel="0" collapsed="false">
      <c r="A14" s="1" t="n">
        <v>12</v>
      </c>
      <c r="B14" s="1" t="s">
        <v>81</v>
      </c>
      <c r="C14" s="1" t="s">
        <v>82</v>
      </c>
      <c r="D14" s="1" t="s">
        <v>69</v>
      </c>
      <c r="F14" s="4" t="n">
        <v>9</v>
      </c>
      <c r="G14" s="4" t="n">
        <v>7</v>
      </c>
      <c r="H14" s="4" t="n">
        <v>10</v>
      </c>
      <c r="I14" s="4" t="n">
        <v>10</v>
      </c>
      <c r="J14" s="4" t="str">
        <f aca="false">IF(I14&gt;6,"TEA",IF(I14&gt;3,"TEP","TED"))</f>
        <v>TEA</v>
      </c>
    </row>
    <row r="15" customFormat="false" ht="15.65" hidden="false" customHeight="false" outlineLevel="0" collapsed="false">
      <c r="A15" s="1" t="n">
        <v>13</v>
      </c>
      <c r="B15" s="1" t="s">
        <v>91</v>
      </c>
      <c r="C15" s="1" t="s">
        <v>92</v>
      </c>
      <c r="D15" s="1" t="s">
        <v>85</v>
      </c>
      <c r="F15" s="4" t="n">
        <v>8</v>
      </c>
      <c r="G15" s="4" t="n">
        <v>6</v>
      </c>
      <c r="H15" s="4" t="n">
        <v>10</v>
      </c>
      <c r="I15" s="4" t="n">
        <v>10</v>
      </c>
      <c r="J15" s="4" t="str">
        <f aca="false">IF(I15&gt;6,"TEA",IF(I15&gt;3,"TEP","TED"))</f>
        <v>TEA</v>
      </c>
    </row>
    <row r="16" customFormat="false" ht="15.65" hidden="false" customHeight="false" outlineLevel="0" collapsed="false">
      <c r="A16" s="1" t="n">
        <v>14</v>
      </c>
      <c r="B16" s="1" t="s">
        <v>32</v>
      </c>
      <c r="C16" s="1" t="s">
        <v>33</v>
      </c>
      <c r="D16" s="1" t="s">
        <v>16</v>
      </c>
      <c r="F16" s="4" t="n">
        <v>8</v>
      </c>
      <c r="G16" s="4" t="n">
        <v>6</v>
      </c>
      <c r="H16" s="4" t="n">
        <v>8</v>
      </c>
      <c r="I16" s="4" t="n">
        <v>8</v>
      </c>
      <c r="J16" s="4" t="str">
        <f aca="false">IF(I16&gt;6,"TEA",IF(I16&gt;3,"TEP","TED"))</f>
        <v>TEA</v>
      </c>
    </row>
    <row r="17" customFormat="false" ht="15.65" hidden="false" customHeight="false" outlineLevel="0" collapsed="false">
      <c r="A17" s="1" t="n">
        <v>15</v>
      </c>
      <c r="B17" s="1" t="s">
        <v>61</v>
      </c>
      <c r="C17" s="1" t="s">
        <v>62</v>
      </c>
      <c r="D17" s="1" t="s">
        <v>55</v>
      </c>
      <c r="F17" s="4" t="n">
        <v>8</v>
      </c>
      <c r="G17" s="4" t="n">
        <v>6</v>
      </c>
      <c r="H17" s="4" t="n">
        <v>10</v>
      </c>
      <c r="I17" s="4" t="n">
        <v>10</v>
      </c>
      <c r="J17" s="4" t="str">
        <f aca="false">IF(I17&gt;6,"TEA",IF(I17&gt;3,"TEP","TED"))</f>
        <v>TEA</v>
      </c>
    </row>
    <row r="18" customFormat="false" ht="15.65" hidden="false" customHeight="false" outlineLevel="0" collapsed="false">
      <c r="A18" s="1" t="n">
        <v>16</v>
      </c>
      <c r="B18" s="1" t="s">
        <v>47</v>
      </c>
      <c r="C18" s="1" t="s">
        <v>48</v>
      </c>
      <c r="D18" s="1" t="s">
        <v>39</v>
      </c>
      <c r="F18" s="4" t="n">
        <v>8</v>
      </c>
      <c r="G18" s="4" t="n">
        <v>6</v>
      </c>
      <c r="H18" s="4" t="n">
        <v>10</v>
      </c>
      <c r="I18" s="4" t="n">
        <v>10</v>
      </c>
      <c r="J18" s="4" t="str">
        <f aca="false">IF(I18&gt;6,"TEA",IF(I18&gt;3,"TEP","TED"))</f>
        <v>TEA</v>
      </c>
    </row>
    <row r="19" customFormat="false" ht="15.65" hidden="false" customHeight="false" outlineLevel="0" collapsed="false">
      <c r="A19" s="1" t="n">
        <v>17</v>
      </c>
      <c r="B19" s="1" t="s">
        <v>64</v>
      </c>
      <c r="C19" s="1" t="s">
        <v>65</v>
      </c>
      <c r="D19" s="1" t="s">
        <v>55</v>
      </c>
      <c r="F19" s="4" t="n">
        <v>9</v>
      </c>
      <c r="G19" s="4" t="n">
        <v>6</v>
      </c>
      <c r="H19" s="4" t="n">
        <v>10</v>
      </c>
      <c r="I19" s="4" t="n">
        <v>10</v>
      </c>
      <c r="J19" s="4" t="str">
        <f aca="false">IF(I19&gt;6,"TEA",IF(I19&gt;3,"TEP","TED"))</f>
        <v>TEA</v>
      </c>
    </row>
    <row r="20" customFormat="false" ht="15.65" hidden="false" customHeight="false" outlineLevel="0" collapsed="false">
      <c r="A20" s="1" t="n">
        <v>18</v>
      </c>
      <c r="B20" s="1" t="s">
        <v>51</v>
      </c>
      <c r="C20" s="1" t="s">
        <v>52</v>
      </c>
      <c r="D20" s="1" t="s">
        <v>39</v>
      </c>
      <c r="F20" s="4" t="n">
        <v>9</v>
      </c>
      <c r="G20" s="4" t="n">
        <v>6</v>
      </c>
      <c r="H20" s="4" t="n">
        <v>9</v>
      </c>
      <c r="I20" s="4" t="n">
        <v>9</v>
      </c>
      <c r="J20" s="4" t="str">
        <f aca="false">IF(I20&gt;6,"TEA",IF(I20&gt;3,"TEP","TED"))</f>
        <v>TEA</v>
      </c>
    </row>
    <row r="21" customFormat="false" ht="15.65" hidden="false" customHeight="false" outlineLevel="0" collapsed="false">
      <c r="A21" s="1" t="n">
        <v>19</v>
      </c>
      <c r="B21" s="1" t="s">
        <v>35</v>
      </c>
      <c r="C21" s="1" t="s">
        <v>36</v>
      </c>
      <c r="D21" s="1" t="s">
        <v>16</v>
      </c>
      <c r="F21" s="4" t="n">
        <v>9</v>
      </c>
      <c r="G21" s="4" t="n">
        <v>6</v>
      </c>
      <c r="H21" s="4" t="n">
        <v>10</v>
      </c>
      <c r="I21" s="4" t="n">
        <v>10</v>
      </c>
      <c r="J21" s="4" t="str">
        <f aca="false">IF(I21&gt;6,"TEA",IF(I21&gt;3,"TEP","TED"))</f>
        <v>TEA</v>
      </c>
    </row>
    <row r="22" customFormat="false" ht="15.65" hidden="false" customHeight="false" outlineLevel="0" collapsed="false">
      <c r="A22" s="1" t="n">
        <v>20</v>
      </c>
      <c r="B22" s="1" t="s">
        <v>93</v>
      </c>
      <c r="C22" s="1" t="s">
        <v>94</v>
      </c>
      <c r="D22" s="1" t="s">
        <v>85</v>
      </c>
      <c r="F22" s="4" t="n">
        <v>9</v>
      </c>
      <c r="G22" s="4" t="n">
        <v>6</v>
      </c>
      <c r="H22" s="4" t="n">
        <v>10</v>
      </c>
      <c r="I22" s="4" t="n">
        <v>10</v>
      </c>
      <c r="J22" s="4" t="str">
        <f aca="false">IF(I22&gt;6,"TEA",IF(I22&gt;3,"TEP","TED"))</f>
        <v>TEA</v>
      </c>
    </row>
  </sheetData>
  <conditionalFormatting sqref="F3:J22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6">
      <formula>0</formula>
    </cfRule>
    <cfRule type="cellIs" priority="8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2025-05-05T16:11:10Z</dcterms:created>
  <dc:creator/>
  <dc:description/>
  <dc:language>es-AR</dc:language>
  <cp:lastModifiedBy/>
  <dcterms:modified xsi:type="dcterms:W3CDTF">2026-10-02T19:17:00Z</dcterms:modified>
  <cp:revision>150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