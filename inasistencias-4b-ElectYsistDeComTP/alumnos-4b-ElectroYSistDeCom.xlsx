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<sst xmlns="http://schemas.openxmlformats.org/spreadsheetml/2006/main" count="428" uniqueCount="86">
  <si>
    <t xml:space="preserve">nro</t>
  </si>
  <si>
    <t xml:space="preserve">Nombre</t>
  </si>
  <si>
    <t xml:space="preserve">Apellido(s)</t>
  </si>
  <si>
    <t xml:space="preserve">Grupos</t>
  </si>
  <si>
    <t xml:space="preserve">Grupo</t>
  </si>
  <si>
    <t xml:space="preserve">obs</t>
  </si>
  <si>
    <t xml:space="preserve">presentes</t>
  </si>
  <si>
    <t xml:space="preserve">ausentes</t>
  </si>
  <si>
    <t xml:space="preserve">total</t>
  </si>
  <si>
    <t xml:space="preserve">nota</t>
  </si>
  <si>
    <t xml:space="preserve">Val Ped</t>
  </si>
  <si>
    <t xml:space="preserve">Victoria</t>
  </si>
  <si>
    <t xml:space="preserve">ANDRADA BASCOPE</t>
  </si>
  <si>
    <t xml:space="preserve">1-Hidroelectrica</t>
  </si>
  <si>
    <t xml:space="preserve">1-hidroejectrica</t>
  </si>
  <si>
    <t xml:space="preserve">P</t>
  </si>
  <si>
    <t xml:space="preserve">traer el prototipo</t>
  </si>
  <si>
    <t xml:space="preserve">no trajo, traer prototipo según el digubjo, con ladron de joules</t>
  </si>
  <si>
    <t xml:space="preserve">circuito soldado y andando</t>
  </si>
  <si>
    <t xml:space="preserve">Eugenia</t>
  </si>
  <si>
    <t xml:space="preserve">Barzaghi Martínez</t>
  </si>
  <si>
    <t xml:space="preserve">A</t>
  </si>
  <si>
    <t xml:space="preserve">Dylan Gaston</t>
  </si>
  <si>
    <t xml:space="preserve">CARABAJAL</t>
  </si>
  <si>
    <t xml:space="preserve">Tadeo Martin</t>
  </si>
  <si>
    <t xml:space="preserve">LAGOS</t>
  </si>
  <si>
    <t xml:space="preserve">3-solar</t>
  </si>
  <si>
    <t xml:space="preserve">Benicio Valentin</t>
  </si>
  <si>
    <t xml:space="preserve">LUNA SERRANO</t>
  </si>
  <si>
    <t xml:space="preserve">4-pila de magnesion y cobre</t>
  </si>
  <si>
    <t xml:space="preserve">se vio en cuaderno</t>
  </si>
  <si>
    <t xml:space="preserve">Nicolás</t>
  </si>
  <si>
    <t xml:space="preserve">TISEYRA</t>
  </si>
  <si>
    <t xml:space="preserve">5-pizo electrico</t>
  </si>
  <si>
    <t xml:space="preserve">Zaira Ruth</t>
  </si>
  <si>
    <t xml:space="preserve">Chucusea Quiroga</t>
  </si>
  <si>
    <t xml:space="preserve">2-biomasa y eolica</t>
  </si>
  <si>
    <t xml:space="preserve">descompuesta</t>
  </si>
  <si>
    <t xml:space="preserve">van a traer las boterras, fotos</t>
  </si>
  <si>
    <t xml:space="preserve">Julieta</t>
  </si>
  <si>
    <t xml:space="preserve">RODRIGUEZ MIÑO</t>
  </si>
  <si>
    <t xml:space="preserve">p</t>
  </si>
  <si>
    <t xml:space="preserve">Piden cambiar a energia eolica</t>
  </si>
  <si>
    <t xml:space="preserve">Lucas Emanuel</t>
  </si>
  <si>
    <t xml:space="preserve">SUÁREZ CESPEDES</t>
  </si>
  <si>
    <t xml:space="preserve">Santino Jonas</t>
  </si>
  <si>
    <t xml:space="preserve">CORREA</t>
  </si>
  <si>
    <t xml:space="preserve">traer panel solar , bateria de plomo</t>
  </si>
  <si>
    <t xml:space="preserve">no trajeron foto, para la proxima</t>
  </si>
  <si>
    <t xml:space="preserve">Farid Emir</t>
  </si>
  <si>
    <t xml:space="preserve">PEREYRA</t>
  </si>
  <si>
    <t xml:space="preserve">Tobías Valentín</t>
  </si>
  <si>
    <t xml:space="preserve">SANTILLÁN GÜERCI</t>
  </si>
  <si>
    <t xml:space="preserve">O</t>
  </si>
  <si>
    <t xml:space="preserve">Ivan Delmenico</t>
  </si>
  <si>
    <t xml:space="preserve">DELMENICO</t>
  </si>
  <si>
    <t xml:space="preserve">4-pila de cobre y magnesio</t>
  </si>
  <si>
    <t xml:space="preserve">traer el material, para mostrar funcionamiento</t>
  </si>
  <si>
    <t xml:space="preserve"> traer el material, para mostrar funcionamiento x3</t>
  </si>
  <si>
    <t xml:space="preserve">Paloma Marianella</t>
  </si>
  <si>
    <t xml:space="preserve">FARIAS RUIZ</t>
  </si>
  <si>
    <t xml:space="preserve">León</t>
  </si>
  <si>
    <t xml:space="preserve">FERREYRA GARNERO</t>
  </si>
  <si>
    <t xml:space="preserve">Sophie Micaela</t>
  </si>
  <si>
    <t xml:space="preserve">LEMOS</t>
  </si>
  <si>
    <t xml:space="preserve">Axel Ian</t>
  </si>
  <si>
    <t xml:space="preserve">FLEITAS</t>
  </si>
  <si>
    <t xml:space="preserve">5-pizoelectricos</t>
  </si>
  <si>
    <t xml:space="preserve">Traer 3 pizo electricos coun una baldoza armada, ver tema ladron de joule</t>
  </si>
  <si>
    <t xml:space="preserve">no tenemos material</t>
  </si>
  <si>
    <t xml:space="preserve">Thiago Ezquiel</t>
  </si>
  <si>
    <t xml:space="preserve">GOMEZ</t>
  </si>
  <si>
    <t xml:space="preserve">3-biomasa y eolica</t>
  </si>
  <si>
    <t xml:space="preserve">Mateo Bautista</t>
  </si>
  <si>
    <t xml:space="preserve">LESCANO</t>
  </si>
  <si>
    <t xml:space="preserve">Ezequiel Ricardo</t>
  </si>
  <si>
    <t xml:space="preserve">ZAPATA SANTOS</t>
  </si>
  <si>
    <t xml:space="preserve">presente</t>
  </si>
  <si>
    <t xml:space="preserve">media falta</t>
  </si>
  <si>
    <t xml:space="preserve">tarde</t>
  </si>
  <si>
    <t xml:space="preserve">Tarde</t>
  </si>
  <si>
    <t xml:space="preserve">1-material</t>
  </si>
  <si>
    <t xml:space="preserve">2-primera impresion</t>
  </si>
  <si>
    <t xml:space="preserve">3-leyde faraday</t>
  </si>
  <si>
    <t xml:space="preserve">asistencia</t>
  </si>
  <si>
    <t xml:space="preserve">valoracion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</si>
</sst>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000000"/>
        <sz val="12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6"/>
  <sheetViews>
    <sheetView showFormulas="false" showGridLines="true" showRowColHeaders="true" showZeros="true" rightToLeft="false" tabSelected="true" showOutlineSymbols="true" defaultGridColor="true" view="normal" topLeftCell="Y1" colorId="64" zoomScale="85" zoomScaleNormal="85" zoomScalePageLayoutView="100" workbookViewId="0">
      <selection pane="topLeft" activeCell="AD20" activeCellId="0" sqref="AD20"/>
    </sheetView>
  </sheetViews>
  <sheetFormatPr defaultColWidth="8.78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19.44"/>
    <col collapsed="false" customWidth="true" hidden="false" outlineLevel="0" max="4" min="4" style="1" width="31.19"/>
    <col collapsed="false" customWidth="true" hidden="true" outlineLevel="0" max="5" min="5" style="1" width="24.5"/>
    <col collapsed="false" customWidth="true" hidden="true" outlineLevel="0" max="6" min="6" style="1" width="8.62"/>
    <col collapsed="false" customWidth="false" hidden="true" outlineLevel="0" max="12" min="7" style="1" width="8.79"/>
    <col collapsed="false" customWidth="true" hidden="true" outlineLevel="0" max="13" min="13" style="1" width="13.32"/>
    <col collapsed="false" customWidth="false" hidden="true" outlineLevel="0" max="22" min="14" style="1" width="8.79"/>
    <col collapsed="false" customWidth="false" hidden="true" outlineLevel="0" max="23" min="23" style="0" width="8.79"/>
    <col collapsed="false" customWidth="true" hidden="false" outlineLevel="0" max="24" min="24" style="1" width="63.84"/>
    <col collapsed="false" customWidth="true" hidden="false" outlineLevel="0" max="27" min="27" style="1" width="53.33"/>
    <col collapsed="false" customWidth="true" hidden="false" outlineLevel="0" max="30" min="30" style="0" width="63.84"/>
    <col collapsed="false" customWidth="true" hidden="false" outlineLevel="0" max="16384" min="16326" style="1" width="10.5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n">
        <v>46093</v>
      </c>
      <c r="G1" s="3" t="n">
        <v>46108</v>
      </c>
      <c r="H1" s="3" t="n">
        <v>46122</v>
      </c>
      <c r="I1" s="3"/>
      <c r="J1" s="3" t="n">
        <v>46129</v>
      </c>
      <c r="K1" s="3"/>
      <c r="L1" s="3" t="n">
        <v>46136</v>
      </c>
      <c r="M1" s="3" t="s">
        <v>5</v>
      </c>
      <c r="N1" s="3" t="n">
        <v>46150</v>
      </c>
      <c r="O1" s="3" t="n">
        <v>46157</v>
      </c>
      <c r="P1" s="3" t="n">
        <v>46164</v>
      </c>
      <c r="Q1" s="3" t="n">
        <v>46171</v>
      </c>
      <c r="R1" s="3" t="s">
        <v>6</v>
      </c>
      <c r="S1" s="3" t="s">
        <v>7</v>
      </c>
      <c r="T1" s="3" t="s">
        <v>8</v>
      </c>
      <c r="U1" s="3" t="s">
        <v>9</v>
      </c>
      <c r="V1" s="3" t="s">
        <v>10</v>
      </c>
      <c r="W1" s="3" t="n">
        <v>46178</v>
      </c>
      <c r="X1" s="3" t="s">
        <v>5</v>
      </c>
      <c r="Y1" s="3" t="n">
        <v>46185</v>
      </c>
      <c r="Z1" s="3" t="s">
        <v>9</v>
      </c>
      <c r="AA1" s="3" t="s">
        <v>5</v>
      </c>
      <c r="AB1" s="3" t="n">
        <v>46192</v>
      </c>
      <c r="AC1" s="3"/>
      <c r="AD1" s="3" t="s">
        <v>5</v>
      </c>
      <c r="AE1" s="3" t="n">
        <v>46199</v>
      </c>
      <c r="AF1" s="3" t="n">
        <v>46206</v>
      </c>
      <c r="AG1" s="3" t="n">
        <v>46213</v>
      </c>
      <c r="AH1" s="3" t="n">
        <v>46220</v>
      </c>
      <c r="AI1" s="3" t="n">
        <v>46227</v>
      </c>
      <c r="AJ1" s="3" t="n">
        <v>46234</v>
      </c>
      <c r="AK1" s="3" t="n">
        <v>46241</v>
      </c>
      <c r="AL1" s="3" t="n">
        <v>46248</v>
      </c>
      <c r="AM1" s="3" t="n">
        <v>46255</v>
      </c>
      <c r="AN1" s="3" t="n">
        <v>46262</v>
      </c>
      <c r="AO1" s="3" t="n">
        <v>46269</v>
      </c>
      <c r="AP1" s="3" t="n">
        <v>46276</v>
      </c>
      <c r="AQ1" s="3" t="n">
        <v>46283</v>
      </c>
      <c r="AR1" s="3" t="n">
        <v>46290</v>
      </c>
      <c r="AS1" s="3" t="n">
        <v>46297</v>
      </c>
      <c r="AT1" s="3" t="n">
        <v>46304</v>
      </c>
      <c r="AU1" s="3" t="n">
        <v>46311</v>
      </c>
      <c r="AV1" s="3" t="n">
        <v>46318</v>
      </c>
      <c r="AW1" s="3" t="n">
        <v>46325</v>
      </c>
      <c r="AX1" s="3" t="n">
        <v>46332</v>
      </c>
      <c r="AY1" s="3" t="n">
        <v>46339</v>
      </c>
      <c r="AZ1" s="3" t="n">
        <v>46346</v>
      </c>
      <c r="BA1" s="3" t="n">
        <v>46353</v>
      </c>
      <c r="BB1" s="3" t="n">
        <v>46360</v>
      </c>
      <c r="BC1" s="3" t="n">
        <v>46367</v>
      </c>
      <c r="BD1" s="3" t="n">
        <v>46374</v>
      </c>
      <c r="BE1" s="3" t="n">
        <v>46381</v>
      </c>
    </row>
    <row r="2" customFormat="false" ht="15.65" hidden="false" customHeight="false" outlineLevel="0" collapsed="false">
      <c r="A2" s="1" t="n">
        <v>1</v>
      </c>
      <c r="B2" s="1" t="s">
        <v>11</v>
      </c>
      <c r="C2" s="1" t="s">
        <v>12</v>
      </c>
      <c r="D2" s="1" t="s">
        <v>13</v>
      </c>
      <c r="E2" s="2" t="s">
        <v>14</v>
      </c>
      <c r="F2" s="1" t="s">
        <v>15</v>
      </c>
      <c r="G2" s="2" t="s">
        <v>15</v>
      </c>
      <c r="H2" s="2" t="s">
        <v>15</v>
      </c>
      <c r="I2" s="2"/>
      <c r="J2" s="2" t="s">
        <v>15</v>
      </c>
      <c r="K2" s="2"/>
      <c r="L2" s="2" t="s">
        <v>15</v>
      </c>
      <c r="N2" s="2" t="s">
        <v>15</v>
      </c>
      <c r="O2" s="2" t="s">
        <v>15</v>
      </c>
      <c r="P2" s="2" t="s">
        <v>15</v>
      </c>
      <c r="Q2" s="2" t="s">
        <v>15</v>
      </c>
      <c r="R2" s="2" t="n">
        <f aca="false">COUNTIF(F2:Q2,"P")</f>
        <v>9</v>
      </c>
      <c r="S2" s="2" t="n">
        <f aca="false">COUNTIF(F2:Q2,"A")</f>
        <v>0</v>
      </c>
      <c r="T2" s="2" t="n">
        <f aca="false">SUM(R2:S2)</f>
        <v>9</v>
      </c>
      <c r="U2" s="4" t="n">
        <f aca="false">ROUND(R2*10/T2,0)</f>
        <v>10</v>
      </c>
      <c r="V2" s="4" t="str">
        <f aca="false">IF(U2&gt;6,"TEA",IF(U2&gt;3,"TEP","TED"))</f>
        <v>TEA</v>
      </c>
      <c r="W2" s="2" t="s">
        <v>15</v>
      </c>
      <c r="X2" s="2" t="s">
        <v>16</v>
      </c>
      <c r="Y2" s="2" t="s">
        <v>15</v>
      </c>
      <c r="Z2" s="1" t="n">
        <v>9</v>
      </c>
      <c r="AA2" s="2" t="s">
        <v>17</v>
      </c>
      <c r="AB2" s="5" t="s">
        <v>15</v>
      </c>
      <c r="AC2" s="0" t="n">
        <v>9</v>
      </c>
      <c r="AD2" s="5" t="s">
        <v>18</v>
      </c>
      <c r="BF2" s="3"/>
      <c r="BG2" s="3"/>
      <c r="BH2" s="3"/>
    </row>
    <row r="3" s="2" customFormat="true" ht="15.65" hidden="false" customHeight="false" outlineLevel="0" collapsed="false">
      <c r="A3" s="1" t="n">
        <v>2</v>
      </c>
      <c r="B3" s="1" t="s">
        <v>19</v>
      </c>
      <c r="C3" s="1" t="s">
        <v>20</v>
      </c>
      <c r="D3" s="1" t="s">
        <v>13</v>
      </c>
      <c r="E3" s="2" t="s">
        <v>14</v>
      </c>
      <c r="F3" s="1" t="s">
        <v>15</v>
      </c>
      <c r="G3" s="2" t="s">
        <v>21</v>
      </c>
      <c r="H3" s="2" t="s">
        <v>15</v>
      </c>
      <c r="J3" s="2" t="s">
        <v>15</v>
      </c>
      <c r="L3" s="2" t="s">
        <v>15</v>
      </c>
      <c r="N3" s="2" t="s">
        <v>15</v>
      </c>
      <c r="O3" s="2" t="s">
        <v>15</v>
      </c>
      <c r="P3" s="2" t="s">
        <v>15</v>
      </c>
      <c r="Q3" s="2" t="s">
        <v>15</v>
      </c>
      <c r="R3" s="2" t="n">
        <f aca="false">COUNTIF(F3:Q3,"P")</f>
        <v>8</v>
      </c>
      <c r="S3" s="2" t="n">
        <f aca="false">COUNTIF(F3:Q3,"A")</f>
        <v>1</v>
      </c>
      <c r="T3" s="2" t="n">
        <f aca="false">SUM(R3:S3)</f>
        <v>9</v>
      </c>
      <c r="U3" s="4" t="n">
        <f aca="false">ROUND(R3*10/T3,0)</f>
        <v>9</v>
      </c>
      <c r="V3" s="4" t="str">
        <f aca="false">IF(U3&gt;6,"TEA",IF(U3&gt;3,"TEP","TED"))</f>
        <v>TEA</v>
      </c>
      <c r="W3" s="2" t="s">
        <v>21</v>
      </c>
      <c r="Y3" s="2" t="s">
        <v>15</v>
      </c>
      <c r="Z3" s="2" t="n">
        <v>9</v>
      </c>
      <c r="AB3" s="2" t="s">
        <v>15</v>
      </c>
      <c r="XCX3" s="1"/>
      <c r="XCY3" s="1"/>
      <c r="XCZ3" s="1"/>
      <c r="XDA3" s="1"/>
      <c r="XDB3" s="1"/>
      <c r="XDC3" s="1"/>
      <c r="XDD3" s="1"/>
      <c r="XDE3" s="1"/>
      <c r="XDF3" s="1"/>
      <c r="XDG3" s="1"/>
      <c r="XDH3" s="1"/>
      <c r="XDI3" s="1"/>
      <c r="XDJ3" s="1"/>
      <c r="XDK3" s="1"/>
      <c r="XDL3" s="1"/>
      <c r="XDM3" s="1"/>
      <c r="XDN3" s="1"/>
      <c r="XDO3" s="1"/>
      <c r="XDP3" s="1"/>
      <c r="XDQ3" s="1"/>
      <c r="XDR3" s="1"/>
      <c r="XDS3" s="1"/>
      <c r="XDT3" s="1"/>
      <c r="XDU3" s="1"/>
      <c r="XDV3" s="1"/>
      <c r="XDW3" s="1"/>
      <c r="XDX3" s="1"/>
      <c r="XDY3" s="1"/>
      <c r="XDZ3" s="1"/>
      <c r="XEA3" s="1"/>
      <c r="XEB3" s="1"/>
      <c r="XEC3" s="1"/>
      <c r="XED3" s="1"/>
      <c r="XEE3" s="1"/>
      <c r="XEF3" s="1"/>
      <c r="XEG3" s="1"/>
      <c r="XEH3" s="1"/>
      <c r="XEI3" s="1"/>
      <c r="XEJ3" s="1"/>
      <c r="XEK3" s="1"/>
      <c r="XEL3" s="1"/>
      <c r="XEM3" s="1"/>
      <c r="XEN3" s="1"/>
      <c r="XEO3" s="1"/>
      <c r="XEP3" s="1"/>
      <c r="XEQ3" s="1"/>
      <c r="XER3" s="1"/>
      <c r="XES3" s="1"/>
      <c r="XET3" s="1"/>
      <c r="XEU3" s="1"/>
      <c r="XEV3" s="1"/>
      <c r="XEW3" s="1"/>
      <c r="XEX3" s="1"/>
      <c r="XEY3" s="1"/>
      <c r="XEZ3" s="1"/>
      <c r="XFA3" s="1"/>
      <c r="XFB3" s="1"/>
      <c r="XFC3" s="1"/>
      <c r="XFD3" s="1"/>
    </row>
    <row r="4" s="2" customFormat="true" ht="15.65" hidden="false" customHeight="false" outlineLevel="0" collapsed="false">
      <c r="A4" s="1" t="n">
        <v>3</v>
      </c>
      <c r="B4" s="1" t="s">
        <v>22</v>
      </c>
      <c r="C4" s="1" t="s">
        <v>23</v>
      </c>
      <c r="D4" s="1" t="s">
        <v>13</v>
      </c>
      <c r="E4" s="2" t="s">
        <v>14</v>
      </c>
      <c r="F4" s="1" t="s">
        <v>15</v>
      </c>
      <c r="G4" s="1" t="s">
        <v>15</v>
      </c>
      <c r="H4" s="2" t="s">
        <v>15</v>
      </c>
      <c r="J4" s="2" t="s">
        <v>15</v>
      </c>
      <c r="L4" s="2" t="s">
        <v>15</v>
      </c>
      <c r="N4" s="2" t="s">
        <v>15</v>
      </c>
      <c r="O4" s="2" t="s">
        <v>15</v>
      </c>
      <c r="P4" s="2" t="s">
        <v>15</v>
      </c>
      <c r="Q4" s="2" t="s">
        <v>15</v>
      </c>
      <c r="R4" s="2" t="n">
        <f aca="false">COUNTIF(F4:Q4,"P")</f>
        <v>9</v>
      </c>
      <c r="S4" s="2" t="n">
        <f aca="false">COUNTIF(F4:Q4,"A")</f>
        <v>0</v>
      </c>
      <c r="T4" s="2" t="n">
        <f aca="false">SUM(R4:S4)</f>
        <v>9</v>
      </c>
      <c r="U4" s="4" t="n">
        <f aca="false">ROUND(R4*10/T4,0)</f>
        <v>10</v>
      </c>
      <c r="V4" s="4" t="str">
        <f aca="false">IF(U4&gt;6,"TEA",IF(U4&gt;3,"TEP","TED"))</f>
        <v>TEA</v>
      </c>
      <c r="W4" s="2" t="s">
        <v>15</v>
      </c>
      <c r="Y4" s="2" t="s">
        <v>15</v>
      </c>
      <c r="Z4" s="2" t="n">
        <v>9</v>
      </c>
      <c r="AB4" s="2" t="s">
        <v>15</v>
      </c>
      <c r="XCX4" s="1"/>
      <c r="XCY4" s="1"/>
      <c r="XCZ4" s="1"/>
      <c r="XDA4" s="1"/>
      <c r="XDB4" s="1"/>
      <c r="XDC4" s="1"/>
      <c r="XDD4" s="1"/>
      <c r="XDE4" s="1"/>
      <c r="XDF4" s="1"/>
      <c r="XDG4" s="1"/>
      <c r="XDH4" s="1"/>
      <c r="XDI4" s="1"/>
      <c r="XDJ4" s="1"/>
      <c r="XDK4" s="1"/>
      <c r="XDL4" s="1"/>
      <c r="XDM4" s="1"/>
      <c r="XDN4" s="1"/>
      <c r="XDO4" s="1"/>
      <c r="XDP4" s="1"/>
      <c r="XDQ4" s="1"/>
      <c r="XDR4" s="1"/>
      <c r="XDS4" s="1"/>
      <c r="XDT4" s="1"/>
      <c r="XDU4" s="1"/>
      <c r="XDV4" s="1"/>
      <c r="XDW4" s="1"/>
      <c r="XDX4" s="1"/>
      <c r="XDY4" s="1"/>
      <c r="XDZ4" s="1"/>
      <c r="XEA4" s="1"/>
      <c r="XEB4" s="1"/>
      <c r="XEC4" s="1"/>
      <c r="XED4" s="1"/>
      <c r="XEE4" s="1"/>
      <c r="XEF4" s="1"/>
      <c r="XEG4" s="1"/>
      <c r="XEH4" s="1"/>
      <c r="XEI4" s="1"/>
      <c r="XEJ4" s="1"/>
      <c r="XEK4" s="1"/>
      <c r="XEL4" s="1"/>
      <c r="XEM4" s="1"/>
      <c r="XEN4" s="1"/>
      <c r="XEO4" s="1"/>
      <c r="XEP4" s="1"/>
      <c r="XEQ4" s="1"/>
      <c r="XER4" s="1"/>
      <c r="XES4" s="1"/>
      <c r="XET4" s="1"/>
      <c r="XEU4" s="1"/>
      <c r="XEV4" s="1"/>
      <c r="XEW4" s="1"/>
      <c r="XEX4" s="1"/>
      <c r="XEY4" s="1"/>
      <c r="XEZ4" s="1"/>
      <c r="XFA4" s="1"/>
      <c r="XFB4" s="1"/>
      <c r="XFC4" s="1"/>
      <c r="XFD4" s="1"/>
    </row>
    <row r="5" s="1" customFormat="true" ht="15.65" hidden="false" customHeight="false" outlineLevel="0" collapsed="false">
      <c r="A5" s="1" t="n">
        <v>11</v>
      </c>
      <c r="B5" s="1" t="s">
        <v>24</v>
      </c>
      <c r="C5" s="1" t="s">
        <v>25</v>
      </c>
      <c r="D5" s="1" t="s">
        <v>13</v>
      </c>
      <c r="E5" s="2" t="s">
        <v>26</v>
      </c>
      <c r="F5" s="1" t="s">
        <v>15</v>
      </c>
      <c r="G5" s="1" t="s">
        <v>15</v>
      </c>
      <c r="H5" s="1" t="s">
        <v>15</v>
      </c>
      <c r="J5" s="1" t="s">
        <v>15</v>
      </c>
      <c r="L5" s="1" t="s">
        <v>15</v>
      </c>
      <c r="N5" s="1" t="s">
        <v>15</v>
      </c>
      <c r="O5" s="1" t="s">
        <v>15</v>
      </c>
      <c r="P5" s="1" t="s">
        <v>15</v>
      </c>
      <c r="Q5" s="1" t="s">
        <v>15</v>
      </c>
      <c r="R5" s="2" t="n">
        <f aca="false">COUNTIF(F5:Q5,"P")</f>
        <v>9</v>
      </c>
      <c r="S5" s="2" t="n">
        <f aca="false">COUNTIF(F5:Q5,"A")</f>
        <v>0</v>
      </c>
      <c r="T5" s="2" t="n">
        <f aca="false">SUM(R5:S5)</f>
        <v>9</v>
      </c>
      <c r="U5" s="4" t="n">
        <f aca="false">ROUND(R5*10/T5,0)</f>
        <v>10</v>
      </c>
      <c r="V5" s="4" t="str">
        <f aca="false">IF(U5&gt;6,"TEA",IF(U5&gt;3,"TEP","TED"))</f>
        <v>TEA</v>
      </c>
      <c r="W5" s="1" t="s">
        <v>15</v>
      </c>
      <c r="Y5" s="1" t="s">
        <v>15</v>
      </c>
      <c r="Z5" s="1" t="n">
        <v>9</v>
      </c>
      <c r="AB5" s="1" t="s">
        <v>15</v>
      </c>
    </row>
    <row r="6" s="1" customFormat="true" ht="15.65" hidden="false" customHeight="false" outlineLevel="0" collapsed="false">
      <c r="A6" s="6" t="n">
        <v>14</v>
      </c>
      <c r="B6" s="6" t="s">
        <v>27</v>
      </c>
      <c r="C6" s="6" t="s">
        <v>28</v>
      </c>
      <c r="D6" s="6" t="s">
        <v>13</v>
      </c>
      <c r="E6" s="7" t="s">
        <v>29</v>
      </c>
      <c r="F6" s="6" t="s">
        <v>21</v>
      </c>
      <c r="G6" s="7" t="s">
        <v>21</v>
      </c>
      <c r="H6" s="6" t="s">
        <v>15</v>
      </c>
      <c r="I6" s="6" t="s">
        <v>30</v>
      </c>
      <c r="J6" s="6" t="s">
        <v>15</v>
      </c>
      <c r="K6" s="6" t="s">
        <v>30</v>
      </c>
      <c r="L6" s="7" t="s">
        <v>15</v>
      </c>
      <c r="M6" s="7"/>
      <c r="N6" s="7" t="s">
        <v>15</v>
      </c>
      <c r="O6" s="7" t="s">
        <v>15</v>
      </c>
      <c r="P6" s="7" t="s">
        <v>15</v>
      </c>
      <c r="Q6" s="7" t="s">
        <v>15</v>
      </c>
      <c r="R6" s="6" t="n">
        <f aca="false">COUNTIF(F6:Q6,"P")</f>
        <v>7</v>
      </c>
      <c r="S6" s="7" t="n">
        <f aca="false">COUNTIF(F6:Q6,"A")</f>
        <v>2</v>
      </c>
      <c r="T6" s="6" t="n">
        <f aca="false">SUM(R6:S6)</f>
        <v>9</v>
      </c>
      <c r="U6" s="4" t="n">
        <f aca="false">ROUND(R6*10/T6,0)</f>
        <v>8</v>
      </c>
      <c r="V6" s="4" t="str">
        <f aca="false">IF(U6&gt;6,"TEA",IF(U6&gt;3,"TEP","TED"))</f>
        <v>TEA</v>
      </c>
      <c r="W6" s="7" t="s">
        <v>15</v>
      </c>
      <c r="X6" s="0"/>
      <c r="Y6" s="1" t="s">
        <v>15</v>
      </c>
      <c r="Z6" s="1" t="n">
        <v>9</v>
      </c>
      <c r="AB6" s="1" t="s">
        <v>15</v>
      </c>
    </row>
    <row r="7" s="1" customFormat="true" ht="15.65" hidden="false" customHeight="false" outlineLevel="0" collapsed="false">
      <c r="A7" s="1" t="n">
        <v>19</v>
      </c>
      <c r="B7" s="1" t="s">
        <v>31</v>
      </c>
      <c r="C7" s="1" t="s">
        <v>32</v>
      </c>
      <c r="D7" s="1" t="s">
        <v>13</v>
      </c>
      <c r="E7" s="2" t="s">
        <v>33</v>
      </c>
      <c r="F7" s="1" t="s">
        <v>15</v>
      </c>
      <c r="G7" s="1" t="s">
        <v>15</v>
      </c>
      <c r="H7" s="1" t="s">
        <v>15</v>
      </c>
      <c r="J7" s="1" t="s">
        <v>15</v>
      </c>
      <c r="L7" s="1" t="s">
        <v>15</v>
      </c>
      <c r="N7" s="1" t="s">
        <v>15</v>
      </c>
      <c r="O7" s="1" t="s">
        <v>15</v>
      </c>
      <c r="P7" s="1" t="s">
        <v>15</v>
      </c>
      <c r="Q7" s="1" t="s">
        <v>15</v>
      </c>
      <c r="R7" s="2" t="n">
        <f aca="false">COUNTIF(F7:Q7,"P")</f>
        <v>9</v>
      </c>
      <c r="S7" s="2" t="n">
        <f aca="false">COUNTIF(F7:Q7,"A")</f>
        <v>0</v>
      </c>
      <c r="T7" s="2" t="n">
        <f aca="false">SUM(R7:S7)</f>
        <v>9</v>
      </c>
      <c r="U7" s="4" t="n">
        <f aca="false">ROUND(R7*10/T7,0)</f>
        <v>10</v>
      </c>
      <c r="V7" s="4" t="str">
        <f aca="false">IF(U7&gt;6,"TEA",IF(U7&gt;3,"TEP","TED"))</f>
        <v>TEA</v>
      </c>
      <c r="W7" s="1" t="s">
        <v>15</v>
      </c>
      <c r="Y7" s="1" t="s">
        <v>15</v>
      </c>
      <c r="Z7" s="1" t="n">
        <v>9</v>
      </c>
      <c r="AB7" s="1" t="s">
        <v>15</v>
      </c>
    </row>
    <row r="8" s="2" customFormat="true" ht="15.65" hidden="false" customHeight="false" outlineLevel="0" collapsed="false">
      <c r="A8" s="1" t="n">
        <v>4</v>
      </c>
      <c r="B8" s="1" t="s">
        <v>34</v>
      </c>
      <c r="C8" s="1" t="s">
        <v>35</v>
      </c>
      <c r="D8" s="1" t="s">
        <v>36</v>
      </c>
      <c r="E8" s="2" t="s">
        <v>29</v>
      </c>
      <c r="F8" s="1" t="s">
        <v>15</v>
      </c>
      <c r="G8" s="2" t="s">
        <v>15</v>
      </c>
      <c r="H8" s="2" t="s">
        <v>15</v>
      </c>
      <c r="J8" s="2" t="s">
        <v>15</v>
      </c>
      <c r="L8" s="2" t="s">
        <v>21</v>
      </c>
      <c r="M8" s="2" t="s">
        <v>37</v>
      </c>
      <c r="N8" s="2" t="s">
        <v>15</v>
      </c>
      <c r="O8" s="1" t="s">
        <v>15</v>
      </c>
      <c r="P8" s="1" t="s">
        <v>15</v>
      </c>
      <c r="Q8" s="1" t="s">
        <v>15</v>
      </c>
      <c r="R8" s="2" t="n">
        <f aca="false">COUNTIF(F8:Q8,"P")</f>
        <v>8</v>
      </c>
      <c r="S8" s="2" t="n">
        <f aca="false">COUNTIF(F8:Q8,"A")</f>
        <v>1</v>
      </c>
      <c r="T8" s="2" t="n">
        <f aca="false">SUM(R8:S8)</f>
        <v>9</v>
      </c>
      <c r="U8" s="4" t="n">
        <f aca="false">ROUND(R8*10/T8,0)</f>
        <v>9</v>
      </c>
      <c r="V8" s="4" t="str">
        <f aca="false">IF(U8&gt;6,"TEA",IF(U8&gt;3,"TEP","TED"))</f>
        <v>TEA</v>
      </c>
      <c r="W8" s="1" t="s">
        <v>15</v>
      </c>
      <c r="X8" s="1" t="s">
        <v>38</v>
      </c>
      <c r="Y8" s="2" t="s">
        <v>15</v>
      </c>
      <c r="Z8" s="2" t="n">
        <v>3</v>
      </c>
      <c r="AB8" s="2" t="s">
        <v>15</v>
      </c>
      <c r="AC8" s="2" t="n">
        <v>7</v>
      </c>
      <c r="XCX8" s="1"/>
      <c r="XCY8" s="1"/>
      <c r="XCZ8" s="1"/>
      <c r="XDA8" s="1"/>
      <c r="XDB8" s="1"/>
      <c r="XDC8" s="1"/>
      <c r="XDD8" s="1"/>
      <c r="XDE8" s="1"/>
      <c r="XDF8" s="1"/>
      <c r="XDG8" s="1"/>
      <c r="XDH8" s="1"/>
      <c r="XDI8" s="1"/>
      <c r="XDJ8" s="1"/>
      <c r="XDK8" s="1"/>
      <c r="XDL8" s="1"/>
      <c r="XDM8" s="1"/>
      <c r="XDN8" s="1"/>
      <c r="XDO8" s="1"/>
      <c r="XDP8" s="1"/>
      <c r="XDQ8" s="1"/>
      <c r="XDR8" s="1"/>
      <c r="XDS8" s="1"/>
      <c r="XDT8" s="1"/>
      <c r="XDU8" s="1"/>
      <c r="XDV8" s="1"/>
      <c r="XDW8" s="1"/>
      <c r="XDX8" s="1"/>
      <c r="XDY8" s="1"/>
      <c r="XDZ8" s="1"/>
      <c r="XEA8" s="1"/>
      <c r="XEB8" s="1"/>
      <c r="XEC8" s="1"/>
      <c r="XED8" s="1"/>
      <c r="XEE8" s="1"/>
      <c r="XEF8" s="1"/>
      <c r="XEG8" s="1"/>
      <c r="XEH8" s="1"/>
      <c r="XEI8" s="1"/>
      <c r="XEJ8" s="1"/>
      <c r="XEK8" s="1"/>
      <c r="XEL8" s="1"/>
      <c r="XEM8" s="1"/>
      <c r="XEN8" s="1"/>
      <c r="XEO8" s="1"/>
      <c r="XEP8" s="1"/>
      <c r="XEQ8" s="1"/>
      <c r="XER8" s="1"/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s="2" customFormat="true" ht="15.65" hidden="false" customHeight="false" outlineLevel="0" collapsed="false">
      <c r="A9" s="1" t="n">
        <v>16</v>
      </c>
      <c r="B9" s="1" t="s">
        <v>39</v>
      </c>
      <c r="C9" s="1" t="s">
        <v>40</v>
      </c>
      <c r="D9" s="1" t="s">
        <v>36</v>
      </c>
      <c r="E9" s="2" t="s">
        <v>29</v>
      </c>
      <c r="F9" s="1" t="s">
        <v>15</v>
      </c>
      <c r="G9" s="1" t="s">
        <v>15</v>
      </c>
      <c r="H9" s="1" t="s">
        <v>15</v>
      </c>
      <c r="I9" s="1"/>
      <c r="J9" s="1" t="s">
        <v>15</v>
      </c>
      <c r="K9" s="1"/>
      <c r="L9" s="2" t="s">
        <v>15</v>
      </c>
      <c r="N9" s="2" t="s">
        <v>15</v>
      </c>
      <c r="O9" s="2" t="s">
        <v>15</v>
      </c>
      <c r="P9" s="2" t="s">
        <v>41</v>
      </c>
      <c r="Q9" s="2" t="s">
        <v>15</v>
      </c>
      <c r="R9" s="2" t="n">
        <f aca="false">COUNTIF(F9:Q9,"P")</f>
        <v>9</v>
      </c>
      <c r="S9" s="2" t="n">
        <f aca="false">COUNTIF(F9:Q9,"A")</f>
        <v>0</v>
      </c>
      <c r="T9" s="2" t="n">
        <f aca="false">SUM(R9:S9)</f>
        <v>9</v>
      </c>
      <c r="U9" s="4" t="n">
        <f aca="false">ROUND(R9*10/T9,0)</f>
        <v>10</v>
      </c>
      <c r="V9" s="4" t="str">
        <f aca="false">IF(U9&gt;6,"TEA",IF(U9&gt;3,"TEP","TED"))</f>
        <v>TEA</v>
      </c>
      <c r="W9" s="2" t="s">
        <v>15</v>
      </c>
      <c r="Y9" s="2" t="s">
        <v>15</v>
      </c>
      <c r="Z9" s="2" t="n">
        <v>3</v>
      </c>
      <c r="AA9" s="0"/>
      <c r="AB9" s="2" t="s">
        <v>15</v>
      </c>
      <c r="AC9" s="2" t="n">
        <v>7</v>
      </c>
      <c r="AD9" s="2" t="s">
        <v>42</v>
      </c>
      <c r="XCX9" s="1"/>
      <c r="XCY9" s="1"/>
      <c r="XCZ9" s="1"/>
      <c r="XDA9" s="1"/>
      <c r="XDB9" s="1"/>
      <c r="XDC9" s="1"/>
      <c r="XDD9" s="1"/>
      <c r="XDE9" s="1"/>
      <c r="XDF9" s="1"/>
      <c r="XDG9" s="1"/>
      <c r="XDH9" s="1"/>
      <c r="XDI9" s="1"/>
      <c r="XDJ9" s="1"/>
      <c r="XDK9" s="1"/>
      <c r="XDL9" s="1"/>
      <c r="XDM9" s="1"/>
      <c r="XDN9" s="1"/>
      <c r="XDO9" s="1"/>
      <c r="XDP9" s="1"/>
      <c r="XDQ9" s="1"/>
      <c r="XDR9" s="1"/>
      <c r="XDS9" s="1"/>
      <c r="XDT9" s="1"/>
      <c r="XDU9" s="1"/>
      <c r="XDV9" s="1"/>
      <c r="XDW9" s="1"/>
      <c r="XDX9" s="1"/>
      <c r="XDY9" s="1"/>
      <c r="XDZ9" s="1"/>
      <c r="XEA9" s="1"/>
      <c r="XEB9" s="1"/>
      <c r="XEC9" s="1"/>
      <c r="XED9" s="1"/>
      <c r="XEE9" s="1"/>
      <c r="XEF9" s="1"/>
      <c r="XEG9" s="1"/>
      <c r="XEH9" s="1"/>
      <c r="XEI9" s="1"/>
      <c r="XEJ9" s="1"/>
      <c r="XEK9" s="1"/>
      <c r="XEL9" s="1"/>
      <c r="XEM9" s="1"/>
      <c r="XEN9" s="1"/>
      <c r="XEO9" s="1"/>
      <c r="XEP9" s="1"/>
      <c r="XEQ9" s="1"/>
      <c r="XER9" s="1"/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s="2" customFormat="true" ht="15.65" hidden="false" customHeight="false" outlineLevel="0" collapsed="false">
      <c r="A10" s="1" t="n">
        <v>18</v>
      </c>
      <c r="B10" s="1" t="s">
        <v>43</v>
      </c>
      <c r="C10" s="1" t="s">
        <v>44</v>
      </c>
      <c r="D10" s="1" t="s">
        <v>36</v>
      </c>
      <c r="E10" s="2" t="s">
        <v>33</v>
      </c>
      <c r="F10" s="1" t="s">
        <v>15</v>
      </c>
      <c r="G10" s="1" t="s">
        <v>15</v>
      </c>
      <c r="H10" s="2" t="s">
        <v>15</v>
      </c>
      <c r="J10" s="2" t="s">
        <v>21</v>
      </c>
      <c r="L10" s="1" t="s">
        <v>15</v>
      </c>
      <c r="M10" s="1"/>
      <c r="N10" s="1" t="s">
        <v>15</v>
      </c>
      <c r="O10" s="1" t="s">
        <v>15</v>
      </c>
      <c r="P10" s="1" t="s">
        <v>15</v>
      </c>
      <c r="Q10" s="1" t="s">
        <v>15</v>
      </c>
      <c r="R10" s="2" t="n">
        <f aca="false">COUNTIF(F10:Q10,"P")</f>
        <v>8</v>
      </c>
      <c r="S10" s="2" t="n">
        <f aca="false">COUNTIF(F10:Q10,"A")</f>
        <v>1</v>
      </c>
      <c r="T10" s="2" t="n">
        <f aca="false">SUM(R10:S10)</f>
        <v>9</v>
      </c>
      <c r="U10" s="4" t="n">
        <f aca="false">ROUND(R10*10/T10,0)</f>
        <v>9</v>
      </c>
      <c r="V10" s="4" t="str">
        <f aca="false">IF(U10&gt;6,"TEA",IF(U10&gt;3,"TEP","TED"))</f>
        <v>TEA</v>
      </c>
      <c r="W10" s="1" t="s">
        <v>15</v>
      </c>
      <c r="Y10" s="2" t="s">
        <v>15</v>
      </c>
      <c r="Z10" s="2" t="n">
        <v>3</v>
      </c>
      <c r="AB10" s="2" t="s">
        <v>15</v>
      </c>
      <c r="AC10" s="2" t="n">
        <v>7</v>
      </c>
      <c r="XCX10" s="1"/>
      <c r="XCY10" s="1"/>
      <c r="XCZ10" s="1"/>
      <c r="XDA10" s="1"/>
      <c r="XDB10" s="1"/>
      <c r="XDC10" s="1"/>
      <c r="XDD10" s="1"/>
      <c r="XDE10" s="1"/>
      <c r="XDF10" s="1"/>
      <c r="XDG10" s="1"/>
      <c r="XDH10" s="1"/>
      <c r="XDI10" s="1"/>
      <c r="XDJ10" s="1"/>
      <c r="XDK10" s="1"/>
      <c r="XDL10" s="1"/>
      <c r="XDM10" s="1"/>
      <c r="XDN10" s="1"/>
      <c r="XDO10" s="1"/>
      <c r="XDP10" s="1"/>
      <c r="XDQ10" s="1"/>
      <c r="XDR10" s="1"/>
      <c r="XDS10" s="1"/>
      <c r="XDT10" s="1"/>
      <c r="XDU10" s="1"/>
      <c r="XDV10" s="1"/>
      <c r="XDW10" s="1"/>
      <c r="XDX10" s="1"/>
      <c r="XDY10" s="1"/>
      <c r="XDZ10" s="1"/>
      <c r="XEA10" s="1"/>
      <c r="XEB10" s="1"/>
      <c r="XEC10" s="1"/>
      <c r="XED10" s="1"/>
      <c r="XEE10" s="1"/>
      <c r="XEF10" s="1"/>
      <c r="XEG10" s="1"/>
      <c r="XEH10" s="1"/>
      <c r="XEI10" s="1"/>
      <c r="XEJ10" s="1"/>
      <c r="XEK10" s="1"/>
      <c r="XEL10" s="1"/>
      <c r="XEM10" s="1"/>
      <c r="XEN10" s="1"/>
      <c r="XEO10" s="1"/>
      <c r="XEP10" s="1"/>
      <c r="XEQ10" s="1"/>
      <c r="XER10" s="1"/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s="1" customFormat="true" ht="15.65" hidden="false" customHeight="false" outlineLevel="0" collapsed="false">
      <c r="A11" s="1" t="n">
        <v>5</v>
      </c>
      <c r="B11" s="1" t="s">
        <v>45</v>
      </c>
      <c r="C11" s="1" t="s">
        <v>46</v>
      </c>
      <c r="D11" s="1" t="s">
        <v>26</v>
      </c>
      <c r="E11" s="2" t="s">
        <v>14</v>
      </c>
      <c r="F11" s="1" t="s">
        <v>15</v>
      </c>
      <c r="G11" s="1" t="s">
        <v>15</v>
      </c>
      <c r="H11" s="1" t="s">
        <v>15</v>
      </c>
      <c r="J11" s="1" t="s">
        <v>15</v>
      </c>
      <c r="L11" s="1" t="s">
        <v>15</v>
      </c>
      <c r="N11" s="1" t="s">
        <v>15</v>
      </c>
      <c r="O11" s="1" t="s">
        <v>15</v>
      </c>
      <c r="P11" s="1" t="s">
        <v>15</v>
      </c>
      <c r="Q11" s="1" t="s">
        <v>21</v>
      </c>
      <c r="R11" s="2" t="n">
        <f aca="false">COUNTIF(F11:Q11,"P")</f>
        <v>8</v>
      </c>
      <c r="S11" s="2" t="n">
        <f aca="false">COUNTIF(F11:Q11,"A")</f>
        <v>1</v>
      </c>
      <c r="T11" s="2" t="n">
        <f aca="false">SUM(R11:S11)</f>
        <v>9</v>
      </c>
      <c r="U11" s="4" t="n">
        <f aca="false">ROUND(R11*10/T11,0)</f>
        <v>9</v>
      </c>
      <c r="V11" s="4" t="str">
        <f aca="false">IF(U11&gt;6,"TEA",IF(U11&gt;3,"TEP","TED"))</f>
        <v>TEA</v>
      </c>
      <c r="W11" s="1" t="s">
        <v>15</v>
      </c>
      <c r="X11" s="1" t="s">
        <v>47</v>
      </c>
      <c r="Y11" s="1" t="s">
        <v>15</v>
      </c>
      <c r="Z11" s="1" t="n">
        <v>5</v>
      </c>
      <c r="AA11" s="2" t="s">
        <v>48</v>
      </c>
      <c r="AB11" s="1" t="s">
        <v>15</v>
      </c>
      <c r="AC11" s="1" t="n">
        <v>3</v>
      </c>
    </row>
    <row r="12" s="1" customFormat="true" ht="15.65" hidden="false" customHeight="false" outlineLevel="0" collapsed="false">
      <c r="A12" s="1" t="n">
        <v>15</v>
      </c>
      <c r="B12" s="1" t="s">
        <v>49</v>
      </c>
      <c r="C12" s="1" t="s">
        <v>50</v>
      </c>
      <c r="D12" s="1" t="s">
        <v>26</v>
      </c>
      <c r="E12" s="2" t="s">
        <v>29</v>
      </c>
      <c r="F12" s="1" t="s">
        <v>15</v>
      </c>
      <c r="G12" s="2" t="s">
        <v>15</v>
      </c>
      <c r="H12" s="1" t="s">
        <v>15</v>
      </c>
      <c r="J12" s="1" t="s">
        <v>15</v>
      </c>
      <c r="L12" s="2" t="s">
        <v>15</v>
      </c>
      <c r="M12" s="2"/>
      <c r="N12" s="2" t="s">
        <v>15</v>
      </c>
      <c r="O12" s="2" t="s">
        <v>15</v>
      </c>
      <c r="P12" s="2" t="s">
        <v>15</v>
      </c>
      <c r="Q12" s="2" t="s">
        <v>15</v>
      </c>
      <c r="R12" s="2" t="n">
        <f aca="false">COUNTIF(F12:Q12,"P")</f>
        <v>9</v>
      </c>
      <c r="S12" s="2" t="n">
        <f aca="false">COUNTIF(F12:Q12,"A")</f>
        <v>0</v>
      </c>
      <c r="T12" s="2" t="n">
        <f aca="false">SUM(R12:S12)</f>
        <v>9</v>
      </c>
      <c r="U12" s="4" t="n">
        <f aca="false">ROUND(R12*10/T12,0)</f>
        <v>10</v>
      </c>
      <c r="V12" s="4" t="str">
        <f aca="false">IF(U12&gt;6,"TEA",IF(U12&gt;3,"TEP","TED"))</f>
        <v>TEA</v>
      </c>
      <c r="W12" s="2" t="s">
        <v>15</v>
      </c>
      <c r="Y12" s="1" t="s">
        <v>15</v>
      </c>
      <c r="Z12" s="1" t="n">
        <v>1</v>
      </c>
      <c r="AB12" s="1" t="s">
        <v>21</v>
      </c>
      <c r="AC12" s="1" t="n">
        <v>3</v>
      </c>
    </row>
    <row r="13" s="1" customFormat="true" ht="15.65" hidden="false" customHeight="false" outlineLevel="0" collapsed="false">
      <c r="A13" s="1" t="n">
        <v>17</v>
      </c>
      <c r="B13" s="1" t="s">
        <v>51</v>
      </c>
      <c r="C13" s="1" t="s">
        <v>52</v>
      </c>
      <c r="D13" s="1" t="s">
        <v>26</v>
      </c>
      <c r="E13" s="2" t="s">
        <v>33</v>
      </c>
      <c r="F13" s="1" t="s">
        <v>15</v>
      </c>
      <c r="G13" s="1" t="s">
        <v>15</v>
      </c>
      <c r="H13" s="2" t="s">
        <v>15</v>
      </c>
      <c r="I13" s="2"/>
      <c r="J13" s="2" t="s">
        <v>15</v>
      </c>
      <c r="K13" s="2"/>
      <c r="L13" s="1" t="s">
        <v>15</v>
      </c>
      <c r="N13" s="1" t="s">
        <v>15</v>
      </c>
      <c r="O13" s="1" t="s">
        <v>15</v>
      </c>
      <c r="P13" s="1" t="s">
        <v>15</v>
      </c>
      <c r="Q13" s="1" t="s">
        <v>15</v>
      </c>
      <c r="R13" s="2" t="n">
        <f aca="false">COUNTIF(F13:Q13,"P")</f>
        <v>9</v>
      </c>
      <c r="S13" s="2" t="n">
        <f aca="false">COUNTIF(F13:Q13,"A")</f>
        <v>0</v>
      </c>
      <c r="T13" s="2" t="n">
        <f aca="false">SUM(R13:S13)</f>
        <v>9</v>
      </c>
      <c r="U13" s="4" t="n">
        <f aca="false">ROUND(R13*10/T13,0)</f>
        <v>10</v>
      </c>
      <c r="V13" s="4" t="str">
        <f aca="false">IF(U13&gt;6,"TEA",IF(U13&gt;3,"TEP","TED"))</f>
        <v>TEA</v>
      </c>
      <c r="W13" s="1" t="s">
        <v>53</v>
      </c>
      <c r="Y13" s="1" t="s">
        <v>15</v>
      </c>
      <c r="Z13" s="1" t="n">
        <v>1</v>
      </c>
      <c r="AB13" s="1" t="s">
        <v>15</v>
      </c>
      <c r="AC13" s="1" t="n">
        <v>3</v>
      </c>
    </row>
    <row r="14" s="2" customFormat="true" ht="15.65" hidden="false" customHeight="false" outlineLevel="0" collapsed="false">
      <c r="A14" s="1" t="n">
        <v>6</v>
      </c>
      <c r="B14" s="1" t="s">
        <v>54</v>
      </c>
      <c r="C14" s="1" t="s">
        <v>55</v>
      </c>
      <c r="D14" s="1" t="s">
        <v>56</v>
      </c>
      <c r="E14" s="2" t="s">
        <v>14</v>
      </c>
      <c r="F14" s="1" t="s">
        <v>21</v>
      </c>
      <c r="G14" s="1" t="s">
        <v>15</v>
      </c>
      <c r="H14" s="2" t="s">
        <v>15</v>
      </c>
      <c r="J14" s="2" t="s">
        <v>15</v>
      </c>
      <c r="L14" s="1" t="s">
        <v>15</v>
      </c>
      <c r="M14" s="1"/>
      <c r="N14" s="1" t="s">
        <v>15</v>
      </c>
      <c r="O14" s="1" t="s">
        <v>15</v>
      </c>
      <c r="P14" s="1" t="s">
        <v>21</v>
      </c>
      <c r="Q14" s="1" t="s">
        <v>15</v>
      </c>
      <c r="R14" s="2" t="n">
        <f aca="false">COUNTIF(F14:Q14,"P")</f>
        <v>7</v>
      </c>
      <c r="S14" s="2" t="n">
        <f aca="false">COUNTIF(F14:Q14,"A")</f>
        <v>2</v>
      </c>
      <c r="T14" s="2" t="n">
        <f aca="false">SUM(R14:S14)</f>
        <v>9</v>
      </c>
      <c r="U14" s="4" t="n">
        <f aca="false">ROUND(R14*10/T14,0)</f>
        <v>8</v>
      </c>
      <c r="V14" s="4" t="str">
        <f aca="false">IF(U14&gt;6,"TEA",IF(U14&gt;3,"TEP","TED"))</f>
        <v>TEA</v>
      </c>
      <c r="W14" s="1" t="s">
        <v>15</v>
      </c>
      <c r="X14" s="2" t="s">
        <v>57</v>
      </c>
      <c r="Y14" s="2" t="s">
        <v>15</v>
      </c>
      <c r="Z14" s="2" t="n">
        <v>7</v>
      </c>
      <c r="AA14" s="2" t="s">
        <v>57</v>
      </c>
      <c r="AB14" s="2" t="s">
        <v>21</v>
      </c>
      <c r="AC14" s="2" t="n">
        <v>5</v>
      </c>
      <c r="AD14" s="2" t="s">
        <v>58</v>
      </c>
      <c r="XCX14" s="1"/>
      <c r="XCY14" s="6"/>
      <c r="XCZ14" s="6"/>
      <c r="XDA14" s="6"/>
      <c r="XDB14" s="6"/>
      <c r="XDC14" s="6"/>
      <c r="XDD14" s="6"/>
      <c r="XDE14" s="6"/>
      <c r="XDF14" s="6"/>
      <c r="XDG14" s="6"/>
      <c r="XDH14" s="6"/>
      <c r="XDI14" s="6"/>
      <c r="XDJ14" s="6"/>
      <c r="XDK14" s="6"/>
      <c r="XDL14" s="6"/>
      <c r="XDM14" s="6"/>
      <c r="XDN14" s="6"/>
      <c r="XDO14" s="6"/>
      <c r="XDP14" s="6"/>
      <c r="XDQ14" s="6"/>
      <c r="XDR14" s="6"/>
      <c r="XDS14" s="6"/>
      <c r="XDT14" s="6"/>
      <c r="XDU14" s="6"/>
      <c r="XDV14" s="6"/>
      <c r="XDW14" s="6"/>
      <c r="XDX14" s="6"/>
      <c r="XDY14" s="6"/>
      <c r="XDZ14" s="6"/>
      <c r="XEA14" s="6"/>
      <c r="XEB14" s="6"/>
      <c r="XEC14" s="6"/>
      <c r="XED14" s="6"/>
      <c r="XEE14" s="6"/>
      <c r="XEF14" s="6"/>
      <c r="XEG14" s="6"/>
      <c r="XEH14" s="6"/>
      <c r="XEI14" s="6"/>
      <c r="XEJ14" s="6"/>
      <c r="XEK14" s="6"/>
      <c r="XEL14" s="6"/>
      <c r="XEM14" s="6"/>
      <c r="XEN14" s="6"/>
      <c r="XEO14" s="6"/>
      <c r="XEP14" s="6"/>
      <c r="XEQ14" s="6"/>
      <c r="XER14" s="6"/>
      <c r="XES14" s="6"/>
      <c r="XET14" s="6"/>
      <c r="XEU14" s="6"/>
      <c r="XEV14" s="6"/>
      <c r="XEW14" s="6"/>
      <c r="XEX14" s="6"/>
      <c r="XEY14" s="6"/>
      <c r="XEZ14" s="6"/>
      <c r="XFA14" s="6"/>
      <c r="XFB14" s="6"/>
      <c r="XFC14" s="6"/>
      <c r="XFD14" s="6"/>
    </row>
    <row r="15" s="7" customFormat="true" ht="15.65" hidden="false" customHeight="false" outlineLevel="0" collapsed="false">
      <c r="A15" s="1" t="n">
        <v>7</v>
      </c>
      <c r="B15" s="1" t="s">
        <v>59</v>
      </c>
      <c r="C15" s="1" t="s">
        <v>60</v>
      </c>
      <c r="D15" s="1" t="s">
        <v>56</v>
      </c>
      <c r="E15" s="2" t="s">
        <v>14</v>
      </c>
      <c r="F15" s="1" t="s">
        <v>15</v>
      </c>
      <c r="G15" s="1" t="s">
        <v>15</v>
      </c>
      <c r="H15" s="1" t="s">
        <v>15</v>
      </c>
      <c r="I15" s="1"/>
      <c r="J15" s="1" t="s">
        <v>15</v>
      </c>
      <c r="K15" s="1"/>
      <c r="L15" s="1" t="s">
        <v>15</v>
      </c>
      <c r="M15" s="1"/>
      <c r="N15" s="1" t="s">
        <v>15</v>
      </c>
      <c r="O15" s="2" t="s">
        <v>15</v>
      </c>
      <c r="P15" s="2" t="s">
        <v>15</v>
      </c>
      <c r="Q15" s="2" t="s">
        <v>15</v>
      </c>
      <c r="R15" s="2" t="n">
        <f aca="false">COUNTIF(F15:Q15,"P")</f>
        <v>9</v>
      </c>
      <c r="S15" s="2" t="n">
        <f aca="false">COUNTIF(F15:Q15,"A")</f>
        <v>0</v>
      </c>
      <c r="T15" s="2" t="n">
        <f aca="false">SUM(R15:S15)</f>
        <v>9</v>
      </c>
      <c r="U15" s="4" t="n">
        <f aca="false">ROUND(R15*10/T15,0)</f>
        <v>10</v>
      </c>
      <c r="V15" s="4" t="str">
        <f aca="false">IF(U15&gt;6,"TEA",IF(U15&gt;3,"TEP","TED"))</f>
        <v>TEA</v>
      </c>
      <c r="W15" s="2" t="s">
        <v>15</v>
      </c>
      <c r="Y15" s="7" t="s">
        <v>15</v>
      </c>
      <c r="Z15" s="7" t="n">
        <v>7</v>
      </c>
      <c r="AB15" s="7" t="s">
        <v>15</v>
      </c>
      <c r="AC15" s="7" t="n">
        <v>5</v>
      </c>
      <c r="XCX15" s="1"/>
      <c r="XCY15" s="1"/>
      <c r="XCZ15" s="1"/>
      <c r="XDA15" s="1"/>
      <c r="XDB15" s="1"/>
      <c r="XDC15" s="1"/>
      <c r="XDD15" s="1"/>
      <c r="XDE15" s="1"/>
      <c r="XDF15" s="1"/>
      <c r="XDG15" s="1"/>
      <c r="XDH15" s="1"/>
      <c r="XDI15" s="1"/>
      <c r="XDJ15" s="1"/>
      <c r="XDK15" s="1"/>
      <c r="XDL15" s="1"/>
      <c r="XDM15" s="1"/>
      <c r="XDN15" s="1"/>
      <c r="XDO15" s="1"/>
      <c r="XDP15" s="1"/>
      <c r="XDQ15" s="1"/>
      <c r="XDR15" s="1"/>
      <c r="XDS15" s="1"/>
      <c r="XDT15" s="1"/>
      <c r="XDU15" s="1"/>
      <c r="XDV15" s="1"/>
      <c r="XDW15" s="1"/>
      <c r="XDX15" s="1"/>
      <c r="XDY15" s="1"/>
      <c r="XDZ15" s="1"/>
      <c r="XEA15" s="1"/>
      <c r="XEB15" s="1"/>
      <c r="XEC15" s="1"/>
      <c r="XED15" s="1"/>
      <c r="XEE15" s="1"/>
      <c r="XEF15" s="1"/>
      <c r="XEG15" s="1"/>
      <c r="XEH15" s="1"/>
      <c r="XEI15" s="1"/>
      <c r="XEJ15" s="1"/>
      <c r="XEK15" s="1"/>
      <c r="XEL15" s="1"/>
      <c r="XEM15" s="1"/>
      <c r="XEN15" s="1"/>
      <c r="XEO15" s="1"/>
      <c r="XEP15" s="1"/>
      <c r="XEQ15" s="1"/>
      <c r="XER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s="2" customFormat="true" ht="15.65" hidden="false" customHeight="false" outlineLevel="0" collapsed="false">
      <c r="A16" s="1" t="n">
        <v>8</v>
      </c>
      <c r="B16" s="1" t="s">
        <v>61</v>
      </c>
      <c r="C16" s="1" t="s">
        <v>62</v>
      </c>
      <c r="D16" s="1" t="s">
        <v>56</v>
      </c>
      <c r="E16" s="2" t="s">
        <v>36</v>
      </c>
      <c r="F16" s="1" t="s">
        <v>15</v>
      </c>
      <c r="G16" s="1" t="s">
        <v>15</v>
      </c>
      <c r="H16" s="2" t="s">
        <v>21</v>
      </c>
      <c r="J16" s="2" t="s">
        <v>15</v>
      </c>
      <c r="L16" s="2" t="s">
        <v>15</v>
      </c>
      <c r="N16" s="2" t="s">
        <v>15</v>
      </c>
      <c r="O16" s="2" t="s">
        <v>15</v>
      </c>
      <c r="P16" s="2" t="s">
        <v>15</v>
      </c>
      <c r="Q16" s="2" t="s">
        <v>15</v>
      </c>
      <c r="R16" s="2" t="n">
        <f aca="false">COUNTIF(F16:Q16,"P")</f>
        <v>8</v>
      </c>
      <c r="S16" s="2" t="n">
        <f aca="false">COUNTIF(F16:Q16,"A")</f>
        <v>1</v>
      </c>
      <c r="T16" s="2" t="n">
        <f aca="false">SUM(R16:S16)</f>
        <v>9</v>
      </c>
      <c r="U16" s="4" t="n">
        <f aca="false">ROUND(R16*10/T16,0)</f>
        <v>9</v>
      </c>
      <c r="V16" s="4" t="str">
        <f aca="false">IF(U16&gt;6,"TEA",IF(U16&gt;3,"TEP","TED"))</f>
        <v>TEA</v>
      </c>
      <c r="W16" s="2" t="s">
        <v>15</v>
      </c>
      <c r="X16" s="0"/>
      <c r="Y16" s="2" t="s">
        <v>21</v>
      </c>
      <c r="Z16" s="2" t="n">
        <v>7</v>
      </c>
      <c r="AB16" s="2" t="s">
        <v>15</v>
      </c>
      <c r="AC16" s="2" t="n">
        <v>5</v>
      </c>
      <c r="XCX16" s="1"/>
      <c r="XCY16" s="1"/>
      <c r="XCZ16" s="1"/>
      <c r="XDA16" s="1"/>
      <c r="XDB16" s="1"/>
      <c r="XDC16" s="1"/>
      <c r="XDD16" s="1"/>
      <c r="XDE16" s="1"/>
      <c r="XDF16" s="1"/>
      <c r="XDG16" s="1"/>
      <c r="XDH16" s="1"/>
      <c r="XDI16" s="1"/>
      <c r="XDJ16" s="1"/>
      <c r="XDK16" s="1"/>
      <c r="XDL16" s="1"/>
      <c r="XDM16" s="1"/>
      <c r="XDN16" s="1"/>
      <c r="XDO16" s="1"/>
      <c r="XDP16" s="1"/>
      <c r="XDQ16" s="1"/>
      <c r="XDR16" s="1"/>
      <c r="XDS16" s="1"/>
      <c r="XDT16" s="1"/>
      <c r="XDU16" s="1"/>
      <c r="XDV16" s="1"/>
      <c r="XDW16" s="1"/>
      <c r="XDX16" s="1"/>
      <c r="XDY16" s="1"/>
      <c r="XDZ16" s="1"/>
      <c r="XEA16" s="1"/>
      <c r="XEB16" s="1"/>
      <c r="XEC16" s="1"/>
      <c r="XED16" s="1"/>
      <c r="XEE16" s="1"/>
      <c r="XEF16" s="1"/>
      <c r="XEG16" s="1"/>
      <c r="XEH16" s="1"/>
      <c r="XEI16" s="1"/>
      <c r="XEJ16" s="1"/>
      <c r="XEK16" s="1"/>
      <c r="XEL16" s="1"/>
      <c r="XEM16" s="1"/>
      <c r="XEN16" s="1"/>
      <c r="XEO16" s="1"/>
      <c r="XEP16" s="1"/>
      <c r="XEQ16" s="1"/>
      <c r="XER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s="2" customFormat="true" ht="15.65" hidden="false" customHeight="false" outlineLevel="0" collapsed="false">
      <c r="A17" s="1" t="n">
        <v>12</v>
      </c>
      <c r="B17" s="1" t="s">
        <v>63</v>
      </c>
      <c r="C17" s="1" t="s">
        <v>64</v>
      </c>
      <c r="D17" s="1" t="s">
        <v>56</v>
      </c>
      <c r="E17" s="2" t="s">
        <v>26</v>
      </c>
      <c r="F17" s="1" t="s">
        <v>15</v>
      </c>
      <c r="G17" s="2" t="s">
        <v>15</v>
      </c>
      <c r="H17" s="2" t="s">
        <v>15</v>
      </c>
      <c r="J17" s="2" t="s">
        <v>15</v>
      </c>
      <c r="L17" s="1" t="s">
        <v>15</v>
      </c>
      <c r="M17" s="1"/>
      <c r="N17" s="1" t="s">
        <v>15</v>
      </c>
      <c r="O17" s="1" t="s">
        <v>15</v>
      </c>
      <c r="P17" s="1" t="s">
        <v>15</v>
      </c>
      <c r="Q17" s="1" t="s">
        <v>15</v>
      </c>
      <c r="R17" s="2" t="n">
        <f aca="false">COUNTIF(F17:Q17,"P")</f>
        <v>9</v>
      </c>
      <c r="S17" s="2" t="n">
        <f aca="false">COUNTIF(F17:Q17,"A")</f>
        <v>0</v>
      </c>
      <c r="T17" s="2" t="n">
        <f aca="false">SUM(R17:S17)</f>
        <v>9</v>
      </c>
      <c r="U17" s="4" t="n">
        <f aca="false">ROUND(R17*10/T17,0)</f>
        <v>10</v>
      </c>
      <c r="V17" s="4" t="str">
        <f aca="false">IF(U17&gt;6,"TEA",IF(U17&gt;3,"TEP","TED"))</f>
        <v>TEA</v>
      </c>
      <c r="W17" s="1" t="s">
        <v>15</v>
      </c>
      <c r="Y17" s="2" t="s">
        <v>15</v>
      </c>
      <c r="Z17" s="2" t="n">
        <v>7</v>
      </c>
      <c r="AB17" s="2" t="s">
        <v>15</v>
      </c>
      <c r="AC17" s="2" t="n">
        <v>5</v>
      </c>
      <c r="XCX17" s="1"/>
      <c r="XCY17" s="1"/>
      <c r="XCZ17" s="1"/>
      <c r="XDA17" s="1"/>
      <c r="XDB17" s="1"/>
      <c r="XDC17" s="1"/>
      <c r="XDD17" s="1"/>
      <c r="XDE17" s="1"/>
      <c r="XDF17" s="1"/>
      <c r="XDG17" s="1"/>
      <c r="XDH17" s="1"/>
      <c r="XDI17" s="1"/>
      <c r="XDJ17" s="1"/>
      <c r="XDK17" s="1"/>
      <c r="XDL17" s="1"/>
      <c r="XDM17" s="1"/>
      <c r="XDN17" s="1"/>
      <c r="XDO17" s="1"/>
      <c r="XDP17" s="1"/>
      <c r="XDQ17" s="1"/>
      <c r="XDR17" s="1"/>
      <c r="XDS17" s="1"/>
      <c r="XDT17" s="1"/>
      <c r="XDU17" s="1"/>
      <c r="XDV17" s="1"/>
      <c r="XDW17" s="1"/>
      <c r="XDX17" s="1"/>
      <c r="XDY17" s="1"/>
      <c r="XDZ17" s="1"/>
      <c r="XEA17" s="1"/>
      <c r="XEB17" s="1"/>
      <c r="XEC17" s="1"/>
      <c r="XED17" s="1"/>
      <c r="XEE17" s="1"/>
      <c r="XEF17" s="1"/>
      <c r="XEG17" s="1"/>
      <c r="XEH17" s="1"/>
      <c r="XEI17" s="1"/>
      <c r="XEJ17" s="1"/>
      <c r="XEK17" s="1"/>
      <c r="XEL17" s="1"/>
      <c r="XEM17" s="1"/>
      <c r="XEN17" s="1"/>
      <c r="XEO17" s="1"/>
      <c r="XEP17" s="1"/>
      <c r="XEQ17" s="1"/>
      <c r="XER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s="1" customFormat="true" ht="16.65" hidden="false" customHeight="false" outlineLevel="0" collapsed="false">
      <c r="A18" s="1" t="n">
        <v>9</v>
      </c>
      <c r="B18" s="1" t="s">
        <v>65</v>
      </c>
      <c r="C18" s="1" t="s">
        <v>66</v>
      </c>
      <c r="D18" s="1" t="s">
        <v>67</v>
      </c>
      <c r="E18" s="2" t="s">
        <v>36</v>
      </c>
      <c r="F18" s="1" t="s">
        <v>15</v>
      </c>
      <c r="G18" s="1" t="s">
        <v>15</v>
      </c>
      <c r="H18" s="1" t="s">
        <v>15</v>
      </c>
      <c r="J18" s="1" t="s">
        <v>15</v>
      </c>
      <c r="L18" s="2" t="s">
        <v>15</v>
      </c>
      <c r="M18" s="2"/>
      <c r="N18" s="2" t="s">
        <v>15</v>
      </c>
      <c r="O18" s="2" t="s">
        <v>15</v>
      </c>
      <c r="P18" s="2" t="s">
        <v>41</v>
      </c>
      <c r="Q18" s="2" t="s">
        <v>15</v>
      </c>
      <c r="R18" s="2" t="n">
        <f aca="false">COUNTIF(F18:Q18,"P")</f>
        <v>9</v>
      </c>
      <c r="S18" s="2" t="n">
        <f aca="false">COUNTIF(F18:Q18,"A")</f>
        <v>0</v>
      </c>
      <c r="T18" s="2" t="n">
        <f aca="false">SUM(R18:S18)</f>
        <v>9</v>
      </c>
      <c r="U18" s="4" t="n">
        <f aca="false">ROUND(R18*10/T18,0)</f>
        <v>10</v>
      </c>
      <c r="V18" s="4" t="str">
        <f aca="false">IF(U18&gt;6,"TEA",IF(U18&gt;3,"TEP","TED"))</f>
        <v>TEA</v>
      </c>
      <c r="W18" s="2" t="s">
        <v>15</v>
      </c>
      <c r="X18" s="2" t="s">
        <v>68</v>
      </c>
      <c r="Y18" s="1" t="s">
        <v>15</v>
      </c>
      <c r="Z18" s="1" t="n">
        <v>1</v>
      </c>
      <c r="AA18" s="1" t="s">
        <v>69</v>
      </c>
      <c r="AB18" s="1" t="s">
        <v>15</v>
      </c>
      <c r="AC18" s="1" t="n">
        <v>7</v>
      </c>
      <c r="AD18" s="2" t="s">
        <v>68</v>
      </c>
    </row>
    <row r="19" s="1" customFormat="true" ht="15.65" hidden="false" customHeight="false" outlineLevel="0" collapsed="false">
      <c r="A19" s="1" t="n">
        <v>10</v>
      </c>
      <c r="B19" s="1" t="s">
        <v>70</v>
      </c>
      <c r="C19" s="1" t="s">
        <v>71</v>
      </c>
      <c r="D19" s="1" t="s">
        <v>67</v>
      </c>
      <c r="E19" s="2" t="s">
        <v>72</v>
      </c>
      <c r="F19" s="1" t="s">
        <v>15</v>
      </c>
      <c r="G19" s="1" t="s">
        <v>15</v>
      </c>
      <c r="H19" s="2" t="s">
        <v>15</v>
      </c>
      <c r="I19" s="2"/>
      <c r="J19" s="2" t="s">
        <v>21</v>
      </c>
      <c r="K19" s="2"/>
      <c r="L19" s="2" t="s">
        <v>15</v>
      </c>
      <c r="M19" s="2"/>
      <c r="N19" s="2" t="s">
        <v>15</v>
      </c>
      <c r="O19" s="1" t="s">
        <v>15</v>
      </c>
      <c r="P19" s="1" t="s">
        <v>15</v>
      </c>
      <c r="Q19" s="1" t="s">
        <v>15</v>
      </c>
      <c r="R19" s="2" t="n">
        <f aca="false">COUNTIF(F19:Q19,"P")</f>
        <v>8</v>
      </c>
      <c r="S19" s="2" t="n">
        <f aca="false">COUNTIF(F19:Q19,"A")</f>
        <v>1</v>
      </c>
      <c r="T19" s="2" t="n">
        <f aca="false">SUM(R19:S19)</f>
        <v>9</v>
      </c>
      <c r="U19" s="4" t="n">
        <f aca="false">ROUND(R19*10/T19,0)</f>
        <v>9</v>
      </c>
      <c r="V19" s="4" t="str">
        <f aca="false">IF(U19&gt;6,"TEA",IF(U19&gt;3,"TEP","TED"))</f>
        <v>TEA</v>
      </c>
      <c r="W19" s="1" t="s">
        <v>15</v>
      </c>
      <c r="Y19" s="1" t="s">
        <v>15</v>
      </c>
      <c r="Z19" s="1" t="n">
        <v>1</v>
      </c>
      <c r="AB19" s="1" t="s">
        <v>15</v>
      </c>
      <c r="AC19" s="1" t="n">
        <v>7</v>
      </c>
    </row>
    <row r="20" s="1" customFormat="true" ht="15.65" hidden="false" customHeight="false" outlineLevel="0" collapsed="false">
      <c r="A20" s="1" t="n">
        <v>13</v>
      </c>
      <c r="B20" s="1" t="s">
        <v>73</v>
      </c>
      <c r="C20" s="1" t="s">
        <v>74</v>
      </c>
      <c r="D20" s="1" t="s">
        <v>67</v>
      </c>
      <c r="E20" s="2" t="s">
        <v>26</v>
      </c>
      <c r="F20" s="1" t="s">
        <v>15</v>
      </c>
      <c r="G20" s="1" t="s">
        <v>15</v>
      </c>
      <c r="H20" s="1" t="s">
        <v>15</v>
      </c>
      <c r="J20" s="1" t="s">
        <v>15</v>
      </c>
      <c r="L20" s="1" t="s">
        <v>15</v>
      </c>
      <c r="N20" s="1" t="s">
        <v>15</v>
      </c>
      <c r="O20" s="2" t="s">
        <v>15</v>
      </c>
      <c r="P20" s="2" t="s">
        <v>15</v>
      </c>
      <c r="Q20" s="2" t="s">
        <v>41</v>
      </c>
      <c r="R20" s="2" t="n">
        <f aca="false">COUNTIF(F20:Q20,"P")</f>
        <v>9</v>
      </c>
      <c r="S20" s="2" t="n">
        <f aca="false">COUNTIF(F20:Q20,"A")</f>
        <v>0</v>
      </c>
      <c r="T20" s="2" t="n">
        <f aca="false">SUM(R20:S20)</f>
        <v>9</v>
      </c>
      <c r="U20" s="4" t="n">
        <f aca="false">ROUND(R20*10/T20,0)</f>
        <v>10</v>
      </c>
      <c r="V20" s="4" t="str">
        <f aca="false">IF(U20&gt;6,"TEA",IF(U20&gt;3,"TEP","TED"))</f>
        <v>TEA</v>
      </c>
      <c r="W20" s="2" t="s">
        <v>15</v>
      </c>
      <c r="Y20" s="1" t="s">
        <v>15</v>
      </c>
      <c r="Z20" s="1" t="n">
        <v>1</v>
      </c>
      <c r="AB20" s="1" t="s">
        <v>15</v>
      </c>
      <c r="AC20" s="1" t="n">
        <v>7</v>
      </c>
    </row>
    <row r="21" s="1" customFormat="true" ht="15.65" hidden="false" customHeight="false" outlineLevel="0" collapsed="false">
      <c r="A21" s="1" t="n">
        <v>20</v>
      </c>
      <c r="B21" s="1" t="s">
        <v>75</v>
      </c>
      <c r="C21" s="1" t="s">
        <v>76</v>
      </c>
      <c r="D21" s="1" t="s">
        <v>67</v>
      </c>
      <c r="E21" s="2" t="s">
        <v>33</v>
      </c>
      <c r="F21" s="1" t="s">
        <v>15</v>
      </c>
      <c r="G21" s="1" t="s">
        <v>15</v>
      </c>
      <c r="H21" s="1" t="s">
        <v>15</v>
      </c>
      <c r="J21" s="1" t="s">
        <v>15</v>
      </c>
      <c r="L21" s="1" t="s">
        <v>15</v>
      </c>
      <c r="N21" s="1" t="s">
        <v>15</v>
      </c>
      <c r="O21" s="1" t="s">
        <v>15</v>
      </c>
      <c r="P21" s="1" t="s">
        <v>15</v>
      </c>
      <c r="Q21" s="1" t="s">
        <v>15</v>
      </c>
      <c r="R21" s="2" t="n">
        <f aca="false">COUNTIF(F21:Q21,"P")</f>
        <v>9</v>
      </c>
      <c r="S21" s="2" t="n">
        <f aca="false">COUNTIF(F21:Q21,"A")</f>
        <v>0</v>
      </c>
      <c r="T21" s="2" t="n">
        <f aca="false">SUM(R21:S21)</f>
        <v>9</v>
      </c>
      <c r="U21" s="4" t="n">
        <f aca="false">ROUND(R21*10/T21,0)</f>
        <v>10</v>
      </c>
      <c r="V21" s="4" t="str">
        <f aca="false">IF(U21&gt;6,"TEA",IF(U21&gt;3,"TEP","TED"))</f>
        <v>TEA</v>
      </c>
      <c r="W21" s="1" t="s">
        <v>15</v>
      </c>
      <c r="Y21" s="1" t="s">
        <v>15</v>
      </c>
      <c r="Z21" s="1" t="n">
        <v>1</v>
      </c>
      <c r="AB21" s="1" t="s">
        <v>15</v>
      </c>
      <c r="AC21" s="1" t="n">
        <v>7</v>
      </c>
    </row>
    <row r="22" s="1" customFormat="true" ht="15" hidden="false" customHeight="false" outlineLevel="0" collapsed="false"/>
    <row r="23" customFormat="false" ht="15" hidden="false" customHeight="false" outlineLevel="0" collapsed="false">
      <c r="C23" s="1" t="s">
        <v>77</v>
      </c>
      <c r="D23" s="1" t="s">
        <v>6</v>
      </c>
      <c r="F23" s="1" t="n">
        <f aca="false">COUNTIF(F2:F22,"P")</f>
        <v>18</v>
      </c>
      <c r="G23" s="1" t="n">
        <f aca="false">COUNTIF(G2:G22,"P")</f>
        <v>18</v>
      </c>
      <c r="H23" s="1" t="n">
        <f aca="false">COUNTIF(H2:H22,"P")</f>
        <v>19</v>
      </c>
      <c r="J23" s="1" t="n">
        <f aca="false">COUNTIF(J2:J22,"P")</f>
        <v>18</v>
      </c>
      <c r="L23" s="1" t="n">
        <f aca="false">COUNTIF(L2:L22,"P")</f>
        <v>19</v>
      </c>
      <c r="N23" s="1" t="n">
        <f aca="false">COUNTIF(N2:N22,"P")</f>
        <v>20</v>
      </c>
      <c r="O23" s="1" t="n">
        <f aca="false">COUNTIF(O2:O22,"P")</f>
        <v>20</v>
      </c>
      <c r="P23" s="1" t="n">
        <f aca="false">COUNTIF(P2:P22,"P")</f>
        <v>19</v>
      </c>
      <c r="Q23" s="1" t="n">
        <f aca="false">COUNTIF(Q2:Q22,"P")</f>
        <v>19</v>
      </c>
      <c r="W23" s="1" t="n">
        <f aca="false">COUNTIF(W2:W22,"P")</f>
        <v>18</v>
      </c>
      <c r="Y23" s="1" t="n">
        <f aca="false">COUNTIF(Y2:Y22,"P")</f>
        <v>19</v>
      </c>
      <c r="AB23" s="1" t="n">
        <f aca="false">COUNTIF(AB2:AB22,"P")</f>
        <v>18</v>
      </c>
      <c r="AC23" s="1"/>
      <c r="AD23" s="1"/>
    </row>
    <row r="24" customFormat="false" ht="15" hidden="false" customHeight="false" outlineLevel="0" collapsed="false">
      <c r="C24" s="1" t="s">
        <v>78</v>
      </c>
      <c r="D24" s="1" t="s">
        <v>78</v>
      </c>
      <c r="F24" s="1" t="n">
        <f aca="false">COUNTIF(F3:F17,"M")</f>
        <v>0</v>
      </c>
      <c r="G24" s="1" t="n">
        <f aca="false">COUNTIF(G3:G17,"M")</f>
        <v>0</v>
      </c>
      <c r="H24" s="1" t="n">
        <f aca="false">COUNTIF(H3:H17,"M")</f>
        <v>0</v>
      </c>
      <c r="J24" s="1" t="n">
        <f aca="false">COUNTIF(J3:J17,"M")</f>
        <v>0</v>
      </c>
      <c r="L24" s="1" t="n">
        <f aca="false">COUNTIF(L3:L17,"M")</f>
        <v>0</v>
      </c>
      <c r="N24" s="1" t="n">
        <f aca="false">COUNTIF(N3:N17,"M")</f>
        <v>0</v>
      </c>
      <c r="O24" s="1" t="n">
        <f aca="false">COUNTIF(O3:O17,"M")</f>
        <v>0</v>
      </c>
      <c r="P24" s="1" t="n">
        <f aca="false">COUNTIF(P3:P17,"M")</f>
        <v>0</v>
      </c>
      <c r="Q24" s="1" t="n">
        <f aca="false">COUNTIF(Q3:Q17,"M")</f>
        <v>0</v>
      </c>
      <c r="W24" s="1" t="n">
        <f aca="false">COUNTIF(W3:W17,"M")</f>
        <v>0</v>
      </c>
      <c r="Y24" s="1" t="n">
        <f aca="false">COUNTIF(Y3:Y17,"M")</f>
        <v>0</v>
      </c>
      <c r="AB24" s="1" t="n">
        <f aca="false">COUNTIF(AB3:AB17,"M")</f>
        <v>0</v>
      </c>
      <c r="AC24" s="1"/>
      <c r="AD24" s="1"/>
    </row>
    <row r="25" customFormat="false" ht="15" hidden="false" customHeight="false" outlineLevel="0" collapsed="false">
      <c r="C25" s="1" t="s">
        <v>79</v>
      </c>
      <c r="D25" s="1" t="s">
        <v>80</v>
      </c>
      <c r="F25" s="1" t="n">
        <f aca="false">COUNTIF(F3:F17,"T")</f>
        <v>0</v>
      </c>
      <c r="G25" s="1" t="n">
        <f aca="false">COUNTIF(G3:G17,"T")</f>
        <v>0</v>
      </c>
      <c r="H25" s="1" t="n">
        <f aca="false">COUNTIF(H3:H17,"T")</f>
        <v>0</v>
      </c>
      <c r="J25" s="1" t="n">
        <f aca="false">COUNTIF(J3:J17,"T")</f>
        <v>0</v>
      </c>
      <c r="L25" s="1" t="n">
        <f aca="false">COUNTIF(L3:L17,"T")</f>
        <v>0</v>
      </c>
      <c r="N25" s="1" t="n">
        <f aca="false">COUNTIF(N3:N17,"T")</f>
        <v>0</v>
      </c>
      <c r="O25" s="1" t="n">
        <f aca="false">COUNTIF(O3:O17,"T")</f>
        <v>0</v>
      </c>
      <c r="P25" s="1" t="n">
        <f aca="false">COUNTIF(P3:P17,"T")</f>
        <v>0</v>
      </c>
      <c r="Q25" s="1" t="n">
        <f aca="false">COUNTIF(Q3:Q17,"T")</f>
        <v>0</v>
      </c>
      <c r="W25" s="1" t="n">
        <f aca="false">COUNTIF(W3:W17,"T")</f>
        <v>0</v>
      </c>
      <c r="Y25" s="1" t="n">
        <f aca="false">COUNTIF(Y3:Y17,"T")</f>
        <v>0</v>
      </c>
      <c r="AB25" s="1" t="n">
        <f aca="false">COUNTIF(AB3:AB17,"T")</f>
        <v>0</v>
      </c>
      <c r="AC25" s="1"/>
      <c r="AD25" s="1"/>
    </row>
    <row r="26" customFormat="false" ht="15" hidden="false" customHeight="false" outlineLevel="0" collapsed="false">
      <c r="C26" s="1" t="s">
        <v>8</v>
      </c>
      <c r="F26" s="1" t="n">
        <f aca="false">SUM(F23:F25)</f>
        <v>18</v>
      </c>
      <c r="G26" s="1" t="n">
        <f aca="false">SUM(G23:G25)</f>
        <v>18</v>
      </c>
      <c r="H26" s="1" t="n">
        <f aca="false">SUM(H23:H25)</f>
        <v>19</v>
      </c>
      <c r="J26" s="1" t="n">
        <f aca="false">SUM(J23:J25)</f>
        <v>18</v>
      </c>
      <c r="L26" s="1" t="n">
        <f aca="false">SUM(L23:L25)</f>
        <v>19</v>
      </c>
      <c r="N26" s="1" t="n">
        <f aca="false">SUM(N23:N25)</f>
        <v>20</v>
      </c>
      <c r="O26" s="1" t="n">
        <f aca="false">SUM(O23:O25)</f>
        <v>20</v>
      </c>
      <c r="P26" s="1" t="n">
        <f aca="false">SUM(P23:P25)</f>
        <v>19</v>
      </c>
      <c r="Q26" s="1" t="n">
        <f aca="false">SUM(Q23:Q25)</f>
        <v>19</v>
      </c>
      <c r="W26" s="1" t="n">
        <f aca="false">SUM(W23:W25)</f>
        <v>18</v>
      </c>
      <c r="Y26" s="1" t="n">
        <f aca="false">SUM(Y23:Y25)</f>
        <v>19</v>
      </c>
      <c r="AB26" s="1" t="n">
        <f aca="false">SUM(AB23:AB25)</f>
        <v>18</v>
      </c>
      <c r="AC26" s="1"/>
      <c r="AD26" s="1"/>
    </row>
  </sheetData>
  <conditionalFormatting sqref="U2:U21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</conditionalFormatting>
  <conditionalFormatting sqref="V2:V21">
    <cfRule type="cellIs" priority="5" operator="greaterThan" aboveAverage="0" equalAverage="0" bottom="0" percent="0" rank="0" text="" dxfId="0">
      <formula>6</formula>
    </cfRule>
    <cfRule type="cellIs" priority="6" operator="between" aboveAverage="0" equalAverage="0" bottom="0" percent="0" rank="0" text="" dxfId="1">
      <formula>4</formula>
      <formula>6</formula>
    </cfRule>
    <cfRule type="cellIs" priority="7" operator="lessThan" aboveAverage="0" equalAverage="0" bottom="0" percent="0" rank="0" text="" dxfId="2">
      <formula>4</formula>
    </cfRule>
    <cfRule type="cellIs" priority="8" operator="equal" aboveAverage="0" equalAverage="0" bottom="0" percent="0" rank="0" text="" dxfId="3">
      <formula>"TEA"</formula>
    </cfRule>
    <cfRule type="cellIs" priority="9" operator="equal" aboveAverage="0" equalAverage="0" bottom="0" percent="0" rank="0" text="" dxfId="4">
      <formula>"TEP"</formula>
    </cfRule>
    <cfRule type="cellIs" priority="10" operator="equal" aboveAverage="0" equalAverage="0" bottom="0" percent="0" rank="0" text="" dxfId="5">
      <formula>"TED"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13" activeCellId="0" sqref="D13"/>
    </sheetView>
  </sheetViews>
  <sheetFormatPr defaultColWidth="9.6210937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18.21"/>
    <col collapsed="false" customWidth="true" hidden="false" outlineLevel="0" max="3" min="3" style="1" width="19.44"/>
    <col collapsed="false" customWidth="true" hidden="false" outlineLevel="0" max="4" min="4" style="1" width="24.94"/>
    <col collapsed="false" customWidth="false" hidden="true" outlineLevel="0" max="5" min="5" style="1" width="9.62"/>
    <col collapsed="false" customWidth="true" hidden="false" outlineLevel="0" max="6" min="6" style="1" width="17.4"/>
    <col collapsed="false" customWidth="true" hidden="false" outlineLevel="0" max="7" min="7" style="1" width="18.92"/>
    <col collapsed="false" customWidth="true" hidden="false" outlineLevel="0" max="8" min="8" style="1" width="9.78"/>
    <col collapsed="false" customWidth="true" hidden="false" outlineLevel="0" max="16384" min="16339" style="1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1" t="s">
        <v>1</v>
      </c>
      <c r="C2" s="1" t="s">
        <v>2</v>
      </c>
      <c r="D2" s="1" t="s">
        <v>3</v>
      </c>
      <c r="E2" s="1" t="s">
        <v>81</v>
      </c>
      <c r="F2" s="1" t="s">
        <v>82</v>
      </c>
      <c r="G2" s="1" t="s">
        <v>83</v>
      </c>
      <c r="H2" s="1" t="s">
        <v>84</v>
      </c>
      <c r="I2" s="2" t="s">
        <v>9</v>
      </c>
      <c r="J2" s="2" t="s">
        <v>85</v>
      </c>
    </row>
    <row r="3" customFormat="false" ht="15.65" hidden="false" customHeight="false" outlineLevel="0" collapsed="false">
      <c r="A3" s="1" t="n">
        <v>1</v>
      </c>
      <c r="B3" s="1" t="s">
        <v>11</v>
      </c>
      <c r="C3" s="1" t="s">
        <v>12</v>
      </c>
      <c r="D3" s="1" t="s">
        <v>13</v>
      </c>
      <c r="E3" s="1" t="n">
        <v>10</v>
      </c>
      <c r="F3" s="4" t="n">
        <v>8</v>
      </c>
      <c r="G3" s="4" t="n">
        <v>7</v>
      </c>
      <c r="H3" s="4" t="n">
        <v>10</v>
      </c>
      <c r="I3" s="4" t="n">
        <v>10</v>
      </c>
      <c r="J3" s="4" t="str">
        <f aca="false">IF(I3&gt;6,"TEA",IF(I3&gt;3,"TEP","TED"))</f>
        <v>TEA</v>
      </c>
    </row>
    <row r="4" customFormat="false" ht="15.65" hidden="false" customHeight="false" outlineLevel="0" collapsed="false">
      <c r="A4" s="1" t="n">
        <v>2</v>
      </c>
      <c r="B4" s="1" t="s">
        <v>19</v>
      </c>
      <c r="C4" s="1" t="s">
        <v>20</v>
      </c>
      <c r="D4" s="1" t="s">
        <v>13</v>
      </c>
      <c r="E4" s="1" t="n">
        <v>7</v>
      </c>
      <c r="F4" s="4" t="n">
        <v>8</v>
      </c>
      <c r="G4" s="4" t="n">
        <v>7</v>
      </c>
      <c r="H4" s="4" t="n">
        <v>9</v>
      </c>
      <c r="I4" s="4" t="n">
        <v>9</v>
      </c>
      <c r="J4" s="4" t="str">
        <f aca="false">IF(I4&gt;6,"TEA",IF(I4&gt;3,"TEP","TED"))</f>
        <v>TEA</v>
      </c>
    </row>
    <row r="5" customFormat="false" ht="15.65" hidden="false" customHeight="false" outlineLevel="0" collapsed="false">
      <c r="A5" s="1" t="n">
        <v>3</v>
      </c>
      <c r="B5" s="1" t="s">
        <v>22</v>
      </c>
      <c r="C5" s="1" t="s">
        <v>23</v>
      </c>
      <c r="D5" s="1" t="s">
        <v>13</v>
      </c>
      <c r="E5" s="1" t="n">
        <v>1</v>
      </c>
      <c r="F5" s="4" t="n">
        <v>8</v>
      </c>
      <c r="G5" s="4" t="n">
        <v>7</v>
      </c>
      <c r="H5" s="4" t="n">
        <v>10</v>
      </c>
      <c r="I5" s="4" t="n">
        <v>10</v>
      </c>
      <c r="J5" s="4" t="str">
        <f aca="false">IF(I5&gt;6,"TEA",IF(I5&gt;3,"TEP","TED"))</f>
        <v>TEA</v>
      </c>
    </row>
    <row r="6" customFormat="false" ht="15.65" hidden="false" customHeight="false" outlineLevel="0" collapsed="false">
      <c r="A6" s="1" t="n">
        <v>4</v>
      </c>
      <c r="B6" s="1" t="s">
        <v>34</v>
      </c>
      <c r="C6" s="1" t="s">
        <v>35</v>
      </c>
      <c r="D6" s="1" t="s">
        <v>36</v>
      </c>
      <c r="E6" s="1" t="n">
        <v>1</v>
      </c>
      <c r="F6" s="4" t="n">
        <v>8</v>
      </c>
      <c r="G6" s="4" t="n">
        <v>7</v>
      </c>
      <c r="H6" s="4" t="n">
        <v>8</v>
      </c>
      <c r="I6" s="4" t="n">
        <v>9</v>
      </c>
      <c r="J6" s="4" t="str">
        <f aca="false">IF(I6&gt;6,"TEA",IF(I6&gt;3,"TEP","TED"))</f>
        <v>TEA</v>
      </c>
    </row>
    <row r="7" customFormat="false" ht="15.65" hidden="false" customHeight="false" outlineLevel="0" collapsed="false">
      <c r="A7" s="1" t="n">
        <v>5</v>
      </c>
      <c r="B7" s="1" t="s">
        <v>45</v>
      </c>
      <c r="C7" s="1" t="s">
        <v>46</v>
      </c>
      <c r="D7" s="1" t="s">
        <v>26</v>
      </c>
      <c r="E7" s="1" t="n">
        <v>9</v>
      </c>
      <c r="F7" s="4" t="n">
        <v>8</v>
      </c>
      <c r="G7" s="4" t="n">
        <v>7</v>
      </c>
      <c r="H7" s="4" t="n">
        <v>9</v>
      </c>
      <c r="I7" s="4" t="n">
        <v>9</v>
      </c>
      <c r="J7" s="4" t="str">
        <f aca="false">IF(I7&gt;6,"TEA",IF(I7&gt;3,"TEP","TED"))</f>
        <v>TEA</v>
      </c>
    </row>
    <row r="8" customFormat="false" ht="15.65" hidden="false" customHeight="false" outlineLevel="0" collapsed="false">
      <c r="A8" s="1" t="n">
        <v>6</v>
      </c>
      <c r="B8" s="1" t="s">
        <v>54</v>
      </c>
      <c r="C8" s="1" t="s">
        <v>55</v>
      </c>
      <c r="D8" s="1" t="s">
        <v>56</v>
      </c>
      <c r="E8" s="1" t="n">
        <v>10</v>
      </c>
      <c r="F8" s="4" t="n">
        <v>8</v>
      </c>
      <c r="G8" s="4" t="n">
        <v>7</v>
      </c>
      <c r="H8" s="4" t="n">
        <v>8</v>
      </c>
      <c r="I8" s="4" t="n">
        <v>8</v>
      </c>
      <c r="J8" s="4" t="str">
        <f aca="false">IF(I8&gt;6,"TEA",IF(I8&gt;3,"TEP","TED"))</f>
        <v>TEA</v>
      </c>
    </row>
    <row r="9" customFormat="false" ht="15.65" hidden="false" customHeight="false" outlineLevel="0" collapsed="false">
      <c r="A9" s="1" t="n">
        <v>7</v>
      </c>
      <c r="B9" s="1" t="s">
        <v>59</v>
      </c>
      <c r="C9" s="1" t="s">
        <v>60</v>
      </c>
      <c r="D9" s="1" t="s">
        <v>56</v>
      </c>
      <c r="E9" s="1" t="n">
        <v>1</v>
      </c>
      <c r="F9" s="4" t="n">
        <v>8</v>
      </c>
      <c r="G9" s="4" t="n">
        <v>6</v>
      </c>
      <c r="H9" s="4" t="n">
        <v>10</v>
      </c>
      <c r="I9" s="4" t="n">
        <v>10</v>
      </c>
      <c r="J9" s="4" t="str">
        <f aca="false">IF(I9&gt;6,"TEA",IF(I9&gt;3,"TEP","TED"))</f>
        <v>TEA</v>
      </c>
    </row>
    <row r="10" customFormat="false" ht="15.65" hidden="false" customHeight="false" outlineLevel="0" collapsed="false">
      <c r="A10" s="1" t="n">
        <v>8</v>
      </c>
      <c r="B10" s="1" t="s">
        <v>61</v>
      </c>
      <c r="C10" s="1" t="s">
        <v>62</v>
      </c>
      <c r="D10" s="1" t="s">
        <v>56</v>
      </c>
      <c r="E10" s="1" t="n">
        <v>8</v>
      </c>
      <c r="F10" s="4" t="n">
        <v>8</v>
      </c>
      <c r="G10" s="4" t="n">
        <v>6</v>
      </c>
      <c r="H10" s="4" t="n">
        <v>9</v>
      </c>
      <c r="I10" s="4" t="n">
        <v>9</v>
      </c>
      <c r="J10" s="4" t="str">
        <f aca="false">IF(I10&gt;6,"TEA",IF(I10&gt;3,"TEP","TED"))</f>
        <v>TEA</v>
      </c>
    </row>
    <row r="11" customFormat="false" ht="15.65" hidden="false" customHeight="false" outlineLevel="0" collapsed="false">
      <c r="A11" s="1" t="n">
        <v>9</v>
      </c>
      <c r="B11" s="1" t="s">
        <v>65</v>
      </c>
      <c r="C11" s="1" t="s">
        <v>66</v>
      </c>
      <c r="D11" s="1" t="s">
        <v>67</v>
      </c>
      <c r="E11" s="1" t="n">
        <v>10</v>
      </c>
      <c r="F11" s="4" t="n">
        <v>8</v>
      </c>
      <c r="G11" s="4" t="n">
        <v>6</v>
      </c>
      <c r="H11" s="4" t="n">
        <v>10</v>
      </c>
      <c r="I11" s="4" t="n">
        <v>10</v>
      </c>
      <c r="J11" s="4" t="str">
        <f aca="false">IF(I11&gt;6,"TEA",IF(I11&gt;3,"TEP","TED"))</f>
        <v>TEA</v>
      </c>
    </row>
    <row r="12" customFormat="false" ht="15.65" hidden="false" customHeight="false" outlineLevel="0" collapsed="false">
      <c r="A12" s="1" t="n">
        <v>10</v>
      </c>
      <c r="B12" s="1" t="s">
        <v>70</v>
      </c>
      <c r="C12" s="1" t="s">
        <v>71</v>
      </c>
      <c r="D12" s="1" t="s">
        <v>67</v>
      </c>
      <c r="F12" s="4" t="n">
        <v>9</v>
      </c>
      <c r="G12" s="4" t="n">
        <v>7</v>
      </c>
      <c r="H12" s="4" t="n">
        <v>9</v>
      </c>
      <c r="I12" s="4" t="n">
        <v>9</v>
      </c>
      <c r="J12" s="4" t="str">
        <f aca="false">IF(I12&gt;6,"TEA",IF(I12&gt;3,"TEP","TED"))</f>
        <v>TEA</v>
      </c>
    </row>
    <row r="13" customFormat="false" ht="15.65" hidden="false" customHeight="false" outlineLevel="0" collapsed="false">
      <c r="A13" s="1" t="n">
        <v>11</v>
      </c>
      <c r="B13" s="1" t="s">
        <v>24</v>
      </c>
      <c r="C13" s="1" t="s">
        <v>25</v>
      </c>
      <c r="D13" s="1" t="s">
        <v>13</v>
      </c>
      <c r="F13" s="4" t="n">
        <v>9</v>
      </c>
      <c r="G13" s="4" t="n">
        <v>7</v>
      </c>
      <c r="H13" s="4" t="n">
        <v>10</v>
      </c>
      <c r="I13" s="4" t="n">
        <v>10</v>
      </c>
      <c r="J13" s="4" t="str">
        <f aca="false">IF(I13&gt;6,"TEA",IF(I13&gt;3,"TEP","TED"))</f>
        <v>TEA</v>
      </c>
    </row>
    <row r="14" customFormat="false" ht="15.65" hidden="false" customHeight="false" outlineLevel="0" collapsed="false">
      <c r="A14" s="1" t="n">
        <v>12</v>
      </c>
      <c r="B14" s="1" t="s">
        <v>63</v>
      </c>
      <c r="C14" s="1" t="s">
        <v>64</v>
      </c>
      <c r="D14" s="1" t="s">
        <v>56</v>
      </c>
      <c r="F14" s="4" t="n">
        <v>9</v>
      </c>
      <c r="G14" s="4" t="n">
        <v>7</v>
      </c>
      <c r="H14" s="4" t="n">
        <v>10</v>
      </c>
      <c r="I14" s="4" t="n">
        <v>10</v>
      </c>
      <c r="J14" s="4" t="str">
        <f aca="false">IF(I14&gt;6,"TEA",IF(I14&gt;3,"TEP","TED"))</f>
        <v>TEA</v>
      </c>
    </row>
    <row r="15" customFormat="false" ht="15.65" hidden="false" customHeight="false" outlineLevel="0" collapsed="false">
      <c r="A15" s="1" t="n">
        <v>13</v>
      </c>
      <c r="B15" s="1" t="s">
        <v>73</v>
      </c>
      <c r="C15" s="1" t="s">
        <v>74</v>
      </c>
      <c r="D15" s="1" t="s">
        <v>67</v>
      </c>
      <c r="F15" s="4" t="n">
        <v>8</v>
      </c>
      <c r="G15" s="4" t="n">
        <v>6</v>
      </c>
      <c r="H15" s="4" t="n">
        <v>10</v>
      </c>
      <c r="I15" s="4" t="n">
        <v>10</v>
      </c>
      <c r="J15" s="4" t="str">
        <f aca="false">IF(I15&gt;6,"TEA",IF(I15&gt;3,"TEP","TED"))</f>
        <v>TEA</v>
      </c>
    </row>
    <row r="16" customFormat="false" ht="15.65" hidden="false" customHeight="false" outlineLevel="0" collapsed="false">
      <c r="A16" s="1" t="n">
        <v>14</v>
      </c>
      <c r="B16" s="1" t="s">
        <v>27</v>
      </c>
      <c r="C16" s="1" t="s">
        <v>28</v>
      </c>
      <c r="D16" s="1" t="s">
        <v>13</v>
      </c>
      <c r="F16" s="4" t="n">
        <v>8</v>
      </c>
      <c r="G16" s="4" t="n">
        <v>6</v>
      </c>
      <c r="H16" s="4" t="n">
        <v>8</v>
      </c>
      <c r="I16" s="4" t="n">
        <v>8</v>
      </c>
      <c r="J16" s="4" t="str">
        <f aca="false">IF(I16&gt;6,"TEA",IF(I16&gt;3,"TEP","TED"))</f>
        <v>TEA</v>
      </c>
    </row>
    <row r="17" customFormat="false" ht="15.65" hidden="false" customHeight="false" outlineLevel="0" collapsed="false">
      <c r="A17" s="1" t="n">
        <v>15</v>
      </c>
      <c r="B17" s="1" t="s">
        <v>49</v>
      </c>
      <c r="C17" s="1" t="s">
        <v>50</v>
      </c>
      <c r="D17" s="1" t="s">
        <v>26</v>
      </c>
      <c r="F17" s="4" t="n">
        <v>8</v>
      </c>
      <c r="G17" s="4" t="n">
        <v>6</v>
      </c>
      <c r="H17" s="4" t="n">
        <v>10</v>
      </c>
      <c r="I17" s="4" t="n">
        <v>10</v>
      </c>
      <c r="J17" s="4" t="str">
        <f aca="false">IF(I17&gt;6,"TEA",IF(I17&gt;3,"TEP","TED"))</f>
        <v>TEA</v>
      </c>
    </row>
    <row r="18" customFormat="false" ht="15.65" hidden="false" customHeight="false" outlineLevel="0" collapsed="false">
      <c r="A18" s="1" t="n">
        <v>16</v>
      </c>
      <c r="B18" s="1" t="s">
        <v>39</v>
      </c>
      <c r="C18" s="1" t="s">
        <v>40</v>
      </c>
      <c r="D18" s="1" t="s">
        <v>36</v>
      </c>
      <c r="F18" s="4" t="n">
        <v>8</v>
      </c>
      <c r="G18" s="4" t="n">
        <v>6</v>
      </c>
      <c r="H18" s="4" t="n">
        <v>10</v>
      </c>
      <c r="I18" s="4" t="n">
        <v>10</v>
      </c>
      <c r="J18" s="4" t="str">
        <f aca="false">IF(I18&gt;6,"TEA",IF(I18&gt;3,"TEP","TED"))</f>
        <v>TEA</v>
      </c>
    </row>
    <row r="19" customFormat="false" ht="15.65" hidden="false" customHeight="false" outlineLevel="0" collapsed="false">
      <c r="A19" s="1" t="n">
        <v>17</v>
      </c>
      <c r="B19" s="1" t="s">
        <v>51</v>
      </c>
      <c r="C19" s="1" t="s">
        <v>52</v>
      </c>
      <c r="D19" s="1" t="s">
        <v>26</v>
      </c>
      <c r="F19" s="4" t="n">
        <v>9</v>
      </c>
      <c r="G19" s="4" t="n">
        <v>6</v>
      </c>
      <c r="H19" s="4" t="n">
        <v>10</v>
      </c>
      <c r="I19" s="4" t="n">
        <v>10</v>
      </c>
      <c r="J19" s="4" t="str">
        <f aca="false">IF(I19&gt;6,"TEA",IF(I19&gt;3,"TEP","TED"))</f>
        <v>TEA</v>
      </c>
    </row>
    <row r="20" customFormat="false" ht="15.65" hidden="false" customHeight="false" outlineLevel="0" collapsed="false">
      <c r="A20" s="1" t="n">
        <v>18</v>
      </c>
      <c r="B20" s="1" t="s">
        <v>43</v>
      </c>
      <c r="C20" s="1" t="s">
        <v>44</v>
      </c>
      <c r="D20" s="1" t="s">
        <v>36</v>
      </c>
      <c r="F20" s="4" t="n">
        <v>9</v>
      </c>
      <c r="G20" s="4" t="n">
        <v>6</v>
      </c>
      <c r="H20" s="4" t="n">
        <v>9</v>
      </c>
      <c r="I20" s="4" t="n">
        <v>9</v>
      </c>
      <c r="J20" s="4" t="str">
        <f aca="false">IF(I20&gt;6,"TEA",IF(I20&gt;3,"TEP","TED"))</f>
        <v>TEA</v>
      </c>
    </row>
    <row r="21" customFormat="false" ht="15.65" hidden="false" customHeight="false" outlineLevel="0" collapsed="false">
      <c r="A21" s="1" t="n">
        <v>19</v>
      </c>
      <c r="B21" s="1" t="s">
        <v>31</v>
      </c>
      <c r="C21" s="1" t="s">
        <v>32</v>
      </c>
      <c r="D21" s="1" t="s">
        <v>13</v>
      </c>
      <c r="F21" s="4" t="n">
        <v>9</v>
      </c>
      <c r="G21" s="4" t="n">
        <v>6</v>
      </c>
      <c r="H21" s="4" t="n">
        <v>10</v>
      </c>
      <c r="I21" s="4" t="n">
        <v>10</v>
      </c>
      <c r="J21" s="4" t="str">
        <f aca="false">IF(I21&gt;6,"TEA",IF(I21&gt;3,"TEP","TED"))</f>
        <v>TEA</v>
      </c>
    </row>
    <row r="22" customFormat="false" ht="15.65" hidden="false" customHeight="false" outlineLevel="0" collapsed="false">
      <c r="A22" s="1" t="n">
        <v>20</v>
      </c>
      <c r="B22" s="1" t="s">
        <v>75</v>
      </c>
      <c r="C22" s="1" t="s">
        <v>76</v>
      </c>
      <c r="D22" s="1" t="s">
        <v>67</v>
      </c>
      <c r="F22" s="4" t="n">
        <v>9</v>
      </c>
      <c r="G22" s="4" t="n">
        <v>6</v>
      </c>
      <c r="H22" s="4" t="n">
        <v>10</v>
      </c>
      <c r="I22" s="4" t="n">
        <v>10</v>
      </c>
      <c r="J22" s="4" t="str">
        <f aca="false">IF(I22&gt;6,"TEA",IF(I22&gt;3,"TEP","TED"))</f>
        <v>TEA</v>
      </c>
    </row>
  </sheetData>
  <conditionalFormatting sqref="F3:J22">
    <cfRule type="cellIs" priority="2" operator="greaterThan" aboveAverage="0" equalAverage="0" bottom="0" percent="0" rank="0" text="" dxfId="0">
      <formula>6</formula>
    </cfRule>
    <cfRule type="cellIs" priority="3" operator="between" aboveAverage="0" equalAverage="0" bottom="0" percent="0" rank="0" text="" dxfId="1">
      <formula>4</formula>
      <formula>6</formula>
    </cfRule>
    <cfRule type="cellIs" priority="4" operator="lessThan" aboveAverage="0" equalAverage="0" bottom="0" percent="0" rank="0" text="" dxfId="2">
      <formula>4</formula>
    </cfRule>
    <cfRule type="cellIs" priority="5" operator="equal" aboveAverage="0" equalAverage="0" bottom="0" percent="0" rank="0" text="" dxfId="0">
      <formula>"TEA"</formula>
    </cfRule>
    <cfRule type="cellIs" priority="6" operator="equal" aboveAverage="0" equalAverage="0" bottom="0" percent="0" rank="0" text="" dxfId="1">
      <formula>"TEP"</formula>
    </cfRule>
    <cfRule type="cellIs" priority="7" operator="equal" aboveAverage="0" equalAverage="0" bottom="0" percent="0" rank="0" text="" dxfId="6">
      <formula>0</formula>
    </cfRule>
    <cfRule type="cellIs" priority="8" operator="equal" aboveAverage="0" equalAverage="0" bottom="0" percent="0" rank="0" text="" dxfId="2">
      <formula>"TED"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3358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2025-05-05T16:11:10Z</dcterms:created>
  <dc:creator/>
  <dc:description/>
  <dc:language>es-AR</dc:language>
  <cp:lastModifiedBy/>
  <dcterms:modified xsi:type="dcterms:W3CDTF">2026-06-19T18:57:52Z</dcterms:modified>
  <cp:revision>127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