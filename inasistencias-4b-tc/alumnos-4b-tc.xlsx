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istencia" sheetId="1" state="visible" r:id="rId3"/>
    <sheet name="notas" sheetId="2" state="visible" r:id="rId4"/>
    <sheet name="1-atomo" sheetId="3" state="visible" r:id="rId5"/>
    <sheet name="2-Ley de coulomb" sheetId="4" state="visible" r:id="rId6"/>
    <sheet name="4-conductores" sheetId="5" state="visible" r:id="rId7"/>
    <sheet name="7-capacitores" sheetId="6" state="visible" r:id="rId8"/>
    <sheet name="evaluacion" sheetId="7" state="visible" r:id="rId9"/>
    <sheet name="Evaluacion-mallas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<sst xmlns="http://schemas.openxmlformats.org/spreadsheetml/2006/main" count="874" uniqueCount="95">
  <si>
    <t xml:space="preserve">nro</t>
  </si>
  <si>
    <t xml:space="preserve">Nombre</t>
  </si>
  <si>
    <t xml:space="preserve">Apellido(s)</t>
  </si>
  <si>
    <t xml:space="preserve">Dirección de correo</t>
  </si>
  <si>
    <t xml:space="preserve">obs</t>
  </si>
  <si>
    <t xml:space="preserve">presentes</t>
  </si>
  <si>
    <t xml:space="preserve">media</t>
  </si>
  <si>
    <t xml:space="preserve">tarde</t>
  </si>
  <si>
    <t xml:space="preserve">ausente</t>
  </si>
  <si>
    <t xml:space="preserve">total</t>
  </si>
  <si>
    <t xml:space="preserve">nota</t>
  </si>
  <si>
    <t xml:space="preserve">Victoria</t>
  </si>
  <si>
    <t xml:space="preserve">ANDRADA BASCOPE</t>
  </si>
  <si>
    <t xml:space="preserve">50030377@gmail.com</t>
  </si>
  <si>
    <t xml:space="preserve">P</t>
  </si>
  <si>
    <t xml:space="preserve">Eugenia</t>
  </si>
  <si>
    <t xml:space="preserve">Barzaghi Martínez</t>
  </si>
  <si>
    <t xml:space="preserve">49627703@gmail.com</t>
  </si>
  <si>
    <t xml:space="preserve">A</t>
  </si>
  <si>
    <t xml:space="preserve">Dylan Gaston</t>
  </si>
  <si>
    <t xml:space="preserve">CARABAJAL</t>
  </si>
  <si>
    <t xml:space="preserve">matias2511.altamirano@gmail.com</t>
  </si>
  <si>
    <t xml:space="preserve">T</t>
  </si>
  <si>
    <t xml:space="preserve">Zaira Ruth</t>
  </si>
  <si>
    <t xml:space="preserve">Chucusea Quiroga</t>
  </si>
  <si>
    <t xml:space="preserve">49898249@gmail.com</t>
  </si>
  <si>
    <t xml:space="preserve">Santino Jonas</t>
  </si>
  <si>
    <t xml:space="preserve">CORREA</t>
  </si>
  <si>
    <t xml:space="preserve">50276187@gmail.com</t>
  </si>
  <si>
    <t xml:space="preserve">Ivan Delmenico</t>
  </si>
  <si>
    <t xml:space="preserve">DELMENICO</t>
  </si>
  <si>
    <t xml:space="preserve">49419297@gmail.com</t>
  </si>
  <si>
    <t xml:space="preserve">Paloma Marianella</t>
  </si>
  <si>
    <t xml:space="preserve">FARIAS RUIZ</t>
  </si>
  <si>
    <t xml:space="preserve">50066744@gmail.com</t>
  </si>
  <si>
    <t xml:space="preserve">León</t>
  </si>
  <si>
    <t xml:space="preserve">FERREYRA GARNERO</t>
  </si>
  <si>
    <t xml:space="preserve">50156642@gmail.com</t>
  </si>
  <si>
    <t xml:space="preserve">Axel Ian</t>
  </si>
  <si>
    <t xml:space="preserve">FLEITAS</t>
  </si>
  <si>
    <t xml:space="preserve">49735065@gmail.com</t>
  </si>
  <si>
    <t xml:space="preserve">Thiago Ezquiel</t>
  </si>
  <si>
    <t xml:space="preserve">GOMEZ</t>
  </si>
  <si>
    <t xml:space="preserve">49589492@gmail.com</t>
  </si>
  <si>
    <t xml:space="preserve">p</t>
  </si>
  <si>
    <t xml:space="preserve">Tadeo Martin</t>
  </si>
  <si>
    <t xml:space="preserve">LAGOS</t>
  </si>
  <si>
    <t xml:space="preserve">49626775@gmail.com</t>
  </si>
  <si>
    <t xml:space="preserve">Sophie Micaela</t>
  </si>
  <si>
    <t xml:space="preserve">LEMOS</t>
  </si>
  <si>
    <t xml:space="preserve">95429143@gmail.com</t>
  </si>
  <si>
    <t xml:space="preserve">Mateo Bautista</t>
  </si>
  <si>
    <t xml:space="preserve">LESCANO</t>
  </si>
  <si>
    <t xml:space="preserve">49837749@gmail.com</t>
  </si>
  <si>
    <t xml:space="preserve">Benicio Valentin</t>
  </si>
  <si>
    <t xml:space="preserve">LUNA SERRANO</t>
  </si>
  <si>
    <t xml:space="preserve">49676837@gmail.com</t>
  </si>
  <si>
    <t xml:space="preserve">Farid Emir</t>
  </si>
  <si>
    <t xml:space="preserve">PEREYRA</t>
  </si>
  <si>
    <t xml:space="preserve">47869497@gmail.com</t>
  </si>
  <si>
    <t xml:space="preserve">Julieta</t>
  </si>
  <si>
    <t xml:space="preserve">RODRIGUEZ MIÑO</t>
  </si>
  <si>
    <t xml:space="preserve">M</t>
  </si>
  <si>
    <t xml:space="preserve">Tobías Valentín</t>
  </si>
  <si>
    <t xml:space="preserve">SANTILLÁN GÜERCI</t>
  </si>
  <si>
    <t xml:space="preserve">Lucas Emanuel</t>
  </si>
  <si>
    <t xml:space="preserve">SUÁREZ CESPEDES</t>
  </si>
  <si>
    <t xml:space="preserve">Nicolás</t>
  </si>
  <si>
    <t xml:space="preserve">TISEYRA</t>
  </si>
  <si>
    <t xml:space="preserve">Ezequiel Ricardo</t>
  </si>
  <si>
    <t xml:space="preserve">ZAPATA SANTOS</t>
  </si>
  <si>
    <t xml:space="preserve">TELLO</t>
  </si>
  <si>
    <t xml:space="preserve">presente</t>
  </si>
  <si>
    <t xml:space="preserve">media falta</t>
  </si>
  <si>
    <t xml:space="preserve">Tarde</t>
  </si>
  <si>
    <t xml:space="preserve">carpeta</t>
  </si>
  <si>
    <t xml:space="preserve">Recup</t>
  </si>
  <si>
    <t xml:space="preserve">1-atomo</t>
  </si>
  <si>
    <t xml:space="preserve">2-coulomb</t>
  </si>
  <si>
    <t xml:space="preserve">4-conductores</t>
  </si>
  <si>
    <t xml:space="preserve">7-cap 2 y3</t>
  </si>
  <si>
    <t xml:space="preserve">Asistencia</t>
  </si>
  <si>
    <t xml:space="preserve">Evaluacion</t>
  </si>
  <si>
    <t xml:space="preserve">promedio</t>
  </si>
  <si>
    <t xml:space="preserve">Valoraicon</t>
  </si>
  <si>
    <t xml:space="preserve">Evaluacion-mallas</t>
  </si>
  <si>
    <t xml:space="preserve">su</t>
  </si>
  <si>
    <t xml:space="preserve"> Chucusea Quiroga</t>
  </si>
  <si>
    <t xml:space="preserve">con unidad</t>
  </si>
  <si>
    <t xml:space="preserve">falta coulomb</t>
  </si>
  <si>
    <t xml:space="preserve">Calificación/10,00</t>
  </si>
  <si>
    <t xml:space="preserve">segundo </t>
  </si>
  <si>
    <t xml:space="preserve">maximo</t>
  </si>
  <si>
    <t xml:space="preserve">segundo</t>
  </si>
  <si>
    <t xml:space="preserve">rodriguez miño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</si>
</sst>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General"/>
    <numFmt numFmtId="167" formatCode="hh:mm:ss"/>
  </numFmts>
  <fonts count="4">
    <font>
      <sz val="12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Calibri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family val="0"/>
        <b val="1"/>
        <color rgb="FFFFFFFF"/>
        <sz val="12"/>
      </font>
      <fill>
        <patternFill>
          <bgColor rgb="FFCC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7"/>
  <sheetViews>
    <sheetView showFormulas="false" showGridLines="true" showRowColHeaders="true" showZeros="true" rightToLeft="false" tabSelected="true" showOutlineSymbols="true" defaultGridColor="true" view="normal" topLeftCell="A13" colorId="64" zoomScale="110" zoomScaleNormal="110" zoomScalePageLayoutView="100" workbookViewId="0">
      <selection pane="topLeft" activeCell="AM26" activeCellId="0" sqref="AM26"/>
    </sheetView>
  </sheetViews>
  <sheetFormatPr defaultColWidth="8.7890625" defaultRowHeight="15" zeroHeight="false" outlineLevelRow="0" outlineLevelCol="0"/>
  <cols>
    <col collapsed="false" customWidth="true" hidden="false" outlineLevel="0" max="1" min="1" style="1" width="3.06"/>
    <col collapsed="false" customWidth="true" hidden="true" outlineLevel="0" max="2" min="2" style="1" width="20.07"/>
    <col collapsed="false" customWidth="true" hidden="false" outlineLevel="0" max="3" min="3" style="1" width="19.44"/>
    <col collapsed="false" customWidth="true" hidden="true" outlineLevel="0" max="4" min="4" style="1" width="31.19"/>
    <col collapsed="false" customWidth="true" hidden="true" outlineLevel="0" max="5" min="5" style="1" width="8.62"/>
    <col collapsed="false" customWidth="false" hidden="true" outlineLevel="0" max="7" min="6" style="1" width="8.79"/>
    <col collapsed="false" customWidth="true" hidden="true" outlineLevel="0" max="9" min="8" style="1" width="9.1"/>
    <col collapsed="false" customWidth="false" hidden="true" outlineLevel="0" max="31" min="10" style="1" width="8.79"/>
    <col collapsed="false" customWidth="true" hidden="false" outlineLevel="0" max="16384" min="16327" style="1" width="10.58"/>
  </cols>
  <sheetData>
    <row r="1" customFormat="false" ht="15" hidden="false" customHeight="false" outlineLevel="0" collapsed="false">
      <c r="B1" s="2"/>
      <c r="C1" s="2"/>
      <c r="D1" s="2"/>
      <c r="E1" s="3"/>
    </row>
    <row r="2" customFormat="false" ht="15" hidden="false" customHeight="false" outlineLevel="0" collapsed="false">
      <c r="A2" s="1" t="s">
        <v>0</v>
      </c>
      <c r="B2" s="2" t="s">
        <v>1</v>
      </c>
      <c r="C2" s="2" t="s">
        <v>2</v>
      </c>
      <c r="D2" s="2" t="s">
        <v>3</v>
      </c>
      <c r="E2" s="3" t="n">
        <v>46093</v>
      </c>
      <c r="F2" s="3" t="n">
        <v>46100</v>
      </c>
      <c r="G2" s="3" t="n">
        <v>46107</v>
      </c>
      <c r="H2" s="3" t="n">
        <v>46114</v>
      </c>
      <c r="I2" s="3" t="n">
        <v>46121</v>
      </c>
      <c r="J2" s="3" t="s">
        <v>4</v>
      </c>
      <c r="K2" s="3" t="n">
        <v>46128</v>
      </c>
      <c r="L2" s="3" t="s">
        <v>4</v>
      </c>
      <c r="M2" s="3" t="n">
        <v>46135</v>
      </c>
      <c r="N2" s="3" t="s">
        <v>4</v>
      </c>
      <c r="O2" s="3" t="n">
        <v>46149</v>
      </c>
      <c r="P2" s="3" t="n">
        <v>46156</v>
      </c>
      <c r="Q2" s="3" t="s">
        <v>4</v>
      </c>
      <c r="R2" s="3" t="n">
        <v>46163</v>
      </c>
      <c r="S2" s="3" t="s">
        <v>4</v>
      </c>
      <c r="T2" s="3" t="n">
        <v>46170</v>
      </c>
      <c r="U2" s="3" t="s">
        <v>5</v>
      </c>
      <c r="V2" s="3" t="s">
        <v>6</v>
      </c>
      <c r="W2" s="3" t="s">
        <v>7</v>
      </c>
      <c r="X2" s="3" t="s">
        <v>8</v>
      </c>
      <c r="Y2" s="3" t="s">
        <v>9</v>
      </c>
      <c r="Z2" s="3" t="s">
        <v>10</v>
      </c>
      <c r="AA2" s="3" t="n">
        <v>46177</v>
      </c>
      <c r="AB2" s="3" t="n">
        <v>46184</v>
      </c>
      <c r="AC2" s="3" t="s">
        <v>4</v>
      </c>
      <c r="AD2" s="3" t="n">
        <v>46191</v>
      </c>
      <c r="AE2" s="3" t="n">
        <v>46199</v>
      </c>
      <c r="AF2" s="3" t="s">
        <v>4</v>
      </c>
      <c r="AG2" s="3" t="n">
        <v>46254</v>
      </c>
      <c r="AH2" s="3" t="n">
        <v>46268</v>
      </c>
      <c r="AI2" s="3" t="n">
        <v>46275</v>
      </c>
      <c r="AJ2" s="3" t="n">
        <v>46282</v>
      </c>
      <c r="AK2" s="3" t="n">
        <v>46289</v>
      </c>
      <c r="AL2" s="3" t="n">
        <v>46290</v>
      </c>
      <c r="AM2" s="3" t="n">
        <v>46296</v>
      </c>
      <c r="AN2" s="3" t="s">
        <v>4</v>
      </c>
      <c r="AO2" s="3" t="n">
        <v>46254</v>
      </c>
      <c r="AP2" s="3" t="n">
        <v>46261</v>
      </c>
      <c r="AQ2" s="3" t="n">
        <v>46268</v>
      </c>
      <c r="AR2" s="3" t="n">
        <v>46275</v>
      </c>
      <c r="AS2" s="3" t="n">
        <v>46282</v>
      </c>
      <c r="AT2" s="3" t="n">
        <v>46289</v>
      </c>
      <c r="AU2" s="3" t="n">
        <v>46296</v>
      </c>
      <c r="AV2" s="3" t="n">
        <v>46303</v>
      </c>
      <c r="AW2" s="3" t="n">
        <v>46310</v>
      </c>
      <c r="AX2" s="3" t="n">
        <v>46317</v>
      </c>
      <c r="AY2" s="3" t="n">
        <v>46324</v>
      </c>
      <c r="AZ2" s="3" t="n">
        <v>46331</v>
      </c>
      <c r="BA2" s="3" t="n">
        <v>46338</v>
      </c>
      <c r="BB2" s="3" t="n">
        <v>46345</v>
      </c>
      <c r="BC2" s="3" t="n">
        <v>46352</v>
      </c>
      <c r="BD2" s="3" t="n">
        <v>46359</v>
      </c>
      <c r="BE2" s="3" t="n">
        <v>46366</v>
      </c>
      <c r="BF2" s="3" t="n">
        <v>46373</v>
      </c>
      <c r="BG2" s="3" t="n">
        <v>46380</v>
      </c>
      <c r="BH2" s="3" t="n">
        <v>46387</v>
      </c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</row>
    <row r="3" s="2" customFormat="true" ht="15.65" hidden="false" customHeight="false" outlineLevel="0" collapsed="false">
      <c r="A3" s="1" t="n">
        <v>1</v>
      </c>
      <c r="B3" s="1" t="s">
        <v>11</v>
      </c>
      <c r="C3" s="1" t="s">
        <v>12</v>
      </c>
      <c r="D3" s="2" t="s">
        <v>13</v>
      </c>
      <c r="E3" s="1" t="s">
        <v>14</v>
      </c>
      <c r="F3" s="2" t="s">
        <v>14</v>
      </c>
      <c r="G3" s="2" t="s">
        <v>14</v>
      </c>
      <c r="H3" s="1"/>
      <c r="I3" s="1" t="s">
        <v>14</v>
      </c>
      <c r="J3" s="1"/>
      <c r="K3" s="1" t="s">
        <v>14</v>
      </c>
      <c r="L3" s="1"/>
      <c r="M3" s="1" t="s">
        <v>14</v>
      </c>
      <c r="N3" s="1"/>
      <c r="O3" s="2" t="s">
        <v>14</v>
      </c>
      <c r="P3" s="2" t="s">
        <v>14</v>
      </c>
      <c r="R3" s="2" t="s">
        <v>14</v>
      </c>
      <c r="T3" s="2" t="s">
        <v>14</v>
      </c>
      <c r="U3" s="2" t="n">
        <f aca="false">COUNTIF(E3:T3,"P")</f>
        <v>10</v>
      </c>
      <c r="V3" s="2" t="n">
        <f aca="false">COUNTIF(E3:T3,"M")</f>
        <v>0</v>
      </c>
      <c r="W3" s="2" t="n">
        <f aca="false">COUNTIF(E3:T3,"T")</f>
        <v>0</v>
      </c>
      <c r="X3" s="2" t="n">
        <f aca="false">COUNTIF(E3:U3,"A")</f>
        <v>0</v>
      </c>
      <c r="Y3" s="2" t="n">
        <f aca="false">SUM(U3:X3)</f>
        <v>10</v>
      </c>
      <c r="Z3" s="4" t="n">
        <f aca="false">ROUND((U3+V3/2+W3/4)*10/Y3,0)</f>
        <v>10</v>
      </c>
      <c r="AA3" s="2" t="s">
        <v>14</v>
      </c>
      <c r="AB3" s="2" t="s">
        <v>14</v>
      </c>
      <c r="AD3" s="2" t="s">
        <v>14</v>
      </c>
      <c r="AE3" s="2" t="s">
        <v>14</v>
      </c>
      <c r="AG3" s="2" t="s">
        <v>14</v>
      </c>
      <c r="AH3" s="2" t="s">
        <v>14</v>
      </c>
      <c r="AI3" s="2" t="s">
        <v>14</v>
      </c>
      <c r="AJ3" s="2" t="s">
        <v>14</v>
      </c>
      <c r="AK3" s="2" t="s">
        <v>14</v>
      </c>
      <c r="AL3" s="2" t="s">
        <v>14</v>
      </c>
      <c r="AM3" s="2" t="s">
        <v>14</v>
      </c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  <c r="XFC3" s="1"/>
      <c r="XFD3" s="1"/>
    </row>
    <row r="4" s="2" customFormat="true" ht="15.65" hidden="false" customHeight="false" outlineLevel="0" collapsed="false">
      <c r="A4" s="1" t="n">
        <v>2</v>
      </c>
      <c r="B4" s="1" t="s">
        <v>15</v>
      </c>
      <c r="C4" s="1" t="s">
        <v>16</v>
      </c>
      <c r="D4" s="2" t="s">
        <v>17</v>
      </c>
      <c r="E4" s="1" t="s">
        <v>14</v>
      </c>
      <c r="F4" s="2" t="s">
        <v>14</v>
      </c>
      <c r="G4" s="2" t="s">
        <v>18</v>
      </c>
      <c r="H4" s="1"/>
      <c r="I4" s="1" t="s">
        <v>14</v>
      </c>
      <c r="J4" s="1"/>
      <c r="K4" s="1" t="s">
        <v>14</v>
      </c>
      <c r="L4" s="1"/>
      <c r="M4" s="1" t="s">
        <v>14</v>
      </c>
      <c r="N4" s="1"/>
      <c r="O4" s="2" t="s">
        <v>14</v>
      </c>
      <c r="P4" s="2" t="s">
        <v>18</v>
      </c>
      <c r="R4" s="2" t="s">
        <v>14</v>
      </c>
      <c r="T4" s="2" t="s">
        <v>14</v>
      </c>
      <c r="U4" s="2" t="n">
        <f aca="false">COUNTIF(E4:T4,"P")</f>
        <v>8</v>
      </c>
      <c r="V4" s="2" t="n">
        <f aca="false">COUNTIF(E4:T4,"M")</f>
        <v>0</v>
      </c>
      <c r="W4" s="2" t="n">
        <f aca="false">COUNTIF(E4:T4,"T")</f>
        <v>0</v>
      </c>
      <c r="X4" s="2" t="n">
        <f aca="false">COUNTIF(E4:U4,"A")</f>
        <v>2</v>
      </c>
      <c r="Y4" s="2" t="n">
        <f aca="false">SUM(U4:X4)</f>
        <v>10</v>
      </c>
      <c r="Z4" s="4" t="n">
        <f aca="false">ROUND((U4+V4/2+W4/4)*10/Y4,0)</f>
        <v>8</v>
      </c>
      <c r="AA4" s="2" t="s">
        <v>14</v>
      </c>
      <c r="AB4" s="2" t="s">
        <v>14</v>
      </c>
      <c r="AD4" s="2" t="s">
        <v>14</v>
      </c>
      <c r="AE4" s="2" t="s">
        <v>14</v>
      </c>
      <c r="AG4" s="2" t="s">
        <v>18</v>
      </c>
      <c r="AH4" s="2" t="s">
        <v>14</v>
      </c>
      <c r="AI4" s="2" t="s">
        <v>14</v>
      </c>
      <c r="AJ4" s="2" t="s">
        <v>14</v>
      </c>
      <c r="AK4" s="2" t="s">
        <v>14</v>
      </c>
      <c r="AL4" s="2" t="s">
        <v>14</v>
      </c>
      <c r="AM4" s="2" t="s">
        <v>14</v>
      </c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  <c r="XEX4" s="1"/>
      <c r="XEY4" s="1"/>
      <c r="XEZ4" s="1"/>
      <c r="XFA4" s="1"/>
      <c r="XFB4" s="1"/>
      <c r="XFC4" s="1"/>
      <c r="XFD4" s="1"/>
    </row>
    <row r="5" s="1" customFormat="true" ht="15.65" hidden="false" customHeight="false" outlineLevel="0" collapsed="false">
      <c r="A5" s="1" t="n">
        <v>3</v>
      </c>
      <c r="B5" s="1" t="s">
        <v>19</v>
      </c>
      <c r="C5" s="1" t="s">
        <v>20</v>
      </c>
      <c r="D5" s="2" t="s">
        <v>21</v>
      </c>
      <c r="E5" s="1" t="s">
        <v>14</v>
      </c>
      <c r="F5" s="1" t="s">
        <v>14</v>
      </c>
      <c r="G5" s="1" t="s">
        <v>14</v>
      </c>
      <c r="I5" s="1" t="s">
        <v>14</v>
      </c>
      <c r="K5" s="1" t="s">
        <v>14</v>
      </c>
      <c r="M5" s="1" t="s">
        <v>14</v>
      </c>
      <c r="O5" s="1" t="s">
        <v>14</v>
      </c>
      <c r="P5" s="2" t="s">
        <v>14</v>
      </c>
      <c r="Q5" s="2"/>
      <c r="R5" s="1" t="s">
        <v>14</v>
      </c>
      <c r="T5" s="1" t="s">
        <v>14</v>
      </c>
      <c r="U5" s="2" t="n">
        <f aca="false">COUNTIF(E5:T5,"P")</f>
        <v>10</v>
      </c>
      <c r="V5" s="2" t="n">
        <f aca="false">COUNTIF(E5:T5,"M")</f>
        <v>0</v>
      </c>
      <c r="W5" s="2" t="n">
        <f aca="false">COUNTIF(E5:T5,"T")</f>
        <v>0</v>
      </c>
      <c r="X5" s="2" t="n">
        <f aca="false">COUNTIF(E5:U5,"A")</f>
        <v>0</v>
      </c>
      <c r="Y5" s="2" t="n">
        <f aca="false">SUM(U5:X5)</f>
        <v>10</v>
      </c>
      <c r="Z5" s="4" t="n">
        <f aca="false">ROUND((U5+V5/2+W5/4)*10/Y5,0)</f>
        <v>10</v>
      </c>
      <c r="AA5" s="1" t="s">
        <v>14</v>
      </c>
      <c r="AB5" s="1" t="s">
        <v>14</v>
      </c>
      <c r="AD5" s="1" t="s">
        <v>14</v>
      </c>
      <c r="AE5" s="1" t="s">
        <v>14</v>
      </c>
      <c r="AG5" s="2" t="s">
        <v>14</v>
      </c>
      <c r="AH5" s="1" t="s">
        <v>14</v>
      </c>
      <c r="AI5" s="1" t="s">
        <v>14</v>
      </c>
      <c r="AJ5" s="1" t="s">
        <v>14</v>
      </c>
      <c r="AK5" s="1" t="s">
        <v>18</v>
      </c>
      <c r="AL5" s="2" t="s">
        <v>14</v>
      </c>
      <c r="AM5" s="1" t="s">
        <v>22</v>
      </c>
      <c r="AN5" s="5" t="n">
        <v>0.555555555555556</v>
      </c>
    </row>
    <row r="6" s="1" customFormat="true" ht="15.65" hidden="false" customHeight="false" outlineLevel="0" collapsed="false">
      <c r="A6" s="1" t="n">
        <v>4</v>
      </c>
      <c r="B6" s="1" t="s">
        <v>23</v>
      </c>
      <c r="C6" s="1" t="s">
        <v>24</v>
      </c>
      <c r="D6" s="2" t="s">
        <v>25</v>
      </c>
      <c r="E6" s="1" t="s">
        <v>14</v>
      </c>
      <c r="F6" s="1" t="s">
        <v>14</v>
      </c>
      <c r="G6" s="1" t="s">
        <v>14</v>
      </c>
      <c r="I6" s="1" t="s">
        <v>14</v>
      </c>
      <c r="K6" s="1" t="s">
        <v>14</v>
      </c>
      <c r="M6" s="1" t="s">
        <v>14</v>
      </c>
      <c r="O6" s="1" t="s">
        <v>14</v>
      </c>
      <c r="P6" s="2" t="s">
        <v>14</v>
      </c>
      <c r="Q6" s="2"/>
      <c r="R6" s="1" t="s">
        <v>14</v>
      </c>
      <c r="T6" s="1" t="s">
        <v>14</v>
      </c>
      <c r="U6" s="2" t="n">
        <f aca="false">COUNTIF(E6:T6,"P")</f>
        <v>10</v>
      </c>
      <c r="V6" s="2" t="n">
        <f aca="false">COUNTIF(E6:T6,"M")</f>
        <v>0</v>
      </c>
      <c r="W6" s="2" t="n">
        <f aca="false">COUNTIF(E6:T6,"T")</f>
        <v>0</v>
      </c>
      <c r="X6" s="2" t="n">
        <f aca="false">COUNTIF(E6:U6,"A")</f>
        <v>0</v>
      </c>
      <c r="Y6" s="2" t="n">
        <f aca="false">SUM(U6:X6)</f>
        <v>10</v>
      </c>
      <c r="Z6" s="4" t="n">
        <f aca="false">ROUND((U6+V6/2+W6/4)*10/Y6,0)</f>
        <v>10</v>
      </c>
      <c r="AA6" s="1" t="s">
        <v>14</v>
      </c>
      <c r="AB6" s="1" t="s">
        <v>14</v>
      </c>
      <c r="AD6" s="1" t="s">
        <v>14</v>
      </c>
      <c r="AE6" s="1" t="s">
        <v>14</v>
      </c>
      <c r="AG6" s="2" t="s">
        <v>14</v>
      </c>
      <c r="AH6" s="1" t="s">
        <v>14</v>
      </c>
      <c r="AI6" s="1" t="s">
        <v>14</v>
      </c>
      <c r="AJ6" s="1" t="s">
        <v>14</v>
      </c>
      <c r="AK6" s="1" t="s">
        <v>14</v>
      </c>
      <c r="AL6" s="2" t="s">
        <v>14</v>
      </c>
      <c r="AM6" s="1" t="s">
        <v>14</v>
      </c>
    </row>
    <row r="7" s="1" customFormat="true" ht="15.65" hidden="false" customHeight="false" outlineLevel="0" collapsed="false">
      <c r="A7" s="1" t="n">
        <v>5</v>
      </c>
      <c r="B7" s="1" t="s">
        <v>26</v>
      </c>
      <c r="C7" s="1" t="s">
        <v>27</v>
      </c>
      <c r="D7" s="2" t="s">
        <v>28</v>
      </c>
      <c r="E7" s="1" t="s">
        <v>14</v>
      </c>
      <c r="F7" s="1" t="s">
        <v>14</v>
      </c>
      <c r="G7" s="1" t="s">
        <v>14</v>
      </c>
      <c r="I7" s="1" t="s">
        <v>14</v>
      </c>
      <c r="K7" s="1" t="s">
        <v>14</v>
      </c>
      <c r="M7" s="1" t="s">
        <v>14</v>
      </c>
      <c r="O7" s="1" t="s">
        <v>14</v>
      </c>
      <c r="P7" s="2" t="s">
        <v>14</v>
      </c>
      <c r="Q7" s="2"/>
      <c r="R7" s="1" t="s">
        <v>14</v>
      </c>
      <c r="T7" s="1" t="s">
        <v>18</v>
      </c>
      <c r="U7" s="2" t="n">
        <f aca="false">COUNTIF(E7:T7,"P")</f>
        <v>9</v>
      </c>
      <c r="V7" s="2" t="n">
        <f aca="false">COUNTIF(E7:T7,"M")</f>
        <v>0</v>
      </c>
      <c r="W7" s="2" t="n">
        <f aca="false">COUNTIF(E7:T7,"T")</f>
        <v>0</v>
      </c>
      <c r="X7" s="2" t="n">
        <f aca="false">COUNTIF(E7:U7,"A")</f>
        <v>1</v>
      </c>
      <c r="Y7" s="2" t="n">
        <f aca="false">SUM(U7:X7)</f>
        <v>10</v>
      </c>
      <c r="Z7" s="4" t="n">
        <f aca="false">ROUND((U7+V7/2+W7/4)*10/Y7,0)</f>
        <v>9</v>
      </c>
      <c r="AA7" s="1" t="s">
        <v>14</v>
      </c>
      <c r="AB7" s="1" t="s">
        <v>22</v>
      </c>
      <c r="AC7" s="5" t="n">
        <v>0.53125</v>
      </c>
      <c r="AD7" s="1" t="s">
        <v>14</v>
      </c>
      <c r="AE7" s="1" t="s">
        <v>14</v>
      </c>
      <c r="AG7" s="2" t="s">
        <v>14</v>
      </c>
      <c r="AH7" s="1" t="s">
        <v>14</v>
      </c>
      <c r="AI7" s="1" t="s">
        <v>14</v>
      </c>
      <c r="AJ7" s="1" t="s">
        <v>14</v>
      </c>
      <c r="AK7" s="1" t="s">
        <v>14</v>
      </c>
      <c r="AL7" s="2" t="s">
        <v>14</v>
      </c>
      <c r="AM7" s="1" t="s">
        <v>14</v>
      </c>
    </row>
    <row r="8" s="2" customFormat="true" ht="15.65" hidden="false" customHeight="false" outlineLevel="0" collapsed="false">
      <c r="A8" s="1" t="n">
        <v>6</v>
      </c>
      <c r="B8" s="1" t="s">
        <v>29</v>
      </c>
      <c r="C8" s="1" t="s">
        <v>30</v>
      </c>
      <c r="D8" s="2" t="s">
        <v>31</v>
      </c>
      <c r="E8" s="1" t="s">
        <v>14</v>
      </c>
      <c r="F8" s="1" t="s">
        <v>14</v>
      </c>
      <c r="G8" s="2" t="s">
        <v>14</v>
      </c>
      <c r="H8" s="1"/>
      <c r="I8" s="1" t="s">
        <v>18</v>
      </c>
      <c r="J8" s="1"/>
      <c r="K8" s="1" t="s">
        <v>18</v>
      </c>
      <c r="L8" s="1"/>
      <c r="M8" s="1" t="s">
        <v>14</v>
      </c>
      <c r="N8" s="1"/>
      <c r="O8" s="2" t="s">
        <v>18</v>
      </c>
      <c r="P8" s="2" t="s">
        <v>14</v>
      </c>
      <c r="R8" s="2" t="s">
        <v>14</v>
      </c>
      <c r="T8" s="2" t="s">
        <v>14</v>
      </c>
      <c r="U8" s="2" t="n">
        <f aca="false">COUNTIF(E8:T8,"P")</f>
        <v>7</v>
      </c>
      <c r="V8" s="2" t="n">
        <f aca="false">COUNTIF(E8:T8,"M")</f>
        <v>0</v>
      </c>
      <c r="W8" s="2" t="n">
        <f aca="false">COUNTIF(E8:T8,"T")</f>
        <v>0</v>
      </c>
      <c r="X8" s="2" t="n">
        <f aca="false">COUNTIF(E8:U8,"A")</f>
        <v>3</v>
      </c>
      <c r="Y8" s="2" t="n">
        <f aca="false">SUM(U8:X8)</f>
        <v>10</v>
      </c>
      <c r="Z8" s="4" t="n">
        <f aca="false">ROUND((U8+V8/2+W8/4)*10/Y8,0)</f>
        <v>7</v>
      </c>
      <c r="AA8" s="2" t="s">
        <v>14</v>
      </c>
      <c r="AB8" s="2" t="s">
        <v>14</v>
      </c>
      <c r="AD8" s="2" t="s">
        <v>14</v>
      </c>
      <c r="AE8" s="2" t="s">
        <v>14</v>
      </c>
      <c r="AG8" s="2" t="s">
        <v>14</v>
      </c>
      <c r="AH8" s="2" t="s">
        <v>14</v>
      </c>
      <c r="AI8" s="2" t="s">
        <v>14</v>
      </c>
      <c r="AJ8" s="2" t="s">
        <v>14</v>
      </c>
      <c r="AK8" s="2" t="s">
        <v>14</v>
      </c>
      <c r="AL8" s="2" t="s">
        <v>14</v>
      </c>
      <c r="AM8" s="2" t="s">
        <v>14</v>
      </c>
      <c r="XCY8" s="1"/>
      <c r="XCZ8" s="1"/>
      <c r="XDA8" s="1"/>
      <c r="XDB8" s="1"/>
      <c r="XDC8" s="1"/>
      <c r="XDD8" s="1"/>
      <c r="XDE8" s="1"/>
      <c r="XDF8" s="1"/>
      <c r="XDG8" s="1"/>
      <c r="XDH8" s="1"/>
      <c r="XDI8" s="1"/>
      <c r="XDJ8" s="1"/>
      <c r="XDK8" s="1"/>
      <c r="XDL8" s="1"/>
      <c r="XDM8" s="1"/>
      <c r="XDN8" s="1"/>
      <c r="XDO8" s="1"/>
      <c r="XDP8" s="1"/>
      <c r="XDQ8" s="1"/>
      <c r="XDR8" s="1"/>
      <c r="XDS8" s="1"/>
      <c r="XDT8" s="1"/>
      <c r="XDU8" s="1"/>
      <c r="XDV8" s="1"/>
      <c r="XDW8" s="1"/>
      <c r="XDX8" s="1"/>
      <c r="XDY8" s="1"/>
      <c r="XDZ8" s="1"/>
      <c r="XEA8" s="1"/>
      <c r="XEB8" s="1"/>
      <c r="XEC8" s="1"/>
      <c r="XED8" s="1"/>
      <c r="XEE8" s="1"/>
      <c r="XEF8" s="1"/>
      <c r="XEG8" s="1"/>
      <c r="XEH8" s="1"/>
      <c r="XEI8" s="1"/>
      <c r="XEJ8" s="1"/>
      <c r="XEK8" s="1"/>
      <c r="XEL8" s="1"/>
      <c r="XEM8" s="1"/>
      <c r="XEN8" s="1"/>
      <c r="XEO8" s="1"/>
      <c r="XEP8" s="1"/>
      <c r="XEQ8" s="1"/>
      <c r="XER8" s="1"/>
      <c r="XES8" s="1"/>
      <c r="XET8" s="1"/>
      <c r="XEU8" s="1"/>
      <c r="XEV8" s="1"/>
      <c r="XEW8" s="1"/>
      <c r="XEX8" s="1"/>
      <c r="XEY8" s="1"/>
      <c r="XEZ8" s="1"/>
      <c r="XFA8" s="1"/>
      <c r="XFB8" s="1"/>
      <c r="XFC8" s="1"/>
      <c r="XFD8" s="1"/>
    </row>
    <row r="9" s="2" customFormat="true" ht="15.65" hidden="false" customHeight="false" outlineLevel="0" collapsed="false">
      <c r="A9" s="1" t="n">
        <v>7</v>
      </c>
      <c r="B9" s="1" t="s">
        <v>32</v>
      </c>
      <c r="C9" s="1" t="s">
        <v>33</v>
      </c>
      <c r="D9" s="2" t="s">
        <v>34</v>
      </c>
      <c r="E9" s="1" t="s">
        <v>14</v>
      </c>
      <c r="F9" s="1" t="s">
        <v>14</v>
      </c>
      <c r="G9" s="2" t="s">
        <v>14</v>
      </c>
      <c r="H9" s="1"/>
      <c r="I9" s="1" t="s">
        <v>18</v>
      </c>
      <c r="J9" s="1"/>
      <c r="K9" s="1" t="s">
        <v>18</v>
      </c>
      <c r="L9" s="1"/>
      <c r="M9" s="1" t="s">
        <v>14</v>
      </c>
      <c r="N9" s="1"/>
      <c r="O9" s="2" t="s">
        <v>14</v>
      </c>
      <c r="P9" s="2" t="s">
        <v>14</v>
      </c>
      <c r="R9" s="2" t="s">
        <v>14</v>
      </c>
      <c r="T9" s="2" t="s">
        <v>14</v>
      </c>
      <c r="U9" s="2" t="n">
        <f aca="false">COUNTIF(E9:T9,"P")</f>
        <v>8</v>
      </c>
      <c r="V9" s="2" t="n">
        <f aca="false">COUNTIF(E9:T9,"M")</f>
        <v>0</v>
      </c>
      <c r="W9" s="2" t="n">
        <f aca="false">COUNTIF(E9:T9,"T")</f>
        <v>0</v>
      </c>
      <c r="X9" s="2" t="n">
        <f aca="false">COUNTIF(E9:U9,"A")</f>
        <v>2</v>
      </c>
      <c r="Y9" s="2" t="n">
        <f aca="false">SUM(U9:X9)</f>
        <v>10</v>
      </c>
      <c r="Z9" s="4" t="n">
        <f aca="false">ROUND((U9+V9/2+W9/4)*10/Y9,0)</f>
        <v>8</v>
      </c>
      <c r="AA9" s="2" t="s">
        <v>14</v>
      </c>
      <c r="AB9" s="2" t="s">
        <v>14</v>
      </c>
      <c r="AD9" s="2" t="s">
        <v>14</v>
      </c>
      <c r="AE9" s="2" t="s">
        <v>14</v>
      </c>
      <c r="AG9" s="2" t="s">
        <v>14</v>
      </c>
      <c r="AH9" s="2" t="s">
        <v>14</v>
      </c>
      <c r="AI9" s="2" t="s">
        <v>14</v>
      </c>
      <c r="AJ9" s="2" t="s">
        <v>14</v>
      </c>
      <c r="AK9" s="2" t="s">
        <v>18</v>
      </c>
      <c r="AL9" s="2" t="s">
        <v>14</v>
      </c>
      <c r="AM9" s="2" t="s">
        <v>22</v>
      </c>
      <c r="AN9" s="6" t="n">
        <v>0.555555555555556</v>
      </c>
      <c r="XCY9" s="1"/>
      <c r="XCZ9" s="1"/>
      <c r="XDA9" s="1"/>
      <c r="XDB9" s="1"/>
      <c r="XDC9" s="1"/>
      <c r="XDD9" s="1"/>
      <c r="XDE9" s="1"/>
      <c r="XDF9" s="1"/>
      <c r="XDG9" s="1"/>
      <c r="XDH9" s="1"/>
      <c r="XDI9" s="1"/>
      <c r="XDJ9" s="1"/>
      <c r="XDK9" s="1"/>
      <c r="XDL9" s="1"/>
      <c r="XDM9" s="1"/>
      <c r="XDN9" s="1"/>
      <c r="XDO9" s="1"/>
      <c r="XDP9" s="1"/>
      <c r="XDQ9" s="1"/>
      <c r="XDR9" s="1"/>
      <c r="XDS9" s="1"/>
      <c r="XDT9" s="1"/>
      <c r="XDU9" s="1"/>
      <c r="XDV9" s="1"/>
      <c r="XDW9" s="1"/>
      <c r="XDX9" s="1"/>
      <c r="XDY9" s="1"/>
      <c r="XDZ9" s="1"/>
      <c r="XEA9" s="1"/>
      <c r="XEB9" s="1"/>
      <c r="XEC9" s="1"/>
      <c r="XED9" s="1"/>
      <c r="XEE9" s="1"/>
      <c r="XEF9" s="1"/>
      <c r="XEG9" s="1"/>
      <c r="XEH9" s="1"/>
      <c r="XEI9" s="1"/>
      <c r="XEJ9" s="1"/>
      <c r="XEK9" s="1"/>
      <c r="XEL9" s="1"/>
      <c r="XEM9" s="1"/>
      <c r="XEN9" s="1"/>
      <c r="XEO9" s="1"/>
      <c r="XEP9" s="1"/>
      <c r="XEQ9" s="1"/>
      <c r="XER9" s="1"/>
      <c r="XES9" s="1"/>
      <c r="XET9" s="1"/>
      <c r="XEU9" s="1"/>
      <c r="XEV9" s="1"/>
      <c r="XEW9" s="1"/>
      <c r="XEX9" s="1"/>
      <c r="XEY9" s="1"/>
      <c r="XEZ9" s="1"/>
      <c r="XFA9" s="1"/>
      <c r="XFB9" s="1"/>
      <c r="XFC9" s="1"/>
      <c r="XFD9" s="1"/>
    </row>
    <row r="10" s="2" customFormat="true" ht="15.65" hidden="false" customHeight="false" outlineLevel="0" collapsed="false">
      <c r="A10" s="1" t="n">
        <v>8</v>
      </c>
      <c r="B10" s="1" t="s">
        <v>35</v>
      </c>
      <c r="C10" s="1" t="s">
        <v>36</v>
      </c>
      <c r="D10" s="2" t="s">
        <v>37</v>
      </c>
      <c r="E10" s="1" t="s">
        <v>14</v>
      </c>
      <c r="F10" s="1" t="s">
        <v>14</v>
      </c>
      <c r="G10" s="2" t="s">
        <v>22</v>
      </c>
      <c r="H10" s="5" t="n">
        <v>0.541666666666667</v>
      </c>
      <c r="I10" s="1" t="s">
        <v>18</v>
      </c>
      <c r="J10" s="1"/>
      <c r="K10" s="1" t="s">
        <v>14</v>
      </c>
      <c r="L10" s="1"/>
      <c r="M10" s="1" t="s">
        <v>22</v>
      </c>
      <c r="N10" s="5" t="n">
        <v>0.548611111111111</v>
      </c>
      <c r="O10" s="2" t="s">
        <v>18</v>
      </c>
      <c r="P10" s="2" t="s">
        <v>14</v>
      </c>
      <c r="R10" s="2" t="s">
        <v>22</v>
      </c>
      <c r="S10" s="6" t="n">
        <v>0.552083333333333</v>
      </c>
      <c r="T10" s="2" t="s">
        <v>18</v>
      </c>
      <c r="U10" s="2" t="n">
        <f aca="false">COUNTIF(E10:T10,"P")</f>
        <v>4</v>
      </c>
      <c r="V10" s="2" t="n">
        <f aca="false">COUNTIF(E10:T10,"M")</f>
        <v>0</v>
      </c>
      <c r="W10" s="2" t="n">
        <f aca="false">COUNTIF(E10:T10,"T")</f>
        <v>3</v>
      </c>
      <c r="X10" s="2" t="n">
        <f aca="false">COUNTIF(E10:U10,"A")</f>
        <v>3</v>
      </c>
      <c r="Y10" s="2" t="n">
        <f aca="false">SUM(U10:X10)</f>
        <v>10</v>
      </c>
      <c r="Z10" s="4" t="n">
        <f aca="false">ROUND((U10+V10/2+W10/4)*10/Y10,0)</f>
        <v>5</v>
      </c>
      <c r="AA10" s="2" t="s">
        <v>14</v>
      </c>
      <c r="AB10" s="2" t="s">
        <v>14</v>
      </c>
      <c r="AD10" s="2" t="s">
        <v>14</v>
      </c>
      <c r="AE10" s="2" t="s">
        <v>18</v>
      </c>
      <c r="AG10" s="2" t="s">
        <v>14</v>
      </c>
      <c r="AH10" s="2" t="s">
        <v>18</v>
      </c>
      <c r="AI10" s="2" t="s">
        <v>14</v>
      </c>
      <c r="AJ10" s="2" t="s">
        <v>14</v>
      </c>
      <c r="AK10" s="2" t="s">
        <v>14</v>
      </c>
      <c r="AL10" s="2" t="s">
        <v>14</v>
      </c>
      <c r="AM10" s="2" t="s">
        <v>14</v>
      </c>
      <c r="XCY10" s="1"/>
      <c r="XCZ10" s="1"/>
      <c r="XDA10" s="1"/>
      <c r="XDB10" s="1"/>
      <c r="XDC10" s="1"/>
      <c r="XDD10" s="1"/>
      <c r="XDE10" s="1"/>
      <c r="XDF10" s="1"/>
      <c r="XDG10" s="1"/>
      <c r="XDH10" s="1"/>
      <c r="XDI10" s="1"/>
      <c r="XDJ10" s="1"/>
      <c r="XDK10" s="1"/>
      <c r="XDL10" s="1"/>
      <c r="XDM10" s="1"/>
      <c r="XDN10" s="1"/>
      <c r="XDO10" s="1"/>
      <c r="XDP10" s="1"/>
      <c r="XDQ10" s="1"/>
      <c r="XDR10" s="1"/>
      <c r="XDS10" s="1"/>
      <c r="XDT10" s="1"/>
      <c r="XDU10" s="1"/>
      <c r="XDV10" s="1"/>
      <c r="XDW10" s="1"/>
      <c r="XDX10" s="1"/>
      <c r="XDY10" s="1"/>
      <c r="XDZ10" s="1"/>
      <c r="XEA10" s="1"/>
      <c r="XEB10" s="1"/>
      <c r="XEC10" s="1"/>
      <c r="XED10" s="1"/>
      <c r="XEE10" s="1"/>
      <c r="XEF10" s="1"/>
      <c r="XEG10" s="1"/>
      <c r="XEH10" s="1"/>
      <c r="XEI10" s="1"/>
      <c r="XEJ10" s="1"/>
      <c r="XEK10" s="1"/>
      <c r="XEL10" s="1"/>
      <c r="XEM10" s="1"/>
      <c r="XEN10" s="1"/>
      <c r="XEO10" s="1"/>
      <c r="XEP10" s="1"/>
      <c r="XEQ10" s="1"/>
      <c r="XER10" s="1"/>
      <c r="XES10" s="1"/>
      <c r="XET10" s="1"/>
      <c r="XEU10" s="1"/>
      <c r="XEV10" s="1"/>
      <c r="XEW10" s="1"/>
      <c r="XEX10" s="1"/>
      <c r="XEY10" s="1"/>
      <c r="XEZ10" s="1"/>
      <c r="XFA10" s="1"/>
      <c r="XFB10" s="1"/>
      <c r="XFC10" s="1"/>
      <c r="XFD10" s="1"/>
    </row>
    <row r="11" s="1" customFormat="true" ht="15.65" hidden="false" customHeight="false" outlineLevel="0" collapsed="false">
      <c r="A11" s="1" t="n">
        <v>9</v>
      </c>
      <c r="B11" s="1" t="s">
        <v>38</v>
      </c>
      <c r="C11" s="1" t="s">
        <v>39</v>
      </c>
      <c r="D11" s="2" t="s">
        <v>40</v>
      </c>
      <c r="E11" s="1" t="s">
        <v>14</v>
      </c>
      <c r="F11" s="1" t="s">
        <v>14</v>
      </c>
      <c r="G11" s="1" t="s">
        <v>14</v>
      </c>
      <c r="I11" s="1" t="s">
        <v>14</v>
      </c>
      <c r="K11" s="1" t="s">
        <v>22</v>
      </c>
      <c r="L11" s="5" t="n">
        <v>0.534722222222222</v>
      </c>
      <c r="M11" s="1" t="s">
        <v>14</v>
      </c>
      <c r="O11" s="1" t="s">
        <v>14</v>
      </c>
      <c r="P11" s="2" t="s">
        <v>22</v>
      </c>
      <c r="Q11" s="6" t="n">
        <v>0.597222222222222</v>
      </c>
      <c r="R11" s="1" t="s">
        <v>14</v>
      </c>
      <c r="T11" s="1" t="s">
        <v>14</v>
      </c>
      <c r="U11" s="2" t="n">
        <f aca="false">COUNTIF(E11:T11,"P")</f>
        <v>8</v>
      </c>
      <c r="V11" s="2" t="n">
        <f aca="false">COUNTIF(E11:T11,"M")</f>
        <v>0</v>
      </c>
      <c r="W11" s="2" t="n">
        <f aca="false">COUNTIF(E11:T11,"T")</f>
        <v>2</v>
      </c>
      <c r="X11" s="2" t="n">
        <f aca="false">COUNTIF(E11:U11,"A")</f>
        <v>0</v>
      </c>
      <c r="Y11" s="2" t="n">
        <f aca="false">SUM(U11:X11)</f>
        <v>10</v>
      </c>
      <c r="Z11" s="4" t="n">
        <f aca="false">ROUND((U11+V11/2+W11/4)*10/Y11,0)</f>
        <v>9</v>
      </c>
      <c r="AA11" s="1" t="s">
        <v>14</v>
      </c>
      <c r="AB11" s="1" t="s">
        <v>22</v>
      </c>
      <c r="AC11" s="5" t="n">
        <v>0.534722222222222</v>
      </c>
      <c r="AD11" s="1" t="s">
        <v>14</v>
      </c>
      <c r="AE11" s="1" t="s">
        <v>14</v>
      </c>
      <c r="AG11" s="2" t="s">
        <v>14</v>
      </c>
      <c r="AH11" s="1" t="s">
        <v>18</v>
      </c>
      <c r="AI11" s="1" t="s">
        <v>14</v>
      </c>
      <c r="AJ11" s="1" t="s">
        <v>14</v>
      </c>
      <c r="AK11" s="1" t="s">
        <v>14</v>
      </c>
      <c r="AL11" s="2" t="s">
        <v>14</v>
      </c>
      <c r="AM11" s="1" t="s">
        <v>18</v>
      </c>
    </row>
    <row r="12" s="1" customFormat="true" ht="15.65" hidden="false" customHeight="false" outlineLevel="0" collapsed="false">
      <c r="A12" s="1" t="n">
        <v>10</v>
      </c>
      <c r="B12" s="1" t="s">
        <v>41</v>
      </c>
      <c r="C12" s="1" t="s">
        <v>42</v>
      </c>
      <c r="D12" s="2" t="s">
        <v>43</v>
      </c>
      <c r="E12" s="1" t="s">
        <v>14</v>
      </c>
      <c r="F12" s="1" t="s">
        <v>14</v>
      </c>
      <c r="G12" s="1" t="s">
        <v>14</v>
      </c>
      <c r="I12" s="1" t="s">
        <v>14</v>
      </c>
      <c r="K12" s="1" t="s">
        <v>14</v>
      </c>
      <c r="M12" s="1" t="s">
        <v>14</v>
      </c>
      <c r="O12" s="1" t="s">
        <v>18</v>
      </c>
      <c r="P12" s="2" t="s">
        <v>14</v>
      </c>
      <c r="Q12" s="2"/>
      <c r="R12" s="1" t="s">
        <v>44</v>
      </c>
      <c r="T12" s="1" t="s">
        <v>14</v>
      </c>
      <c r="U12" s="2" t="n">
        <f aca="false">COUNTIF(E12:T12,"P")</f>
        <v>9</v>
      </c>
      <c r="V12" s="2" t="n">
        <f aca="false">COUNTIF(E12:T12,"M")</f>
        <v>0</v>
      </c>
      <c r="W12" s="2" t="n">
        <f aca="false">COUNTIF(E12:T12,"T")</f>
        <v>0</v>
      </c>
      <c r="X12" s="2" t="n">
        <f aca="false">COUNTIF(E12:U12,"A")</f>
        <v>1</v>
      </c>
      <c r="Y12" s="2" t="n">
        <f aca="false">SUM(U12:X12)</f>
        <v>10</v>
      </c>
      <c r="Z12" s="4" t="n">
        <f aca="false">ROUND((U12+V12/2+W12/4)*10/Y12,0)</f>
        <v>9</v>
      </c>
      <c r="AA12" s="1" t="s">
        <v>14</v>
      </c>
      <c r="AB12" s="1" t="s">
        <v>14</v>
      </c>
      <c r="AD12" s="1" t="s">
        <v>14</v>
      </c>
      <c r="AE12" s="1" t="s">
        <v>14</v>
      </c>
      <c r="AG12" s="2" t="s">
        <v>14</v>
      </c>
      <c r="AH12" s="1" t="s">
        <v>18</v>
      </c>
      <c r="AI12" s="1" t="s">
        <v>14</v>
      </c>
      <c r="AJ12" s="1" t="s">
        <v>14</v>
      </c>
      <c r="AK12" s="1" t="s">
        <v>14</v>
      </c>
      <c r="AL12" s="2" t="s">
        <v>14</v>
      </c>
      <c r="AM12" s="1" t="s">
        <v>14</v>
      </c>
    </row>
    <row r="13" s="1" customFormat="true" ht="15.65" hidden="false" customHeight="false" outlineLevel="0" collapsed="false">
      <c r="A13" s="1" t="n">
        <v>11</v>
      </c>
      <c r="B13" s="1" t="s">
        <v>45</v>
      </c>
      <c r="C13" s="1" t="s">
        <v>46</v>
      </c>
      <c r="D13" s="2" t="s">
        <v>47</v>
      </c>
      <c r="E13" s="1" t="s">
        <v>14</v>
      </c>
      <c r="F13" s="1" t="s">
        <v>14</v>
      </c>
      <c r="G13" s="1" t="s">
        <v>14</v>
      </c>
      <c r="I13" s="1" t="s">
        <v>14</v>
      </c>
      <c r="K13" s="1" t="s">
        <v>14</v>
      </c>
      <c r="M13" s="1" t="s">
        <v>14</v>
      </c>
      <c r="O13" s="1" t="s">
        <v>14</v>
      </c>
      <c r="P13" s="2" t="s">
        <v>14</v>
      </c>
      <c r="Q13" s="2"/>
      <c r="R13" s="1" t="s">
        <v>14</v>
      </c>
      <c r="T13" s="1" t="s">
        <v>14</v>
      </c>
      <c r="U13" s="2" t="n">
        <f aca="false">COUNTIF(E13:T13,"P")</f>
        <v>10</v>
      </c>
      <c r="V13" s="2" t="n">
        <f aca="false">COUNTIF(E13:T13,"M")</f>
        <v>0</v>
      </c>
      <c r="W13" s="2" t="n">
        <f aca="false">COUNTIF(E13:T13,"T")</f>
        <v>0</v>
      </c>
      <c r="X13" s="2" t="n">
        <f aca="false">COUNTIF(E13:U13,"A")</f>
        <v>0</v>
      </c>
      <c r="Y13" s="2" t="n">
        <f aca="false">SUM(U13:X13)</f>
        <v>10</v>
      </c>
      <c r="Z13" s="4" t="n">
        <f aca="false">ROUND((U13+V13/2+W13/4)*10/Y13,0)</f>
        <v>10</v>
      </c>
      <c r="AA13" s="1" t="s">
        <v>18</v>
      </c>
      <c r="AB13" s="1" t="s">
        <v>14</v>
      </c>
      <c r="AD13" s="1" t="s">
        <v>14</v>
      </c>
      <c r="AE13" s="1" t="s">
        <v>14</v>
      </c>
      <c r="AG13" s="2" t="s">
        <v>14</v>
      </c>
      <c r="AH13" s="1" t="s">
        <v>14</v>
      </c>
      <c r="AI13" s="1" t="s">
        <v>14</v>
      </c>
      <c r="AJ13" s="1" t="s">
        <v>18</v>
      </c>
      <c r="AK13" s="1" t="s">
        <v>14</v>
      </c>
      <c r="AL13" s="2" t="s">
        <v>14</v>
      </c>
      <c r="AM13" s="1" t="s">
        <v>14</v>
      </c>
    </row>
    <row r="14" s="2" customFormat="true" ht="15.65" hidden="false" customHeight="false" outlineLevel="0" collapsed="false">
      <c r="A14" s="1" t="n">
        <v>12</v>
      </c>
      <c r="B14" s="1" t="s">
        <v>48</v>
      </c>
      <c r="C14" s="1" t="s">
        <v>49</v>
      </c>
      <c r="D14" s="2" t="s">
        <v>50</v>
      </c>
      <c r="E14" s="1" t="s">
        <v>14</v>
      </c>
      <c r="F14" s="1" t="s">
        <v>14</v>
      </c>
      <c r="G14" s="2" t="s">
        <v>14</v>
      </c>
      <c r="H14" s="1"/>
      <c r="I14" s="1" t="s">
        <v>14</v>
      </c>
      <c r="J14" s="1"/>
      <c r="K14" s="1" t="s">
        <v>14</v>
      </c>
      <c r="L14" s="1"/>
      <c r="M14" s="1" t="s">
        <v>14</v>
      </c>
      <c r="N14" s="1"/>
      <c r="O14" s="2" t="s">
        <v>14</v>
      </c>
      <c r="P14" s="2" t="s">
        <v>18</v>
      </c>
      <c r="R14" s="2" t="s">
        <v>14</v>
      </c>
      <c r="T14" s="2" t="s">
        <v>18</v>
      </c>
      <c r="U14" s="2" t="n">
        <f aca="false">COUNTIF(E14:T14,"P")</f>
        <v>8</v>
      </c>
      <c r="V14" s="2" t="n">
        <f aca="false">COUNTIF(E14:T14,"M")</f>
        <v>0</v>
      </c>
      <c r="W14" s="2" t="n">
        <f aca="false">COUNTIF(E14:T14,"T")</f>
        <v>0</v>
      </c>
      <c r="X14" s="2" t="n">
        <f aca="false">COUNTIF(E14:U14,"A")</f>
        <v>2</v>
      </c>
      <c r="Y14" s="2" t="n">
        <f aca="false">SUM(U14:X14)</f>
        <v>10</v>
      </c>
      <c r="Z14" s="4" t="n">
        <f aca="false">ROUND((U14+V14/2+W14/4)*10/Y14,0)</f>
        <v>8</v>
      </c>
      <c r="AA14" s="2" t="s">
        <v>14</v>
      </c>
      <c r="AB14" s="2" t="s">
        <v>22</v>
      </c>
      <c r="AC14" s="6" t="n">
        <v>0.527777777777778</v>
      </c>
      <c r="AD14" s="2" t="s">
        <v>14</v>
      </c>
      <c r="AE14" s="2" t="s">
        <v>14</v>
      </c>
      <c r="AG14" s="2" t="s">
        <v>14</v>
      </c>
      <c r="AH14" s="2" t="s">
        <v>18</v>
      </c>
      <c r="AI14" s="2" t="s">
        <v>14</v>
      </c>
      <c r="AJ14" s="2" t="s">
        <v>14</v>
      </c>
      <c r="AK14" s="2" t="s">
        <v>18</v>
      </c>
      <c r="AL14" s="2" t="s">
        <v>18</v>
      </c>
      <c r="AM14" s="2" t="s">
        <v>22</v>
      </c>
      <c r="XCY14" s="1"/>
      <c r="XCZ14" s="1"/>
      <c r="XDA14" s="1"/>
      <c r="XDB14" s="1"/>
      <c r="XDC14" s="1"/>
      <c r="XDD14" s="1"/>
      <c r="XDE14" s="1"/>
      <c r="XDF14" s="1"/>
      <c r="XDG14" s="1"/>
      <c r="XDH14" s="1"/>
      <c r="XDI14" s="1"/>
      <c r="XDJ14" s="1"/>
      <c r="XDK14" s="1"/>
      <c r="XDL14" s="1"/>
      <c r="XDM14" s="1"/>
      <c r="XDN14" s="1"/>
      <c r="XDO14" s="1"/>
      <c r="XDP14" s="1"/>
      <c r="XDQ14" s="1"/>
      <c r="XDR14" s="1"/>
      <c r="XDS14" s="1"/>
      <c r="XDT14" s="1"/>
      <c r="XDU14" s="1"/>
      <c r="XDV14" s="1"/>
      <c r="XDW14" s="1"/>
      <c r="XDX14" s="1"/>
      <c r="XDY14" s="1"/>
      <c r="XDZ14" s="1"/>
      <c r="XEA14" s="1"/>
      <c r="XEB14" s="1"/>
      <c r="XEC14" s="1"/>
      <c r="XED14" s="1"/>
      <c r="XEE14" s="1"/>
      <c r="XEF14" s="1"/>
      <c r="XEG14" s="1"/>
      <c r="XEH14" s="1"/>
      <c r="XEI14" s="1"/>
      <c r="XEJ14" s="1"/>
      <c r="XEK14" s="1"/>
      <c r="XEL14" s="1"/>
      <c r="XEM14" s="1"/>
      <c r="XEN14" s="1"/>
      <c r="XEO14" s="1"/>
      <c r="XEP14" s="1"/>
      <c r="XEQ14" s="1"/>
      <c r="XER14" s="1"/>
      <c r="XES14" s="1"/>
      <c r="XET14" s="1"/>
      <c r="XEU14" s="1"/>
      <c r="XEV14" s="1"/>
      <c r="XEW14" s="1"/>
      <c r="XEX14" s="1"/>
      <c r="XEY14" s="1"/>
      <c r="XEZ14" s="1"/>
      <c r="XFA14" s="1"/>
      <c r="XFB14" s="1"/>
      <c r="XFC14" s="1"/>
      <c r="XFD14" s="1"/>
    </row>
    <row r="15" s="2" customFormat="true" ht="15.65" hidden="false" customHeight="false" outlineLevel="0" collapsed="false">
      <c r="A15" s="1" t="n">
        <v>13</v>
      </c>
      <c r="B15" s="1" t="s">
        <v>51</v>
      </c>
      <c r="C15" s="1" t="s">
        <v>52</v>
      </c>
      <c r="D15" s="2" t="s">
        <v>53</v>
      </c>
      <c r="E15" s="1" t="s">
        <v>14</v>
      </c>
      <c r="F15" s="1" t="s">
        <v>14</v>
      </c>
      <c r="G15" s="2" t="s">
        <v>14</v>
      </c>
      <c r="H15" s="1"/>
      <c r="I15" s="1" t="s">
        <v>14</v>
      </c>
      <c r="J15" s="1"/>
      <c r="K15" s="1" t="s">
        <v>14</v>
      </c>
      <c r="L15" s="1"/>
      <c r="M15" s="1" t="s">
        <v>14</v>
      </c>
      <c r="N15" s="1"/>
      <c r="O15" s="2" t="s">
        <v>14</v>
      </c>
      <c r="P15" s="2" t="s">
        <v>14</v>
      </c>
      <c r="R15" s="2" t="s">
        <v>14</v>
      </c>
      <c r="T15" s="2" t="s">
        <v>14</v>
      </c>
      <c r="U15" s="2" t="n">
        <f aca="false">COUNTIF(E15:T15,"P")</f>
        <v>10</v>
      </c>
      <c r="V15" s="2" t="n">
        <f aca="false">COUNTIF(E15:T15,"M")</f>
        <v>0</v>
      </c>
      <c r="W15" s="2" t="n">
        <f aca="false">COUNTIF(E15:T15,"T")</f>
        <v>0</v>
      </c>
      <c r="X15" s="2" t="n">
        <f aca="false">COUNTIF(E15:U15,"A")</f>
        <v>0</v>
      </c>
      <c r="Y15" s="2" t="n">
        <f aca="false">SUM(U15:X15)</f>
        <v>10</v>
      </c>
      <c r="Z15" s="4" t="n">
        <f aca="false">ROUND((U15+V15/2+W15/4)*10/Y15,0)</f>
        <v>10</v>
      </c>
      <c r="AA15" s="2" t="s">
        <v>14</v>
      </c>
      <c r="AB15" s="2" t="s">
        <v>14</v>
      </c>
      <c r="AD15" s="2" t="s">
        <v>14</v>
      </c>
      <c r="AE15" s="2" t="s">
        <v>14</v>
      </c>
      <c r="AG15" s="2" t="s">
        <v>14</v>
      </c>
      <c r="AH15" s="2" t="s">
        <v>14</v>
      </c>
      <c r="AI15" s="2" t="s">
        <v>14</v>
      </c>
      <c r="AJ15" s="2" t="s">
        <v>14</v>
      </c>
      <c r="AK15" s="2" t="s">
        <v>14</v>
      </c>
      <c r="AL15" s="2" t="s">
        <v>14</v>
      </c>
      <c r="AM15" s="2" t="s">
        <v>14</v>
      </c>
      <c r="XCY15" s="1"/>
      <c r="XCZ15" s="1"/>
      <c r="XDA15" s="1"/>
      <c r="XDB15" s="1"/>
      <c r="XDC15" s="1"/>
      <c r="XDD15" s="1"/>
      <c r="XDE15" s="1"/>
      <c r="XDF15" s="1"/>
      <c r="XDG15" s="1"/>
      <c r="XDH15" s="1"/>
      <c r="XDI15" s="1"/>
      <c r="XDJ15" s="1"/>
      <c r="XDK15" s="1"/>
      <c r="XDL15" s="1"/>
      <c r="XDM15" s="1"/>
      <c r="XDN15" s="1"/>
      <c r="XDO15" s="1"/>
      <c r="XDP15" s="1"/>
      <c r="XDQ15" s="1"/>
      <c r="XDR15" s="1"/>
      <c r="XDS15" s="1"/>
      <c r="XDT15" s="1"/>
      <c r="XDU15" s="1"/>
      <c r="XDV15" s="1"/>
      <c r="XDW15" s="1"/>
      <c r="XDX15" s="1"/>
      <c r="XDY15" s="1"/>
      <c r="XDZ15" s="1"/>
      <c r="XEA15" s="1"/>
      <c r="XEB15" s="1"/>
      <c r="XEC15" s="1"/>
      <c r="XED15" s="1"/>
      <c r="XEE15" s="1"/>
      <c r="XEF15" s="1"/>
      <c r="XEG15" s="1"/>
      <c r="XEH15" s="1"/>
      <c r="XEI15" s="1"/>
      <c r="XEJ15" s="1"/>
      <c r="XEK15" s="1"/>
      <c r="XEL15" s="1"/>
      <c r="XEM15" s="1"/>
      <c r="XEN15" s="1"/>
      <c r="XEO15" s="1"/>
      <c r="XEP15" s="1"/>
      <c r="XEQ15" s="1"/>
      <c r="XER15" s="1"/>
      <c r="XES15" s="1"/>
      <c r="XET15" s="1"/>
      <c r="XEU15" s="1"/>
      <c r="XEV15" s="1"/>
      <c r="XEW15" s="1"/>
      <c r="XEX15" s="1"/>
      <c r="XEY15" s="1"/>
      <c r="XEZ15" s="1"/>
      <c r="XFA15" s="1"/>
      <c r="XFB15" s="1"/>
      <c r="XFC15" s="1"/>
      <c r="XFD15" s="1"/>
    </row>
    <row r="16" s="2" customFormat="true" ht="15.65" hidden="false" customHeight="false" outlineLevel="0" collapsed="false">
      <c r="A16" s="1" t="n">
        <v>14</v>
      </c>
      <c r="B16" s="1" t="s">
        <v>54</v>
      </c>
      <c r="C16" s="1" t="s">
        <v>55</v>
      </c>
      <c r="D16" s="2" t="s">
        <v>56</v>
      </c>
      <c r="E16" s="1" t="s">
        <v>14</v>
      </c>
      <c r="F16" s="1" t="s">
        <v>14</v>
      </c>
      <c r="G16" s="2" t="s">
        <v>18</v>
      </c>
      <c r="H16" s="1"/>
      <c r="I16" s="1" t="s">
        <v>14</v>
      </c>
      <c r="J16" s="1"/>
      <c r="K16" s="1" t="s">
        <v>14</v>
      </c>
      <c r="L16" s="1"/>
      <c r="M16" s="1" t="s">
        <v>14</v>
      </c>
      <c r="N16" s="1"/>
      <c r="O16" s="2" t="s">
        <v>14</v>
      </c>
      <c r="P16" s="2" t="s">
        <v>14</v>
      </c>
      <c r="R16" s="2" t="s">
        <v>14</v>
      </c>
      <c r="T16" s="2" t="s">
        <v>14</v>
      </c>
      <c r="U16" s="2" t="n">
        <f aca="false">COUNTIF(E16:T16,"P")</f>
        <v>9</v>
      </c>
      <c r="V16" s="2" t="n">
        <f aca="false">COUNTIF(E16:T16,"M")</f>
        <v>0</v>
      </c>
      <c r="W16" s="2" t="n">
        <f aca="false">COUNTIF(E16:T16,"T")</f>
        <v>0</v>
      </c>
      <c r="X16" s="2" t="n">
        <f aca="false">COUNTIF(E16:U16,"A")</f>
        <v>1</v>
      </c>
      <c r="Y16" s="2" t="n">
        <f aca="false">SUM(U16:X16)</f>
        <v>10</v>
      </c>
      <c r="Z16" s="4" t="n">
        <f aca="false">ROUND((U16+V16/2+W16/4)*10/Y16,0)</f>
        <v>9</v>
      </c>
      <c r="AA16" s="2" t="s">
        <v>14</v>
      </c>
      <c r="AB16" s="2" t="s">
        <v>14</v>
      </c>
      <c r="AD16" s="2" t="s">
        <v>14</v>
      </c>
      <c r="AE16" s="2" t="s">
        <v>14</v>
      </c>
      <c r="AG16" s="2" t="s">
        <v>14</v>
      </c>
      <c r="AH16" s="2" t="s">
        <v>14</v>
      </c>
      <c r="AI16" s="2" t="s">
        <v>14</v>
      </c>
      <c r="AJ16" s="2" t="s">
        <v>14</v>
      </c>
      <c r="AK16" s="2" t="s">
        <v>14</v>
      </c>
      <c r="AL16" s="2" t="s">
        <v>14</v>
      </c>
      <c r="AM16" s="2" t="s">
        <v>14</v>
      </c>
      <c r="XCY16" s="1"/>
      <c r="XCZ16" s="1"/>
      <c r="XDA16" s="1"/>
      <c r="XDB16" s="1"/>
      <c r="XDC16" s="1"/>
      <c r="XDD16" s="1"/>
      <c r="XDE16" s="1"/>
      <c r="XDF16" s="1"/>
      <c r="XDG16" s="1"/>
      <c r="XDH16" s="1"/>
      <c r="XDI16" s="1"/>
      <c r="XDJ16" s="1"/>
      <c r="XDK16" s="1"/>
      <c r="XDL16" s="1"/>
      <c r="XDM16" s="1"/>
      <c r="XDN16" s="1"/>
      <c r="XDO16" s="1"/>
      <c r="XDP16" s="1"/>
      <c r="XDQ16" s="1"/>
      <c r="XDR16" s="1"/>
      <c r="XDS16" s="1"/>
      <c r="XDT16" s="1"/>
      <c r="XDU16" s="1"/>
      <c r="XDV16" s="1"/>
      <c r="XDW16" s="1"/>
      <c r="XDX16" s="1"/>
      <c r="XDY16" s="1"/>
      <c r="XDZ16" s="1"/>
      <c r="XEA16" s="1"/>
      <c r="XEB16" s="1"/>
      <c r="XEC16" s="1"/>
      <c r="XED16" s="1"/>
      <c r="XEE16" s="1"/>
      <c r="XEF16" s="1"/>
      <c r="XEG16" s="1"/>
      <c r="XEH16" s="1"/>
      <c r="XEI16" s="1"/>
      <c r="XEJ16" s="1"/>
      <c r="XEK16" s="1"/>
      <c r="XEL16" s="1"/>
      <c r="XEM16" s="1"/>
      <c r="XEN16" s="1"/>
      <c r="XEO16" s="1"/>
      <c r="XEP16" s="1"/>
      <c r="XEQ16" s="1"/>
      <c r="XER16" s="1"/>
      <c r="XES16" s="1"/>
      <c r="XET16" s="1"/>
      <c r="XEU16" s="1"/>
      <c r="XEV16" s="1"/>
      <c r="XEW16" s="1"/>
      <c r="XEX16" s="1"/>
      <c r="XEY16" s="1"/>
      <c r="XEZ16" s="1"/>
      <c r="XFA16" s="1"/>
      <c r="XFB16" s="1"/>
      <c r="XFC16" s="1"/>
      <c r="XFD16" s="1"/>
    </row>
    <row r="17" s="2" customFormat="true" ht="15.65" hidden="false" customHeight="false" outlineLevel="0" collapsed="false">
      <c r="A17" s="1" t="n">
        <v>15</v>
      </c>
      <c r="B17" s="1" t="s">
        <v>57</v>
      </c>
      <c r="C17" s="1" t="s">
        <v>58</v>
      </c>
      <c r="D17" s="2" t="s">
        <v>59</v>
      </c>
      <c r="E17" s="1" t="s">
        <v>18</v>
      </c>
      <c r="F17" s="1" t="s">
        <v>14</v>
      </c>
      <c r="G17" s="2" t="s">
        <v>14</v>
      </c>
      <c r="H17" s="1"/>
      <c r="I17" s="1" t="s">
        <v>14</v>
      </c>
      <c r="J17" s="1"/>
      <c r="K17" s="1" t="s">
        <v>14</v>
      </c>
      <c r="L17" s="1"/>
      <c r="M17" s="1" t="s">
        <v>14</v>
      </c>
      <c r="N17" s="1"/>
      <c r="O17" s="2" t="s">
        <v>14</v>
      </c>
      <c r="P17" s="2" t="s">
        <v>14</v>
      </c>
      <c r="R17" s="2" t="s">
        <v>14</v>
      </c>
      <c r="T17" s="2" t="s">
        <v>14</v>
      </c>
      <c r="U17" s="2" t="n">
        <f aca="false">COUNTIF(E17:T17,"P")</f>
        <v>9</v>
      </c>
      <c r="V17" s="2" t="n">
        <f aca="false">COUNTIF(E17:T17,"M")</f>
        <v>0</v>
      </c>
      <c r="W17" s="2" t="n">
        <f aca="false">COUNTIF(E17:T17,"T")</f>
        <v>0</v>
      </c>
      <c r="X17" s="2" t="n">
        <f aca="false">COUNTIF(E17:U17,"A")</f>
        <v>1</v>
      </c>
      <c r="Y17" s="2" t="n">
        <f aca="false">SUM(U17:X17)</f>
        <v>10</v>
      </c>
      <c r="Z17" s="4" t="n">
        <f aca="false">ROUND((U17+V17/2+W17/4)*10/Y17,0)</f>
        <v>9</v>
      </c>
      <c r="AA17" s="2" t="s">
        <v>14</v>
      </c>
      <c r="AB17" s="2" t="s">
        <v>14</v>
      </c>
      <c r="AD17" s="2" t="s">
        <v>14</v>
      </c>
      <c r="AE17" s="2" t="s">
        <v>14</v>
      </c>
      <c r="AG17" s="2" t="s">
        <v>14</v>
      </c>
      <c r="AH17" s="2" t="s">
        <v>14</v>
      </c>
      <c r="AI17" s="2" t="s">
        <v>14</v>
      </c>
      <c r="AJ17" s="2" t="s">
        <v>14</v>
      </c>
      <c r="AK17" s="2" t="s">
        <v>14</v>
      </c>
      <c r="AL17" s="2" t="s">
        <v>14</v>
      </c>
      <c r="AM17" s="2" t="s">
        <v>14</v>
      </c>
      <c r="XCY17" s="1"/>
      <c r="XCZ17" s="1"/>
      <c r="XDA17" s="1"/>
      <c r="XDB17" s="1"/>
      <c r="XDC17" s="1"/>
      <c r="XDD17" s="1"/>
      <c r="XDE17" s="1"/>
      <c r="XDF17" s="1"/>
      <c r="XDG17" s="1"/>
      <c r="XDH17" s="1"/>
      <c r="XDI17" s="1"/>
      <c r="XDJ17" s="1"/>
      <c r="XDK17" s="1"/>
      <c r="XDL17" s="1"/>
      <c r="XDM17" s="1"/>
      <c r="XDN17" s="1"/>
      <c r="XDO17" s="1"/>
      <c r="XDP17" s="1"/>
      <c r="XDQ17" s="1"/>
      <c r="XDR17" s="1"/>
      <c r="XDS17" s="1"/>
      <c r="XDT17" s="1"/>
      <c r="XDU17" s="1"/>
      <c r="XDV17" s="1"/>
      <c r="XDW17" s="1"/>
      <c r="XDX17" s="1"/>
      <c r="XDY17" s="1"/>
      <c r="XDZ17" s="1"/>
      <c r="XEA17" s="1"/>
      <c r="XEB17" s="1"/>
      <c r="XEC17" s="1"/>
      <c r="XED17" s="1"/>
      <c r="XEE17" s="1"/>
      <c r="XEF17" s="1"/>
      <c r="XEG17" s="1"/>
      <c r="XEH17" s="1"/>
      <c r="XEI17" s="1"/>
      <c r="XEJ17" s="1"/>
      <c r="XEK17" s="1"/>
      <c r="XEL17" s="1"/>
      <c r="XEM17" s="1"/>
      <c r="XEN17" s="1"/>
      <c r="XEO17" s="1"/>
      <c r="XEP17" s="1"/>
      <c r="XEQ17" s="1"/>
      <c r="XER17" s="1"/>
      <c r="XES17" s="1"/>
      <c r="XET17" s="1"/>
      <c r="XEU17" s="1"/>
      <c r="XEV17" s="1"/>
      <c r="XEW17" s="1"/>
      <c r="XEX17" s="1"/>
      <c r="XEY17" s="1"/>
      <c r="XEZ17" s="1"/>
      <c r="XFA17" s="1"/>
      <c r="XFB17" s="1"/>
      <c r="XFC17" s="1"/>
      <c r="XFD17" s="1"/>
    </row>
    <row r="18" s="1" customFormat="true" ht="15.65" hidden="false" customHeight="false" outlineLevel="0" collapsed="false">
      <c r="A18" s="1" t="n">
        <v>16</v>
      </c>
      <c r="B18" s="1" t="s">
        <v>60</v>
      </c>
      <c r="C18" s="1" t="s">
        <v>61</v>
      </c>
      <c r="D18" s="2"/>
      <c r="E18" s="1" t="s">
        <v>14</v>
      </c>
      <c r="F18" s="1" t="s">
        <v>14</v>
      </c>
      <c r="G18" s="1" t="s">
        <v>14</v>
      </c>
      <c r="I18" s="1" t="s">
        <v>62</v>
      </c>
      <c r="J18" s="5" t="n">
        <v>0.520833333333333</v>
      </c>
      <c r="K18" s="1" t="s">
        <v>14</v>
      </c>
      <c r="M18" s="1" t="s">
        <v>14</v>
      </c>
      <c r="O18" s="1" t="s">
        <v>14</v>
      </c>
      <c r="P18" s="2" t="s">
        <v>14</v>
      </c>
      <c r="Q18" s="2"/>
      <c r="R18" s="1" t="s">
        <v>22</v>
      </c>
      <c r="S18" s="5" t="n">
        <v>0.534722222222222</v>
      </c>
      <c r="T18" s="1" t="s">
        <v>14</v>
      </c>
      <c r="U18" s="2" t="n">
        <f aca="false">COUNTIF(E18:T18,"P")</f>
        <v>8</v>
      </c>
      <c r="V18" s="2" t="n">
        <f aca="false">COUNTIF(E18:T18,"M")</f>
        <v>1</v>
      </c>
      <c r="W18" s="2" t="n">
        <f aca="false">COUNTIF(E18:T18,"T")</f>
        <v>1</v>
      </c>
      <c r="X18" s="2" t="n">
        <f aca="false">COUNTIF(E18:U18,"A")</f>
        <v>0</v>
      </c>
      <c r="Y18" s="2" t="n">
        <f aca="false">SUM(U18:X18)</f>
        <v>10</v>
      </c>
      <c r="Z18" s="4" t="n">
        <f aca="false">ROUND((U18+V18/2+W18/4)*10/Y18,0)</f>
        <v>9</v>
      </c>
      <c r="AA18" s="1" t="s">
        <v>14</v>
      </c>
      <c r="AB18" s="1" t="s">
        <v>18</v>
      </c>
      <c r="AD18" s="1" t="s">
        <v>14</v>
      </c>
      <c r="AE18" s="1" t="s">
        <v>22</v>
      </c>
      <c r="AF18" s="5" t="n">
        <v>0.548611111111111</v>
      </c>
      <c r="AG18" s="2" t="s">
        <v>14</v>
      </c>
      <c r="AH18" s="1" t="s">
        <v>14</v>
      </c>
      <c r="AI18" s="1" t="s">
        <v>14</v>
      </c>
      <c r="AJ18" s="1" t="s">
        <v>14</v>
      </c>
      <c r="AK18" s="1" t="s">
        <v>14</v>
      </c>
      <c r="AL18" s="2" t="s">
        <v>14</v>
      </c>
      <c r="AM18" s="1" t="s">
        <v>14</v>
      </c>
    </row>
    <row r="19" s="1" customFormat="true" ht="15.65" hidden="false" customHeight="false" outlineLevel="0" collapsed="false">
      <c r="A19" s="1" t="n">
        <v>17</v>
      </c>
      <c r="B19" s="1" t="s">
        <v>63</v>
      </c>
      <c r="C19" s="1" t="s">
        <v>64</v>
      </c>
      <c r="D19" s="2"/>
      <c r="E19" s="1" t="s">
        <v>14</v>
      </c>
      <c r="F19" s="1" t="s">
        <v>14</v>
      </c>
      <c r="G19" s="1" t="s">
        <v>14</v>
      </c>
      <c r="I19" s="1" t="s">
        <v>14</v>
      </c>
      <c r="K19" s="1" t="s">
        <v>14</v>
      </c>
      <c r="M19" s="1" t="s">
        <v>14</v>
      </c>
      <c r="O19" s="1" t="s">
        <v>14</v>
      </c>
      <c r="P19" s="2" t="s">
        <v>14</v>
      </c>
      <c r="Q19" s="2"/>
      <c r="R19" s="1" t="s">
        <v>14</v>
      </c>
      <c r="T19" s="1" t="s">
        <v>14</v>
      </c>
      <c r="U19" s="2" t="n">
        <f aca="false">COUNTIF(E19:T19,"P")</f>
        <v>10</v>
      </c>
      <c r="V19" s="2" t="n">
        <f aca="false">COUNTIF(E19:T19,"M")</f>
        <v>0</v>
      </c>
      <c r="W19" s="2" t="n">
        <f aca="false">COUNTIF(E19:T19,"T")</f>
        <v>0</v>
      </c>
      <c r="X19" s="2" t="n">
        <f aca="false">COUNTIF(E19:U19,"A")</f>
        <v>0</v>
      </c>
      <c r="Y19" s="2" t="n">
        <f aca="false">SUM(U19:X19)</f>
        <v>10</v>
      </c>
      <c r="Z19" s="4" t="n">
        <f aca="false">ROUND((U19+V19/2+W19/4)*10/Y19,0)</f>
        <v>10</v>
      </c>
      <c r="AA19" s="1" t="s">
        <v>14</v>
      </c>
      <c r="AB19" s="1" t="s">
        <v>14</v>
      </c>
      <c r="AD19" s="1" t="s">
        <v>14</v>
      </c>
      <c r="AE19" s="1" t="s">
        <v>14</v>
      </c>
      <c r="AG19" s="2" t="s">
        <v>14</v>
      </c>
      <c r="AH19" s="1" t="s">
        <v>14</v>
      </c>
      <c r="AI19" s="1" t="s">
        <v>14</v>
      </c>
      <c r="AJ19" s="1" t="s">
        <v>14</v>
      </c>
      <c r="AK19" s="1" t="s">
        <v>14</v>
      </c>
      <c r="AL19" s="2" t="s">
        <v>14</v>
      </c>
      <c r="AM19" s="1" t="s">
        <v>14</v>
      </c>
    </row>
    <row r="20" s="1" customFormat="true" ht="15.65" hidden="false" customHeight="false" outlineLevel="0" collapsed="false">
      <c r="A20" s="1" t="n">
        <v>18</v>
      </c>
      <c r="B20" s="1" t="s">
        <v>65</v>
      </c>
      <c r="C20" s="1" t="s">
        <v>66</v>
      </c>
      <c r="D20" s="2"/>
      <c r="E20" s="1" t="s">
        <v>14</v>
      </c>
      <c r="F20" s="1" t="s">
        <v>14</v>
      </c>
      <c r="G20" s="1" t="s">
        <v>14</v>
      </c>
      <c r="I20" s="1" t="s">
        <v>14</v>
      </c>
      <c r="K20" s="1" t="s">
        <v>14</v>
      </c>
      <c r="M20" s="1" t="s">
        <v>14</v>
      </c>
      <c r="O20" s="1" t="s">
        <v>14</v>
      </c>
      <c r="P20" s="2" t="s">
        <v>14</v>
      </c>
      <c r="Q20" s="2"/>
      <c r="R20" s="1" t="s">
        <v>62</v>
      </c>
      <c r="S20" s="5" t="n">
        <v>0.513888888888889</v>
      </c>
      <c r="T20" s="1" t="s">
        <v>14</v>
      </c>
      <c r="U20" s="2" t="n">
        <f aca="false">COUNTIF(E20:T20,"P")</f>
        <v>9</v>
      </c>
      <c r="V20" s="2" t="n">
        <f aca="false">COUNTIF(E20:T20,"M")</f>
        <v>1</v>
      </c>
      <c r="W20" s="2" t="n">
        <f aca="false">COUNTIF(E20:T20,"T")</f>
        <v>0</v>
      </c>
      <c r="X20" s="2" t="n">
        <f aca="false">COUNTIF(E20:U20,"A")</f>
        <v>0</v>
      </c>
      <c r="Y20" s="2" t="n">
        <f aca="false">SUM(U20:X20)</f>
        <v>10</v>
      </c>
      <c r="Z20" s="4" t="n">
        <f aca="false">ROUND((U20+V20/2+W20/4)*10/Y20,0)</f>
        <v>10</v>
      </c>
      <c r="AA20" s="1" t="s">
        <v>18</v>
      </c>
      <c r="AB20" s="1" t="s">
        <v>14</v>
      </c>
      <c r="AD20" s="1" t="s">
        <v>14</v>
      </c>
      <c r="AE20" s="1" t="s">
        <v>14</v>
      </c>
      <c r="AG20" s="2" t="s">
        <v>14</v>
      </c>
      <c r="AH20" s="1" t="s">
        <v>14</v>
      </c>
      <c r="AI20" s="1" t="s">
        <v>14</v>
      </c>
      <c r="AJ20" s="1" t="s">
        <v>14</v>
      </c>
      <c r="AK20" s="1" t="s">
        <v>14</v>
      </c>
      <c r="AL20" s="2" t="s">
        <v>14</v>
      </c>
      <c r="AM20" s="1" t="s">
        <v>14</v>
      </c>
    </row>
    <row r="21" s="1" customFormat="true" ht="15.65" hidden="false" customHeight="false" outlineLevel="0" collapsed="false">
      <c r="A21" s="1" t="n">
        <v>19</v>
      </c>
      <c r="B21" s="1" t="s">
        <v>67</v>
      </c>
      <c r="C21" s="1" t="s">
        <v>68</v>
      </c>
      <c r="D21" s="2"/>
      <c r="E21" s="1" t="s">
        <v>14</v>
      </c>
      <c r="F21" s="1" t="s">
        <v>14</v>
      </c>
      <c r="G21" s="1" t="s">
        <v>14</v>
      </c>
      <c r="I21" s="1" t="s">
        <v>14</v>
      </c>
      <c r="K21" s="1" t="s">
        <v>14</v>
      </c>
      <c r="M21" s="1" t="s">
        <v>18</v>
      </c>
      <c r="O21" s="1" t="s">
        <v>14</v>
      </c>
      <c r="P21" s="2" t="s">
        <v>14</v>
      </c>
      <c r="Q21" s="2"/>
      <c r="R21" s="1" t="s">
        <v>14</v>
      </c>
      <c r="T21" s="1" t="s">
        <v>14</v>
      </c>
      <c r="U21" s="2" t="n">
        <f aca="false">COUNTIF(E21:T21,"P")</f>
        <v>9</v>
      </c>
      <c r="V21" s="2" t="n">
        <f aca="false">COUNTIF(E21:T21,"M")</f>
        <v>0</v>
      </c>
      <c r="W21" s="2" t="n">
        <f aca="false">COUNTIF(E21:T21,"T")</f>
        <v>0</v>
      </c>
      <c r="X21" s="2" t="n">
        <f aca="false">COUNTIF(E21:U21,"A")</f>
        <v>1</v>
      </c>
      <c r="Y21" s="2" t="n">
        <f aca="false">SUM(U21:X21)</f>
        <v>10</v>
      </c>
      <c r="Z21" s="4" t="n">
        <f aca="false">ROUND((U21+V21/2+W21/4)*10/Y21,0)</f>
        <v>9</v>
      </c>
      <c r="AA21" s="1" t="s">
        <v>14</v>
      </c>
      <c r="AB21" s="1" t="s">
        <v>14</v>
      </c>
      <c r="AD21" s="1" t="s">
        <v>14</v>
      </c>
      <c r="AE21" s="1" t="s">
        <v>14</v>
      </c>
      <c r="AG21" s="2" t="s">
        <v>14</v>
      </c>
      <c r="AH21" s="1" t="s">
        <v>14</v>
      </c>
      <c r="AI21" s="1" t="s">
        <v>18</v>
      </c>
      <c r="AJ21" s="1" t="s">
        <v>18</v>
      </c>
      <c r="AK21" s="1" t="s">
        <v>14</v>
      </c>
      <c r="AL21" s="2" t="s">
        <v>14</v>
      </c>
      <c r="AM21" s="1" t="s">
        <v>18</v>
      </c>
    </row>
    <row r="22" s="1" customFormat="true" ht="15.65" hidden="false" customHeight="false" outlineLevel="0" collapsed="false">
      <c r="A22" s="1" t="n">
        <v>20</v>
      </c>
      <c r="B22" s="1" t="s">
        <v>69</v>
      </c>
      <c r="C22" s="1" t="s">
        <v>70</v>
      </c>
      <c r="D22" s="2"/>
      <c r="E22" s="1" t="s">
        <v>14</v>
      </c>
      <c r="F22" s="1" t="s">
        <v>14</v>
      </c>
      <c r="G22" s="1" t="s">
        <v>14</v>
      </c>
      <c r="I22" s="1" t="s">
        <v>14</v>
      </c>
      <c r="K22" s="1" t="s">
        <v>14</v>
      </c>
      <c r="M22" s="1" t="s">
        <v>14</v>
      </c>
      <c r="O22" s="1" t="s">
        <v>14</v>
      </c>
      <c r="P22" s="2" t="s">
        <v>14</v>
      </c>
      <c r="Q22" s="2"/>
      <c r="R22" s="1" t="s">
        <v>14</v>
      </c>
      <c r="T22" s="1" t="s">
        <v>14</v>
      </c>
      <c r="U22" s="2" t="n">
        <f aca="false">COUNTIF(E22:T22,"P")</f>
        <v>10</v>
      </c>
      <c r="V22" s="2" t="n">
        <f aca="false">COUNTIF(E22:T22,"M")</f>
        <v>0</v>
      </c>
      <c r="W22" s="2" t="n">
        <f aca="false">COUNTIF(E22:T22,"T")</f>
        <v>0</v>
      </c>
      <c r="X22" s="2" t="n">
        <f aca="false">COUNTIF(E22:U22,"A")</f>
        <v>0</v>
      </c>
      <c r="Y22" s="2" t="n">
        <f aca="false">SUM(U22:X22)</f>
        <v>10</v>
      </c>
      <c r="Z22" s="4" t="n">
        <f aca="false">ROUND((U22+V22/2+W22/4)*10/Y22,0)</f>
        <v>10</v>
      </c>
      <c r="AA22" s="1" t="s">
        <v>14</v>
      </c>
      <c r="AB22" s="1" t="s">
        <v>14</v>
      </c>
      <c r="AD22" s="1" t="s">
        <v>14</v>
      </c>
      <c r="AE22" s="1" t="s">
        <v>14</v>
      </c>
      <c r="AG22" s="2" t="s">
        <v>14</v>
      </c>
      <c r="AH22" s="1" t="s">
        <v>14</v>
      </c>
      <c r="AI22" s="1" t="s">
        <v>14</v>
      </c>
      <c r="AJ22" s="1" t="s">
        <v>14</v>
      </c>
      <c r="AK22" s="1" t="s">
        <v>18</v>
      </c>
      <c r="AL22" s="2" t="s">
        <v>14</v>
      </c>
      <c r="AM22" s="1" t="s">
        <v>14</v>
      </c>
    </row>
    <row r="23" s="1" customFormat="true" ht="15" hidden="false" customHeight="false" outlineLevel="0" collapsed="false">
      <c r="A23" s="1" t="n">
        <v>21</v>
      </c>
      <c r="C23" s="1" t="s">
        <v>71</v>
      </c>
      <c r="D23" s="2"/>
      <c r="P23" s="2"/>
      <c r="Q23" s="2"/>
      <c r="U23" s="2"/>
      <c r="V23" s="2"/>
      <c r="W23" s="2"/>
      <c r="X23" s="2"/>
      <c r="Y23" s="2"/>
      <c r="Z23" s="4"/>
      <c r="AH23" s="1" t="s">
        <v>18</v>
      </c>
      <c r="AI23" s="1" t="s">
        <v>18</v>
      </c>
      <c r="AJ23" s="1" t="s">
        <v>18</v>
      </c>
      <c r="AK23" s="1" t="s">
        <v>18</v>
      </c>
      <c r="AL23" s="2" t="s">
        <v>14</v>
      </c>
      <c r="AM23" s="1" t="s">
        <v>14</v>
      </c>
    </row>
    <row r="24" customFormat="false" ht="15" hidden="false" customHeight="false" outlineLevel="0" collapsed="false">
      <c r="C24" s="1" t="s">
        <v>72</v>
      </c>
      <c r="D24" s="1" t="s">
        <v>5</v>
      </c>
      <c r="E24" s="1" t="n">
        <f aca="false">COUNTIF(E3:E22,"P")</f>
        <v>19</v>
      </c>
      <c r="F24" s="1" t="n">
        <f aca="false">COUNTIF(F3:F22,"P")</f>
        <v>20</v>
      </c>
      <c r="G24" s="1" t="n">
        <f aca="false">COUNTIF(G3:G22,"P")</f>
        <v>17</v>
      </c>
      <c r="I24" s="1" t="n">
        <f aca="false">COUNTIF(I3:I22,"P")</f>
        <v>16</v>
      </c>
      <c r="K24" s="1" t="n">
        <f aca="false">COUNTIF(K3:K22,"P")</f>
        <v>17</v>
      </c>
      <c r="M24" s="1" t="n">
        <f aca="false">COUNTIF(M3:M22,"P")</f>
        <v>18</v>
      </c>
      <c r="O24" s="1" t="n">
        <f aca="false">COUNTIF(O3:O22,"P")</f>
        <v>17</v>
      </c>
      <c r="P24" s="1" t="n">
        <f aca="false">COUNTIF(P3:P22,"P")</f>
        <v>17</v>
      </c>
      <c r="R24" s="1" t="n">
        <f aca="false">COUNTIF(R3:R22,"P")</f>
        <v>17</v>
      </c>
      <c r="T24" s="1" t="n">
        <f aca="false">COUNTIF(T3:T22,"P")</f>
        <v>17</v>
      </c>
      <c r="AA24" s="1" t="n">
        <f aca="false">COUNTIF(AA3:AA22,"P")</f>
        <v>18</v>
      </c>
      <c r="AB24" s="1" t="n">
        <f aca="false">COUNTIF(AB3:AB22,"P")</f>
        <v>16</v>
      </c>
      <c r="AD24" s="1" t="n">
        <f aca="false">COUNTIF(AD3:AD22,"P")</f>
        <v>20</v>
      </c>
      <c r="AE24" s="1" t="n">
        <f aca="false">COUNTIF(AE3:AE22,"P")</f>
        <v>18</v>
      </c>
      <c r="AF24" s="1"/>
      <c r="AG24" s="1" t="n">
        <f aca="false">COUNTIF(AG3:AG22,"P")</f>
        <v>19</v>
      </c>
      <c r="AH24" s="1" t="n">
        <f aca="false">COUNTIF(AH3:AH22,"P")</f>
        <v>16</v>
      </c>
      <c r="AI24" s="1" t="n">
        <f aca="false">COUNTIF(AI3:AI22,"P")</f>
        <v>19</v>
      </c>
      <c r="AJ24" s="1" t="n">
        <f aca="false">COUNTIF(AJ3:AJ22,"P")</f>
        <v>18</v>
      </c>
      <c r="AK24" s="1" t="n">
        <f aca="false">COUNTIF(AK3:AK22,"P")</f>
        <v>16</v>
      </c>
      <c r="AL24" s="1" t="n">
        <f aca="false">COUNTIF(AL3:AL22,"P")</f>
        <v>19</v>
      </c>
      <c r="AM24" s="1" t="n">
        <f aca="false">COUNTIF(AM3:AM22,"P")</f>
        <v>15</v>
      </c>
      <c r="AN24" s="1"/>
    </row>
    <row r="25" customFormat="false" ht="15" hidden="false" customHeight="false" outlineLevel="0" collapsed="false">
      <c r="C25" s="1" t="s">
        <v>73</v>
      </c>
      <c r="D25" s="1" t="s">
        <v>73</v>
      </c>
      <c r="E25" s="1" t="n">
        <f aca="false">COUNTIF(E3:E17,"M")</f>
        <v>0</v>
      </c>
      <c r="F25" s="1" t="n">
        <f aca="false">COUNTIF(F3:F17,"M")</f>
        <v>0</v>
      </c>
      <c r="G25" s="1" t="n">
        <f aca="false">COUNTIF(G3:G17,"M")</f>
        <v>0</v>
      </c>
      <c r="I25" s="1" t="n">
        <f aca="false">COUNTIF(I3:I17,"M")</f>
        <v>0</v>
      </c>
      <c r="K25" s="1" t="n">
        <f aca="false">COUNTIF(K3:K17,"M")</f>
        <v>0</v>
      </c>
      <c r="M25" s="1" t="n">
        <f aca="false">COUNTIF(M3:M17,"M")</f>
        <v>0</v>
      </c>
      <c r="O25" s="1" t="n">
        <f aca="false">COUNTIF(O3:O17,"M")</f>
        <v>0</v>
      </c>
      <c r="P25" s="1" t="n">
        <f aca="false">COUNTIF(P3:P17,"M")</f>
        <v>0</v>
      </c>
      <c r="R25" s="1" t="n">
        <f aca="false">COUNTIF(R3:R22,"M")</f>
        <v>1</v>
      </c>
      <c r="T25" s="1" t="n">
        <f aca="false">COUNTIF(T3:T22,"M")</f>
        <v>0</v>
      </c>
      <c r="AA25" s="1" t="n">
        <f aca="false">COUNTIF(AA3:AA22,"M")</f>
        <v>0</v>
      </c>
      <c r="AB25" s="1" t="n">
        <f aca="false">COUNTIF(AB3:AB22,"M")</f>
        <v>0</v>
      </c>
      <c r="AD25" s="1" t="n">
        <f aca="false">COUNTIF(AD3:AD22,"M")</f>
        <v>0</v>
      </c>
      <c r="AE25" s="1" t="n">
        <f aca="false">COUNTIF(AE3:AE22,"M")</f>
        <v>0</v>
      </c>
      <c r="AF25" s="1"/>
      <c r="AG25" s="1" t="n">
        <f aca="false">COUNTIF(AG3:AG22,"M")</f>
        <v>0</v>
      </c>
      <c r="AH25" s="1" t="n">
        <f aca="false">COUNTIF(AH3:AH22,"M")</f>
        <v>0</v>
      </c>
      <c r="AI25" s="1" t="n">
        <f aca="false">COUNTIF(AI3:AI22,"M")</f>
        <v>0</v>
      </c>
      <c r="AJ25" s="1" t="n">
        <f aca="false">COUNTIF(AJ3:AJ22,"M")</f>
        <v>0</v>
      </c>
      <c r="AK25" s="1" t="n">
        <f aca="false">COUNTIF(AK3:AK22,"M")</f>
        <v>0</v>
      </c>
      <c r="AL25" s="1" t="n">
        <f aca="false">COUNTIF(AL3:AL22,"M")</f>
        <v>0</v>
      </c>
      <c r="AM25" s="1" t="n">
        <f aca="false">COUNTIF(AM3:AM22,"M")</f>
        <v>0</v>
      </c>
      <c r="AN25" s="1"/>
    </row>
    <row r="26" customFormat="false" ht="15" hidden="false" customHeight="false" outlineLevel="0" collapsed="false">
      <c r="C26" s="1" t="s">
        <v>7</v>
      </c>
      <c r="D26" s="1" t="s">
        <v>74</v>
      </c>
      <c r="E26" s="1" t="n">
        <f aca="false">COUNTIF(E3:E17,"T")</f>
        <v>0</v>
      </c>
      <c r="F26" s="1" t="n">
        <f aca="false">COUNTIF(F3:F17,"T")</f>
        <v>0</v>
      </c>
      <c r="G26" s="1" t="n">
        <f aca="false">COUNTIF(G3:G17,"T")</f>
        <v>1</v>
      </c>
      <c r="I26" s="1" t="n">
        <f aca="false">COUNTIF(I3:I17,"T")</f>
        <v>0</v>
      </c>
      <c r="K26" s="1" t="n">
        <f aca="false">COUNTIF(K3:K17,"T")</f>
        <v>1</v>
      </c>
      <c r="M26" s="1" t="n">
        <f aca="false">COUNTIF(M3:M17,"T")</f>
        <v>1</v>
      </c>
      <c r="O26" s="1" t="n">
        <f aca="false">COUNTIF(O3:O17,"T")</f>
        <v>0</v>
      </c>
      <c r="P26" s="1" t="n">
        <f aca="false">COUNTIF(P3:P17,"T")</f>
        <v>1</v>
      </c>
      <c r="R26" s="1" t="n">
        <f aca="false">COUNTIF(R3:R22,"T")</f>
        <v>2</v>
      </c>
      <c r="T26" s="1" t="n">
        <f aca="false">COUNTIF(T3:T22,"T")</f>
        <v>0</v>
      </c>
      <c r="AA26" s="1" t="n">
        <f aca="false">COUNTIF(AA3:AA22,"T")</f>
        <v>0</v>
      </c>
      <c r="AB26" s="1" t="n">
        <f aca="false">COUNTIF(AB3:AB22,"T")</f>
        <v>3</v>
      </c>
      <c r="AD26" s="1" t="n">
        <f aca="false">COUNTIF(AD3:AD22,"T")</f>
        <v>0</v>
      </c>
      <c r="AE26" s="1" t="n">
        <f aca="false">COUNTIF(AE3:AE22,"T")</f>
        <v>1</v>
      </c>
      <c r="AF26" s="1"/>
      <c r="AG26" s="1" t="n">
        <f aca="false">COUNTIF(AG3:AG22,"T")</f>
        <v>0</v>
      </c>
      <c r="AH26" s="1" t="n">
        <f aca="false">COUNTIF(AH3:AH22,"T")</f>
        <v>0</v>
      </c>
      <c r="AI26" s="1" t="n">
        <f aca="false">COUNTIF(AI3:AI22,"T")</f>
        <v>0</v>
      </c>
      <c r="AJ26" s="1" t="n">
        <f aca="false">COUNTIF(AJ3:AJ22,"T")</f>
        <v>0</v>
      </c>
      <c r="AK26" s="1" t="n">
        <f aca="false">COUNTIF(AK3:AK22,"T")</f>
        <v>0</v>
      </c>
      <c r="AL26" s="1" t="n">
        <f aca="false">COUNTIF(AL3:AL22,"T")</f>
        <v>0</v>
      </c>
      <c r="AM26" s="1" t="n">
        <f aca="false">COUNTIF(AM3:AM22,"T")</f>
        <v>3</v>
      </c>
      <c r="AN26" s="1"/>
    </row>
    <row r="27" customFormat="false" ht="15" hidden="false" customHeight="false" outlineLevel="0" collapsed="false">
      <c r="C27" s="1" t="s">
        <v>9</v>
      </c>
      <c r="E27" s="1" t="n">
        <f aca="false">SUM(E24:E26)</f>
        <v>19</v>
      </c>
      <c r="F27" s="1" t="n">
        <f aca="false">SUM(F24:F26)</f>
        <v>20</v>
      </c>
      <c r="G27" s="1" t="n">
        <f aca="false">SUM(G24:G26)</f>
        <v>18</v>
      </c>
      <c r="I27" s="1" t="n">
        <f aca="false">SUM(I24:I26)</f>
        <v>16</v>
      </c>
      <c r="K27" s="1" t="n">
        <f aca="false">SUM(K24:K26)</f>
        <v>18</v>
      </c>
      <c r="M27" s="1" t="n">
        <f aca="false">SUM(M24:M26)</f>
        <v>19</v>
      </c>
      <c r="O27" s="1" t="n">
        <f aca="false">SUM(O24:O26)</f>
        <v>17</v>
      </c>
      <c r="P27" s="1" t="n">
        <f aca="false">SUM(P24:P26)</f>
        <v>18</v>
      </c>
      <c r="R27" s="1" t="n">
        <f aca="false">SUM(R24:R26)</f>
        <v>20</v>
      </c>
      <c r="T27" s="1" t="n">
        <f aca="false">SUM(T24:T26)</f>
        <v>17</v>
      </c>
      <c r="AA27" s="1" t="n">
        <f aca="false">SUM(AA24:AA26)</f>
        <v>18</v>
      </c>
      <c r="AB27" s="1" t="n">
        <f aca="false">SUM(AB24:AB26)</f>
        <v>19</v>
      </c>
      <c r="AD27" s="1" t="n">
        <f aca="false">SUM(AD24:AD26)</f>
        <v>20</v>
      </c>
      <c r="AE27" s="1" t="n">
        <f aca="false">SUM(AE24:AE26)</f>
        <v>19</v>
      </c>
      <c r="AF27" s="1"/>
      <c r="AG27" s="1" t="n">
        <f aca="false">SUM(AG24:AG26)</f>
        <v>19</v>
      </c>
      <c r="AH27" s="1" t="n">
        <f aca="false">SUM(AH24:AH26)</f>
        <v>16</v>
      </c>
      <c r="AI27" s="1" t="n">
        <f aca="false">SUM(AI24:AI26)</f>
        <v>19</v>
      </c>
      <c r="AJ27" s="1" t="n">
        <f aca="false">SUM(AJ24:AJ26)</f>
        <v>18</v>
      </c>
      <c r="AK27" s="1" t="n">
        <f aca="false">SUM(AK24:AK26)</f>
        <v>16</v>
      </c>
      <c r="AL27" s="1" t="n">
        <f aca="false">SUM(AL24:AL26)</f>
        <v>19</v>
      </c>
      <c r="AM27" s="1" t="n">
        <f aca="false">SUM(AM24:AM26)</f>
        <v>18</v>
      </c>
      <c r="AN27" s="1"/>
    </row>
  </sheetData>
  <conditionalFormatting sqref="Z3:Z23">
    <cfRule type="cellIs" priority="2" operator="greaterThan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4</formula>
      <formula>6</formula>
    </cfRule>
    <cfRule type="cellIs" priority="4" operator="lessThan" aboveAverage="0" equalAverage="0" bottom="0" percent="0" rank="0" text="" dxfId="2">
      <formula>4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Q3" activeCellId="0" sqref="Q3"/>
    </sheetView>
  </sheetViews>
  <sheetFormatPr defaultColWidth="9.62109375" defaultRowHeight="15" zeroHeight="false" outlineLevelRow="0" outlineLevelCol="0"/>
  <cols>
    <col collapsed="false" customWidth="true" hidden="false" outlineLevel="0" max="1" min="1" style="1" width="4.2"/>
    <col collapsed="false" customWidth="true" hidden="false" outlineLevel="0" max="2" min="2" style="1" width="18.21"/>
    <col collapsed="false" customWidth="true" hidden="true" outlineLevel="0" max="3" min="3" style="1" width="18.92"/>
    <col collapsed="false" customWidth="false" hidden="true" outlineLevel="0" max="13" min="4" style="1" width="9.62"/>
    <col collapsed="false" customWidth="true" hidden="false" outlineLevel="0" max="16" min="16" style="1" width="12.88"/>
    <col collapsed="false" customWidth="true" hidden="false" outlineLevel="0" max="16384" min="16341" style="1" width="10.58"/>
  </cols>
  <sheetData>
    <row r="1" customFormat="false" ht="15" hidden="false" customHeight="false" outlineLevel="0" collapsed="false">
      <c r="B1" s="2"/>
      <c r="C1" s="2"/>
      <c r="D1" s="2"/>
    </row>
    <row r="2" customFormat="false" ht="15" hidden="false" customHeight="false" outlineLevel="0" collapsed="false">
      <c r="A2" s="1" t="s">
        <v>0</v>
      </c>
      <c r="B2" s="2" t="s">
        <v>2</v>
      </c>
      <c r="C2" s="1" t="s">
        <v>75</v>
      </c>
      <c r="D2" s="1" t="s">
        <v>76</v>
      </c>
      <c r="E2" s="2" t="s">
        <v>77</v>
      </c>
      <c r="F2" s="2" t="s">
        <v>78</v>
      </c>
      <c r="G2" s="2" t="s">
        <v>76</v>
      </c>
      <c r="H2" s="2" t="s">
        <v>79</v>
      </c>
      <c r="I2" s="2" t="s">
        <v>76</v>
      </c>
      <c r="J2" s="2" t="s">
        <v>80</v>
      </c>
      <c r="K2" s="2" t="s">
        <v>76</v>
      </c>
      <c r="L2" s="2" t="s">
        <v>81</v>
      </c>
      <c r="M2" s="2" t="s">
        <v>82</v>
      </c>
      <c r="N2" s="2" t="s">
        <v>83</v>
      </c>
      <c r="O2" s="2" t="s">
        <v>84</v>
      </c>
      <c r="Q2" s="2" t="s">
        <v>85</v>
      </c>
    </row>
    <row r="3" s="1" customFormat="true" ht="15.65" hidden="false" customHeight="false" outlineLevel="0" collapsed="false">
      <c r="A3" s="1" t="n">
        <v>1</v>
      </c>
      <c r="B3" s="1" t="s">
        <v>12</v>
      </c>
      <c r="C3" s="1" t="n">
        <v>10</v>
      </c>
      <c r="E3" s="1" t="n">
        <v>9</v>
      </c>
      <c r="F3" s="1" t="n">
        <v>8</v>
      </c>
      <c r="H3" s="1" t="n">
        <v>10</v>
      </c>
      <c r="J3" s="1" t="n">
        <v>9</v>
      </c>
      <c r="L3" s="1" t="n">
        <v>10</v>
      </c>
      <c r="M3" s="1" t="n">
        <v>6</v>
      </c>
      <c r="N3" s="1" t="n">
        <f aca="false">ROUND(AVERAGE(C3,E3,F3,H3,J3,L3,M3),0)</f>
        <v>9</v>
      </c>
      <c r="O3" s="1" t="str">
        <f aca="false">IF(N3&gt;6,"TEA",IF(N3&gt;3,"TEP","TED"))</f>
        <v>TEA</v>
      </c>
      <c r="P3" s="1" t="s">
        <v>86</v>
      </c>
      <c r="Q3" s="1" t="n">
        <v>2</v>
      </c>
    </row>
    <row r="4" s="1" customFormat="true" ht="15.65" hidden="false" customHeight="false" outlineLevel="0" collapsed="false">
      <c r="A4" s="1" t="n">
        <v>2</v>
      </c>
      <c r="B4" s="1" t="s">
        <v>16</v>
      </c>
      <c r="C4" s="1" t="n">
        <v>7</v>
      </c>
      <c r="D4" s="3" t="n">
        <v>46170</v>
      </c>
      <c r="E4" s="1" t="n">
        <v>1</v>
      </c>
      <c r="F4" s="1" t="n">
        <v>1</v>
      </c>
      <c r="H4" s="1" t="n">
        <v>10</v>
      </c>
      <c r="J4" s="1" t="n">
        <v>7</v>
      </c>
      <c r="L4" s="1" t="n">
        <v>8</v>
      </c>
      <c r="M4" s="1" t="n">
        <v>5</v>
      </c>
      <c r="N4" s="1" t="n">
        <f aca="false">ROUND(AVERAGE(C4,E4,F4,H4,J4,L4,M4),0)</f>
        <v>6</v>
      </c>
      <c r="O4" s="1" t="str">
        <f aca="false">IF(N4&gt;6,"TEA",IF(N4&gt;3,"TEP","TED"))</f>
        <v>TEP</v>
      </c>
      <c r="Q4" s="1" t="n">
        <v>5</v>
      </c>
    </row>
    <row r="5" s="1" customFormat="true" ht="15.65" hidden="false" customHeight="false" outlineLevel="0" collapsed="false">
      <c r="A5" s="1" t="n">
        <v>3</v>
      </c>
      <c r="B5" s="1" t="s">
        <v>20</v>
      </c>
      <c r="C5" s="1" t="n">
        <v>7</v>
      </c>
      <c r="D5" s="3" t="n">
        <v>46170</v>
      </c>
      <c r="E5" s="1" t="n">
        <v>9</v>
      </c>
      <c r="F5" s="1" t="n">
        <v>3</v>
      </c>
      <c r="G5" s="3" t="n">
        <v>46170</v>
      </c>
      <c r="H5" s="1" t="n">
        <v>9</v>
      </c>
      <c r="J5" s="1" t="n">
        <v>7</v>
      </c>
      <c r="L5" s="1" t="n">
        <v>10</v>
      </c>
      <c r="M5" s="1" t="n">
        <v>4</v>
      </c>
      <c r="N5" s="1" t="n">
        <f aca="false">ROUND(AVERAGE(C5,E5,F5,H5,J5,L5,M5),0)</f>
        <v>7</v>
      </c>
      <c r="O5" s="1" t="str">
        <f aca="false">IF(N5&gt;6,"TEA",IF(N5&gt;3,"TEP","TED"))</f>
        <v>TEA</v>
      </c>
      <c r="P5" s="1" t="s">
        <v>86</v>
      </c>
      <c r="Q5" s="1" t="n">
        <v>4</v>
      </c>
    </row>
    <row r="6" s="1" customFormat="true" ht="15.65" hidden="false" customHeight="false" outlineLevel="0" collapsed="false">
      <c r="A6" s="1" t="n">
        <v>4</v>
      </c>
      <c r="B6" s="1" t="s">
        <v>87</v>
      </c>
      <c r="C6" s="1" t="n">
        <v>10</v>
      </c>
      <c r="E6" s="1" t="n">
        <v>1</v>
      </c>
      <c r="F6" s="1" t="n">
        <v>8</v>
      </c>
      <c r="G6" s="3" t="n">
        <v>46170</v>
      </c>
      <c r="H6" s="1" t="n">
        <v>8</v>
      </c>
      <c r="I6" s="3" t="n">
        <v>46170</v>
      </c>
      <c r="J6" s="1" t="n">
        <v>8</v>
      </c>
      <c r="L6" s="1" t="n">
        <v>10</v>
      </c>
      <c r="M6" s="1" t="n">
        <v>7</v>
      </c>
      <c r="N6" s="1" t="n">
        <f aca="false">ROUND(AVERAGE(C6,E6,F6,H6,J6,L6,M6),0)</f>
        <v>7</v>
      </c>
      <c r="O6" s="1" t="str">
        <f aca="false">IF(N6&gt;6,"TEA",IF(N6&gt;3,"TEP","TED"))</f>
        <v>TEA</v>
      </c>
      <c r="P6" s="1" t="n">
        <v>7</v>
      </c>
      <c r="Q6" s="1" t="n">
        <v>5.5</v>
      </c>
    </row>
    <row r="7" s="1" customFormat="true" ht="15.65" hidden="false" customHeight="false" outlineLevel="0" collapsed="false">
      <c r="A7" s="1" t="n">
        <v>5</v>
      </c>
      <c r="B7" s="1" t="s">
        <v>27</v>
      </c>
      <c r="C7" s="1" t="n">
        <v>3</v>
      </c>
      <c r="E7" s="1" t="n">
        <v>5</v>
      </c>
      <c r="F7" s="1" t="n">
        <v>7</v>
      </c>
      <c r="G7" s="3" t="n">
        <v>46170</v>
      </c>
      <c r="H7" s="1" t="n">
        <v>10</v>
      </c>
      <c r="J7" s="1" t="n">
        <v>8</v>
      </c>
      <c r="L7" s="1" t="n">
        <v>9</v>
      </c>
      <c r="M7" s="1" t="n">
        <v>7</v>
      </c>
      <c r="N7" s="1" t="n">
        <f aca="false">ROUND(AVERAGE(C7,E7,F7,H7,J7,L7,M7),0)</f>
        <v>7</v>
      </c>
      <c r="O7" s="1" t="str">
        <f aca="false">IF(N7&gt;6,"TEA",IF(N7&gt;3,"TEP","TED"))</f>
        <v>TEA</v>
      </c>
      <c r="Q7" s="7" t="n">
        <v>5</v>
      </c>
    </row>
    <row r="8" s="1" customFormat="true" ht="15.65" hidden="false" customHeight="false" outlineLevel="0" collapsed="false">
      <c r="A8" s="1" t="n">
        <v>6</v>
      </c>
      <c r="B8" s="1" t="s">
        <v>30</v>
      </c>
      <c r="C8" s="1" t="n">
        <v>1</v>
      </c>
      <c r="E8" s="1" t="n">
        <v>5</v>
      </c>
      <c r="F8" s="1" t="n">
        <v>9</v>
      </c>
      <c r="G8" s="3" t="n">
        <v>46170</v>
      </c>
      <c r="H8" s="1" t="n">
        <v>8</v>
      </c>
      <c r="I8" s="3" t="n">
        <v>46170</v>
      </c>
      <c r="J8" s="1" t="n">
        <v>10</v>
      </c>
      <c r="L8" s="1" t="n">
        <v>7</v>
      </c>
      <c r="M8" s="1" t="n">
        <v>5</v>
      </c>
      <c r="N8" s="1" t="n">
        <f aca="false">ROUND(AVERAGE(C8,E8,F8,H8,J8,L8,M8),0)</f>
        <v>6</v>
      </c>
      <c r="O8" s="1" t="str">
        <f aca="false">IF(N8&gt;6,"TEA",IF(N8&gt;3,"TEP","TED"))</f>
        <v>TEP</v>
      </c>
      <c r="Q8" s="1" t="n">
        <v>6</v>
      </c>
    </row>
    <row r="9" s="1" customFormat="true" ht="15.65" hidden="false" customHeight="false" outlineLevel="0" collapsed="false">
      <c r="A9" s="1" t="n">
        <v>7</v>
      </c>
      <c r="B9" s="1" t="s">
        <v>33</v>
      </c>
      <c r="C9" s="1" t="n">
        <v>9</v>
      </c>
      <c r="E9" s="1" t="n">
        <v>8</v>
      </c>
      <c r="F9" s="1" t="n">
        <v>9</v>
      </c>
      <c r="G9" s="3" t="n">
        <v>46170</v>
      </c>
      <c r="H9" s="1" t="n">
        <v>1</v>
      </c>
      <c r="J9" s="1" t="n">
        <v>7</v>
      </c>
      <c r="K9" s="3" t="n">
        <v>46170</v>
      </c>
      <c r="L9" s="1" t="n">
        <v>8</v>
      </c>
      <c r="M9" s="1" t="n">
        <v>8</v>
      </c>
      <c r="N9" s="1" t="n">
        <f aca="false">ROUND(AVERAGE(C9,E9,F9,H9,J9,L9,M9),0)</f>
        <v>7</v>
      </c>
      <c r="O9" s="1" t="str">
        <f aca="false">IF(N9&gt;6,"TEA",IF(N9&gt;3,"TEP","TED"))</f>
        <v>TEA</v>
      </c>
      <c r="P9" s="1" t="s">
        <v>88</v>
      </c>
      <c r="Q9" s="1" t="n">
        <v>1</v>
      </c>
    </row>
    <row r="10" s="1" customFormat="true" ht="15.65" hidden="false" customHeight="false" outlineLevel="0" collapsed="false">
      <c r="A10" s="1" t="n">
        <v>8</v>
      </c>
      <c r="B10" s="1" t="s">
        <v>36</v>
      </c>
      <c r="C10" s="1" t="n">
        <v>1</v>
      </c>
      <c r="E10" s="1" t="n">
        <v>8</v>
      </c>
      <c r="F10" s="1" t="n">
        <v>1</v>
      </c>
      <c r="H10" s="1" t="n">
        <v>1</v>
      </c>
      <c r="J10" s="1" t="n">
        <v>1</v>
      </c>
      <c r="L10" s="1" t="n">
        <v>5</v>
      </c>
      <c r="M10" s="1" t="n">
        <v>5</v>
      </c>
      <c r="N10" s="1" t="n">
        <f aca="false">ROUND(AVERAGE(C10,E10,F10,H10,J10,L10,M10),0)</f>
        <v>3</v>
      </c>
      <c r="O10" s="1" t="str">
        <f aca="false">IF(N10&gt;6,"TEA",IF(N10&gt;3,"TEP","TED"))</f>
        <v>TED</v>
      </c>
      <c r="Q10" s="1" t="n">
        <v>4</v>
      </c>
    </row>
    <row r="11" s="1" customFormat="true" ht="15.65" hidden="false" customHeight="false" outlineLevel="0" collapsed="false">
      <c r="A11" s="1" t="n">
        <v>9</v>
      </c>
      <c r="B11" s="1" t="s">
        <v>39</v>
      </c>
      <c r="C11" s="1" t="n">
        <v>7</v>
      </c>
      <c r="D11" s="3" t="n">
        <v>46170</v>
      </c>
      <c r="E11" s="1" t="n">
        <v>10</v>
      </c>
      <c r="F11" s="1" t="n">
        <v>1</v>
      </c>
      <c r="H11" s="1" t="n">
        <v>10</v>
      </c>
      <c r="J11" s="1" t="n">
        <v>9</v>
      </c>
      <c r="L11" s="1" t="n">
        <v>9</v>
      </c>
      <c r="M11" s="1" t="n">
        <v>6</v>
      </c>
      <c r="N11" s="1" t="n">
        <f aca="false">ROUND(AVERAGE(C11,E11,F11,H11,J11,L11,M11),0)</f>
        <v>7</v>
      </c>
      <c r="O11" s="1" t="str">
        <f aca="false">IF(N11&gt;6,"TEA",IF(N11&gt;3,"TEP","TED"))</f>
        <v>TEA</v>
      </c>
      <c r="P11" s="1" t="s">
        <v>89</v>
      </c>
      <c r="Q11" s="1" t="n">
        <v>6</v>
      </c>
    </row>
    <row r="12" s="1" customFormat="true" ht="15.65" hidden="false" customHeight="false" outlineLevel="0" collapsed="false">
      <c r="A12" s="1" t="n">
        <v>10</v>
      </c>
      <c r="B12" s="1" t="s">
        <v>42</v>
      </c>
      <c r="C12" s="1" t="n">
        <v>10</v>
      </c>
      <c r="E12" s="1" t="n">
        <v>9</v>
      </c>
      <c r="F12" s="1" t="n">
        <v>5</v>
      </c>
      <c r="G12" s="3" t="n">
        <v>46170</v>
      </c>
      <c r="H12" s="1" t="n">
        <v>9</v>
      </c>
      <c r="J12" s="1" t="n">
        <v>6</v>
      </c>
      <c r="L12" s="1" t="n">
        <v>9</v>
      </c>
      <c r="M12" s="1" t="n">
        <v>6</v>
      </c>
      <c r="N12" s="1" t="n">
        <f aca="false">ROUND(AVERAGE(C12,E12,F12,H12,J12,L12,M12),0)</f>
        <v>8</v>
      </c>
      <c r="O12" s="1" t="str">
        <f aca="false">IF(N12&gt;6,"TEA",IF(N12&gt;3,"TEP","TED"))</f>
        <v>TEA</v>
      </c>
      <c r="Q12" s="7" t="n">
        <v>7</v>
      </c>
      <c r="XDP12" s="2"/>
      <c r="XDQ12" s="2"/>
      <c r="XDR12" s="2"/>
      <c r="XDS12" s="2"/>
      <c r="XDT12" s="2"/>
      <c r="XDU12" s="2"/>
      <c r="XDV12" s="2"/>
      <c r="XDW12" s="2"/>
      <c r="XDX12" s="2"/>
      <c r="XDY12" s="2"/>
      <c r="XDZ12" s="2"/>
      <c r="XEA12" s="2"/>
      <c r="XEB12" s="2"/>
      <c r="XEC12" s="2"/>
      <c r="XED12" s="2"/>
      <c r="XEE12" s="2"/>
      <c r="XEF12" s="2"/>
      <c r="XEG12" s="2"/>
      <c r="XEH12" s="2"/>
      <c r="XEI12" s="2"/>
      <c r="XEJ12" s="2"/>
      <c r="XEK12" s="2"/>
      <c r="XEL12" s="2"/>
      <c r="XEM12" s="2"/>
      <c r="XEN12" s="2"/>
      <c r="XEO12" s="2"/>
      <c r="XEP12" s="2"/>
      <c r="XEQ12" s="2"/>
      <c r="XER12" s="2"/>
      <c r="XES12" s="2"/>
      <c r="XET12" s="2"/>
      <c r="XEU12" s="2"/>
      <c r="XEV12" s="2"/>
      <c r="XEW12" s="2"/>
      <c r="XEX12" s="2"/>
      <c r="XEY12" s="2"/>
      <c r="XEZ12" s="2"/>
      <c r="XFA12" s="2"/>
      <c r="XFB12" s="2"/>
      <c r="XFC12" s="2"/>
      <c r="XFD12" s="2"/>
    </row>
    <row r="13" s="1" customFormat="true" ht="15.65" hidden="false" customHeight="false" outlineLevel="0" collapsed="false">
      <c r="A13" s="1" t="n">
        <v>11</v>
      </c>
      <c r="B13" s="1" t="s">
        <v>46</v>
      </c>
      <c r="C13" s="1" t="n">
        <v>1</v>
      </c>
      <c r="E13" s="1" t="n">
        <v>4</v>
      </c>
      <c r="F13" s="1" t="n">
        <v>4</v>
      </c>
      <c r="G13" s="3" t="n">
        <v>46170</v>
      </c>
      <c r="H13" s="1" t="n">
        <v>10</v>
      </c>
      <c r="J13" s="1" t="n">
        <v>10</v>
      </c>
      <c r="L13" s="1" t="n">
        <v>10</v>
      </c>
      <c r="M13" s="1" t="n">
        <v>6</v>
      </c>
      <c r="N13" s="1" t="n">
        <f aca="false">ROUND(AVERAGE(C13,E13,F13,H13,J13,L13,M13),0)</f>
        <v>6</v>
      </c>
      <c r="O13" s="1" t="str">
        <f aca="false">IF(N13&gt;6,"TEA",IF(N13&gt;3,"TEP","TED"))</f>
        <v>TEP</v>
      </c>
      <c r="Q13" s="7" t="n">
        <v>2</v>
      </c>
      <c r="XDP13" s="2"/>
      <c r="XDQ13" s="2"/>
      <c r="XDR13" s="2"/>
      <c r="XDS13" s="2"/>
      <c r="XDT13" s="2"/>
      <c r="XDU13" s="2"/>
      <c r="XDV13" s="2"/>
      <c r="XDW13" s="2"/>
      <c r="XDX13" s="2"/>
      <c r="XDY13" s="2"/>
      <c r="XDZ13" s="2"/>
      <c r="XEA13" s="2"/>
      <c r="XEB13" s="2"/>
      <c r="XEC13" s="2"/>
      <c r="XED13" s="2"/>
      <c r="XEE13" s="2"/>
      <c r="XEF13" s="2"/>
      <c r="XEG13" s="2"/>
      <c r="XEH13" s="2"/>
      <c r="XEI13" s="2"/>
      <c r="XEJ13" s="2"/>
      <c r="XEK13" s="2"/>
      <c r="XEL13" s="2"/>
      <c r="XEM13" s="2"/>
      <c r="XEN13" s="2"/>
      <c r="XEO13" s="2"/>
      <c r="XEP13" s="2"/>
      <c r="XEQ13" s="2"/>
      <c r="XER13" s="2"/>
      <c r="XES13" s="2"/>
      <c r="XET13" s="2"/>
      <c r="XEU13" s="2"/>
      <c r="XEV13" s="2"/>
      <c r="XEW13" s="2"/>
      <c r="XEX13" s="2"/>
      <c r="XEY13" s="2"/>
      <c r="XEZ13" s="2"/>
      <c r="XFA13" s="2"/>
      <c r="XFB13" s="2"/>
      <c r="XFC13" s="2"/>
      <c r="XFD13" s="2"/>
    </row>
    <row r="14" s="2" customFormat="true" ht="15.65" hidden="false" customHeight="false" outlineLevel="0" collapsed="false">
      <c r="A14" s="1" t="n">
        <v>12</v>
      </c>
      <c r="B14" s="1" t="s">
        <v>49</v>
      </c>
      <c r="C14" s="1" t="n">
        <v>1</v>
      </c>
      <c r="D14" s="1"/>
      <c r="E14" s="1" t="n">
        <v>8</v>
      </c>
      <c r="F14" s="1" t="n">
        <v>1</v>
      </c>
      <c r="G14" s="1"/>
      <c r="H14" s="1" t="n">
        <v>10</v>
      </c>
      <c r="I14" s="1"/>
      <c r="J14" s="1" t="n">
        <v>1</v>
      </c>
      <c r="K14" s="1"/>
      <c r="L14" s="1" t="n">
        <v>8</v>
      </c>
      <c r="M14" s="1" t="n">
        <v>1</v>
      </c>
      <c r="N14" s="1" t="n">
        <f aca="false">ROUND(AVERAGE(C14,E14,F14,H14,J14,L14,M14),0)</f>
        <v>4</v>
      </c>
      <c r="O14" s="1" t="str">
        <f aca="false">IF(N14&gt;6,"TEA",IF(N14&gt;3,"TEP","TED"))</f>
        <v>TEP</v>
      </c>
      <c r="P14" s="1"/>
      <c r="Q14" s="1" t="n">
        <v>9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XDM14" s="1"/>
      <c r="XDN14" s="1"/>
      <c r="XDO14" s="1"/>
      <c r="XDP14" s="1"/>
      <c r="XDQ14" s="1"/>
      <c r="XDR14" s="1"/>
      <c r="XDS14" s="1"/>
      <c r="XDT14" s="1"/>
      <c r="XDU14" s="1"/>
      <c r="XDV14" s="1"/>
      <c r="XDW14" s="1"/>
      <c r="XDX14" s="1"/>
      <c r="XDY14" s="1"/>
      <c r="XDZ14" s="1"/>
      <c r="XEA14" s="1"/>
      <c r="XEB14" s="1"/>
      <c r="XEC14" s="1"/>
      <c r="XED14" s="1"/>
      <c r="XEE14" s="1"/>
      <c r="XEF14" s="1"/>
      <c r="XEG14" s="1"/>
      <c r="XEH14" s="1"/>
      <c r="XEI14" s="1"/>
      <c r="XEJ14" s="1"/>
      <c r="XEK14" s="1"/>
      <c r="XEL14" s="1"/>
      <c r="XEM14" s="1"/>
      <c r="XEN14" s="1"/>
      <c r="XEO14" s="1"/>
      <c r="XEP14" s="1"/>
      <c r="XEQ14" s="1"/>
      <c r="XER14" s="1"/>
      <c r="XES14" s="1"/>
      <c r="XET14" s="1"/>
      <c r="XEU14" s="1"/>
      <c r="XEV14" s="1"/>
      <c r="XEW14" s="1"/>
      <c r="XEX14" s="1"/>
      <c r="XEY14" s="1"/>
      <c r="XEZ14" s="1"/>
      <c r="XFA14" s="1"/>
      <c r="XFB14" s="1"/>
      <c r="XFC14" s="1"/>
      <c r="XFD14" s="1"/>
    </row>
    <row r="15" s="2" customFormat="true" ht="15.65" hidden="false" customHeight="false" outlineLevel="0" collapsed="false">
      <c r="A15" s="1" t="n">
        <v>13</v>
      </c>
      <c r="B15" s="1" t="s">
        <v>52</v>
      </c>
      <c r="C15" s="1" t="n">
        <v>10</v>
      </c>
      <c r="D15" s="1"/>
      <c r="E15" s="1" t="n">
        <v>9</v>
      </c>
      <c r="F15" s="1" t="n">
        <v>5</v>
      </c>
      <c r="G15" s="3" t="n">
        <v>46170</v>
      </c>
      <c r="H15" s="1" t="n">
        <v>10</v>
      </c>
      <c r="I15" s="1"/>
      <c r="J15" s="1" t="n">
        <v>10</v>
      </c>
      <c r="K15" s="1"/>
      <c r="L15" s="1" t="n">
        <v>10</v>
      </c>
      <c r="M15" s="1" t="n">
        <v>7</v>
      </c>
      <c r="N15" s="1" t="n">
        <f aca="false">ROUND(AVERAGE(C15,E15,F15,H15,J15,L15,M15),0)</f>
        <v>9</v>
      </c>
      <c r="O15" s="1" t="str">
        <f aca="false">IF(N15&gt;6,"TEA",IF(N15&gt;3,"TEP","TED"))</f>
        <v>TEA</v>
      </c>
      <c r="P15" s="1"/>
      <c r="Q15" s="7" t="n">
        <v>3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XDM15" s="1"/>
      <c r="XDN15" s="1"/>
      <c r="XDO15" s="1"/>
      <c r="XDP15" s="1"/>
      <c r="XDQ15" s="1"/>
      <c r="XDR15" s="1"/>
      <c r="XDS15" s="1"/>
      <c r="XDT15" s="1"/>
      <c r="XDU15" s="1"/>
      <c r="XDV15" s="1"/>
      <c r="XDW15" s="1"/>
      <c r="XDX15" s="1"/>
      <c r="XDY15" s="1"/>
      <c r="XDZ15" s="1"/>
      <c r="XEA15" s="1"/>
      <c r="XEB15" s="1"/>
      <c r="XEC15" s="1"/>
      <c r="XED15" s="1"/>
      <c r="XEE15" s="1"/>
      <c r="XEF15" s="1"/>
      <c r="XEG15" s="1"/>
      <c r="XEH15" s="1"/>
      <c r="XEI15" s="1"/>
      <c r="XEJ15" s="1"/>
      <c r="XEK15" s="1"/>
      <c r="XEL15" s="1"/>
      <c r="XEM15" s="1"/>
      <c r="XEN15" s="1"/>
      <c r="XEO15" s="1"/>
      <c r="XEP15" s="1"/>
      <c r="XEQ15" s="1"/>
      <c r="XER15" s="1"/>
      <c r="XES15" s="1"/>
      <c r="XET15" s="1"/>
      <c r="XEU15" s="1"/>
      <c r="XEV15" s="1"/>
      <c r="XEW15" s="1"/>
      <c r="XEX15" s="1"/>
      <c r="XEY15" s="1"/>
      <c r="XEZ15" s="1"/>
      <c r="XFA15" s="1"/>
      <c r="XFB15" s="1"/>
      <c r="XFC15" s="1"/>
      <c r="XFD15" s="1"/>
    </row>
    <row r="16" customFormat="false" ht="15.65" hidden="false" customHeight="false" outlineLevel="0" collapsed="false">
      <c r="A16" s="1" t="n">
        <v>14</v>
      </c>
      <c r="B16" s="1" t="s">
        <v>55</v>
      </c>
      <c r="C16" s="1" t="n">
        <v>10</v>
      </c>
      <c r="E16" s="1" t="n">
        <v>9</v>
      </c>
      <c r="F16" s="1" t="n">
        <v>8.7</v>
      </c>
      <c r="H16" s="1" t="n">
        <v>9</v>
      </c>
      <c r="J16" s="1" t="n">
        <v>10</v>
      </c>
      <c r="L16" s="1" t="n">
        <v>9</v>
      </c>
      <c r="M16" s="1" t="n">
        <v>6</v>
      </c>
      <c r="N16" s="1" t="n">
        <f aca="false">ROUND(AVERAGE(C16,E16,F16,H16,J16,L16,M16),0)</f>
        <v>9</v>
      </c>
      <c r="O16" s="1" t="str">
        <f aca="false">IF(N16&gt;6,"TEA",IF(N16&gt;3,"TEP","TED"))</f>
        <v>TEA</v>
      </c>
      <c r="P16" s="2" t="s">
        <v>86</v>
      </c>
      <c r="Q16" s="7" t="n">
        <v>6</v>
      </c>
    </row>
    <row r="17" customFormat="false" ht="15.65" hidden="false" customHeight="false" outlineLevel="0" collapsed="false">
      <c r="A17" s="1" t="n">
        <v>15</v>
      </c>
      <c r="B17" s="1" t="s">
        <v>58</v>
      </c>
      <c r="C17" s="1" t="n">
        <v>1</v>
      </c>
      <c r="E17" s="1" t="n">
        <v>6</v>
      </c>
      <c r="F17" s="1" t="n">
        <v>6</v>
      </c>
      <c r="H17" s="1" t="n">
        <v>10</v>
      </c>
      <c r="J17" s="1" t="n">
        <v>1</v>
      </c>
      <c r="L17" s="1" t="n">
        <v>9</v>
      </c>
      <c r="M17" s="1" t="n">
        <v>3</v>
      </c>
      <c r="N17" s="1" t="n">
        <f aca="false">ROUND(AVERAGE(C17,E17,F17,H17,J17,L17,M17),0)</f>
        <v>5</v>
      </c>
      <c r="O17" s="1" t="str">
        <f aca="false">IF(N17&gt;6,"TEA",IF(N17&gt;3,"TEP","TED"))</f>
        <v>TEP</v>
      </c>
      <c r="P17" s="2" t="s">
        <v>86</v>
      </c>
      <c r="Q17" s="7" t="n">
        <v>5</v>
      </c>
    </row>
    <row r="18" customFormat="false" ht="15.65" hidden="false" customHeight="false" outlineLevel="0" collapsed="false">
      <c r="A18" s="1" t="n">
        <v>16</v>
      </c>
      <c r="B18" s="1" t="s">
        <v>61</v>
      </c>
      <c r="C18" s="1" t="n">
        <v>10</v>
      </c>
      <c r="E18" s="1" t="n">
        <v>6</v>
      </c>
      <c r="F18" s="1" t="n">
        <v>8</v>
      </c>
      <c r="H18" s="1" t="n">
        <v>10</v>
      </c>
      <c r="J18" s="1" t="n">
        <v>10</v>
      </c>
      <c r="L18" s="1" t="n">
        <v>9</v>
      </c>
      <c r="M18" s="1" t="n">
        <v>4</v>
      </c>
      <c r="N18" s="1" t="n">
        <f aca="false">ROUND(AVERAGE(C18,E18,F18,H18,J18,L18,M18),0)</f>
        <v>8</v>
      </c>
      <c r="O18" s="1" t="str">
        <f aca="false">IF(N18&gt;6,"TEA",IF(N18&gt;3,"TEP","TED"))</f>
        <v>TEA</v>
      </c>
      <c r="P18" s="2" t="s">
        <v>86</v>
      </c>
      <c r="Q18" s="7" t="n">
        <v>8</v>
      </c>
    </row>
    <row r="19" customFormat="false" ht="15.65" hidden="false" customHeight="false" outlineLevel="0" collapsed="false">
      <c r="A19" s="1" t="n">
        <v>17</v>
      </c>
      <c r="B19" s="1" t="s">
        <v>64</v>
      </c>
      <c r="C19" s="1" t="n">
        <v>10</v>
      </c>
      <c r="E19" s="1" t="n">
        <v>9</v>
      </c>
      <c r="F19" s="1" t="n">
        <v>8</v>
      </c>
      <c r="H19" s="1" t="n">
        <v>9</v>
      </c>
      <c r="J19" s="1" t="n">
        <v>9</v>
      </c>
      <c r="L19" s="1" t="n">
        <v>10</v>
      </c>
      <c r="M19" s="1" t="n">
        <v>6</v>
      </c>
      <c r="N19" s="1" t="n">
        <f aca="false">ROUND(AVERAGE(C19,E19,F19,H19,J19,L19,M19),0)</f>
        <v>9</v>
      </c>
      <c r="O19" s="1" t="str">
        <f aca="false">IF(N19&gt;6,"TEA",IF(N19&gt;3,"TEP","TED"))</f>
        <v>TEA</v>
      </c>
      <c r="P19" s="2" t="s">
        <v>86</v>
      </c>
      <c r="Q19" s="7" t="n">
        <v>10</v>
      </c>
    </row>
    <row r="20" customFormat="false" ht="15.65" hidden="false" customHeight="false" outlineLevel="0" collapsed="false">
      <c r="A20" s="1" t="n">
        <v>18</v>
      </c>
      <c r="B20" s="1" t="s">
        <v>66</v>
      </c>
      <c r="C20" s="1" t="n">
        <v>10</v>
      </c>
      <c r="E20" s="1" t="n">
        <v>9</v>
      </c>
      <c r="F20" s="1" t="n">
        <v>9</v>
      </c>
      <c r="H20" s="1" t="n">
        <v>9</v>
      </c>
      <c r="J20" s="1" t="n">
        <v>8</v>
      </c>
      <c r="K20" s="3" t="n">
        <v>46170</v>
      </c>
      <c r="L20" s="1" t="n">
        <v>10</v>
      </c>
      <c r="M20" s="1" t="n">
        <v>5</v>
      </c>
      <c r="N20" s="1" t="n">
        <f aca="false">ROUND(AVERAGE(C20,E20,F20,H20,J20,L20,M20),0)</f>
        <v>9</v>
      </c>
      <c r="O20" s="1" t="str">
        <f aca="false">IF(N20&gt;6,"TEA",IF(N20&gt;3,"TEP","TED"))</f>
        <v>TEA</v>
      </c>
      <c r="P20" s="2" t="s">
        <v>86</v>
      </c>
      <c r="Q20" s="7" t="n">
        <v>5</v>
      </c>
    </row>
    <row r="21" customFormat="false" ht="15.65" hidden="false" customHeight="false" outlineLevel="0" collapsed="false">
      <c r="A21" s="1" t="n">
        <v>19</v>
      </c>
      <c r="B21" s="1" t="s">
        <v>68</v>
      </c>
      <c r="C21" s="1" t="n">
        <v>9</v>
      </c>
      <c r="E21" s="1" t="n">
        <v>9</v>
      </c>
      <c r="F21" s="1" t="n">
        <v>1</v>
      </c>
      <c r="H21" s="1" t="n">
        <v>10</v>
      </c>
      <c r="J21" s="1" t="n">
        <v>6</v>
      </c>
      <c r="K21" s="3" t="n">
        <v>46170</v>
      </c>
      <c r="L21" s="1" t="n">
        <v>9</v>
      </c>
      <c r="M21" s="1" t="n">
        <v>3</v>
      </c>
      <c r="N21" s="1" t="n">
        <f aca="false">ROUND(AVERAGE(C21,E21,F21,H21,J21,L21,M21),0)</f>
        <v>7</v>
      </c>
      <c r="O21" s="1" t="str">
        <f aca="false">IF(N21&gt;6,"TEA",IF(N21&gt;3,"TEP","TED"))</f>
        <v>TEA</v>
      </c>
      <c r="P21" s="2" t="s">
        <v>89</v>
      </c>
      <c r="Q21" s="1" t="n">
        <v>1</v>
      </c>
    </row>
    <row r="22" customFormat="false" ht="15.65" hidden="false" customHeight="false" outlineLevel="0" collapsed="false">
      <c r="A22" s="1" t="n">
        <v>20</v>
      </c>
      <c r="B22" s="1" t="s">
        <v>70</v>
      </c>
      <c r="C22" s="1" t="n">
        <v>7</v>
      </c>
      <c r="E22" s="1" t="n">
        <v>9</v>
      </c>
      <c r="F22" s="1" t="n">
        <v>5</v>
      </c>
      <c r="H22" s="1" t="n">
        <v>10</v>
      </c>
      <c r="J22" s="1" t="n">
        <v>3</v>
      </c>
      <c r="L22" s="1" t="n">
        <v>10</v>
      </c>
      <c r="M22" s="1" t="n">
        <v>5</v>
      </c>
      <c r="N22" s="1" t="n">
        <f aca="false">ROUND(AVERAGE(C22,E22,F22,H22,J22,L22,M22),0)</f>
        <v>7</v>
      </c>
      <c r="O22" s="1" t="str">
        <f aca="false">IF(N22&gt;6,"TEA",IF(N22&gt;3,"TEP","TED"))</f>
        <v>TEA</v>
      </c>
      <c r="Q22" s="1" t="n">
        <v>1</v>
      </c>
    </row>
    <row r="23" customFormat="false" ht="15" hidden="false" customHeight="false" outlineLevel="0" collapsed="false">
      <c r="A23" s="1" t="n">
        <v>21</v>
      </c>
      <c r="B23" s="1" t="s">
        <v>71</v>
      </c>
      <c r="N23" s="1" t="n">
        <v>1</v>
      </c>
      <c r="O23" s="1" t="str">
        <f aca="false">IF(N23&gt;6,"TEA",IF(N23&gt;3,"TEP","TED"))</f>
        <v>TED</v>
      </c>
    </row>
    <row r="26" customFormat="false" ht="15" hidden="false" customHeight="false" outlineLevel="0" collapsed="false">
      <c r="G26" s="1" t="n">
        <f aca="false">11/2</f>
        <v>5.5</v>
      </c>
    </row>
  </sheetData>
  <conditionalFormatting sqref="C3:O22 N23:O23">
    <cfRule type="cellIs" priority="2" operator="greaterThan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4</formula>
      <formula>6</formula>
    </cfRule>
    <cfRule type="cellIs" priority="4" operator="lessThan" aboveAverage="0" equalAverage="0" bottom="0" percent="0" rank="0" text="" dxfId="2">
      <formula>4</formula>
    </cfRule>
    <cfRule type="cellIs" priority="5" operator="equal" aboveAverage="0" equalAverage="0" bottom="0" percent="0" rank="0" text="" dxfId="0">
      <formula>"TEA"</formula>
    </cfRule>
    <cfRule type="cellIs" priority="6" operator="equal" aboveAverage="0" equalAverage="0" bottom="0" percent="0" rank="0" text="" dxfId="1">
      <formula>"TEP"</formula>
    </cfRule>
    <cfRule type="cellIs" priority="7" operator="equal" aboveAverage="0" equalAverage="0" bottom="0" percent="0" rank="0" text="" dxfId="2">
      <formula>"TED"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30" activeCellId="0" sqref="D30"/>
    </sheetView>
  </sheetViews>
  <sheetFormatPr defaultColWidth="10.58203125" defaultRowHeight="15" zeroHeight="false" outlineLevelRow="0" outlineLevelCol="0"/>
  <cols>
    <col collapsed="false" customWidth="true" hidden="false" outlineLevel="0" max="3" min="2" style="1" width="18.92"/>
    <col collapsed="false" customWidth="true" hidden="false" outlineLevel="0" max="4" min="4" style="1" width="16.37"/>
  </cols>
  <sheetData>
    <row r="1" customFormat="false" ht="15" hidden="false" customHeight="false" outlineLevel="0" collapsed="false">
      <c r="A1" s="1" t="s">
        <v>0</v>
      </c>
      <c r="C1" s="1" t="s">
        <v>2</v>
      </c>
      <c r="D1" s="1" t="s">
        <v>90</v>
      </c>
      <c r="E1" s="1" t="s">
        <v>83</v>
      </c>
      <c r="F1" s="1" t="s">
        <v>91</v>
      </c>
      <c r="G1" s="1" t="s">
        <v>92</v>
      </c>
    </row>
    <row r="2" customFormat="false" ht="15" hidden="false" customHeight="false" outlineLevel="0" collapsed="false">
      <c r="A2" s="1" t="n">
        <v>1</v>
      </c>
      <c r="B2" s="1" t="s">
        <v>12</v>
      </c>
      <c r="C2" s="1" t="s">
        <v>12</v>
      </c>
      <c r="D2" s="1" t="n">
        <v>10</v>
      </c>
      <c r="E2" s="1" t="n">
        <f aca="false">ROUND(AVERAGE(D2:D7),0)</f>
        <v>7</v>
      </c>
      <c r="F2" s="1" t="n">
        <v>9</v>
      </c>
      <c r="G2" s="1" t="n">
        <f aca="false">MAX(E2,F2)</f>
        <v>9</v>
      </c>
    </row>
    <row r="3" customFormat="false" ht="15" hidden="false" customHeight="false" outlineLevel="0" collapsed="false">
      <c r="C3" s="1" t="s">
        <v>12</v>
      </c>
      <c r="D3" s="1" t="n">
        <v>9</v>
      </c>
    </row>
    <row r="4" customFormat="false" ht="15" hidden="false" customHeight="false" outlineLevel="0" collapsed="false">
      <c r="C4" s="1" t="s">
        <v>12</v>
      </c>
      <c r="D4" s="1" t="n">
        <v>7</v>
      </c>
    </row>
    <row r="5" customFormat="false" ht="15" hidden="false" customHeight="false" outlineLevel="0" collapsed="false">
      <c r="C5" s="1" t="s">
        <v>12</v>
      </c>
      <c r="D5" s="1" t="n">
        <v>5</v>
      </c>
    </row>
    <row r="6" customFormat="false" ht="15" hidden="false" customHeight="false" outlineLevel="0" collapsed="false">
      <c r="C6" s="1" t="s">
        <v>12</v>
      </c>
      <c r="D6" s="1" t="n">
        <v>5</v>
      </c>
    </row>
    <row r="7" customFormat="false" ht="15" hidden="false" customHeight="false" outlineLevel="0" collapsed="false">
      <c r="C7" s="1" t="s">
        <v>12</v>
      </c>
      <c r="D7" s="1" t="n">
        <v>3</v>
      </c>
    </row>
    <row r="8" customFormat="false" ht="15" hidden="false" customHeight="false" outlineLevel="0" collapsed="false">
      <c r="A8" s="1" t="n">
        <v>2</v>
      </c>
      <c r="B8" s="1" t="s">
        <v>16</v>
      </c>
      <c r="D8" s="1" t="n">
        <v>1</v>
      </c>
      <c r="G8" s="1" t="n">
        <v>1</v>
      </c>
    </row>
    <row r="9" customFormat="false" ht="15" hidden="false" customHeight="false" outlineLevel="0" collapsed="false">
      <c r="A9" s="1" t="n">
        <v>3</v>
      </c>
      <c r="B9" s="1" t="s">
        <v>20</v>
      </c>
      <c r="C9" s="1" t="s">
        <v>20</v>
      </c>
      <c r="D9" s="1" t="n">
        <v>10</v>
      </c>
      <c r="E9" s="1" t="n">
        <f aca="false">ROUND(AVERAGE(D9:D14),0)</f>
        <v>7</v>
      </c>
      <c r="F9" s="1" t="n">
        <v>9</v>
      </c>
      <c r="G9" s="1" t="n">
        <f aca="false">MAX(E9,F9)</f>
        <v>9</v>
      </c>
    </row>
    <row r="10" customFormat="false" ht="15" hidden="false" customHeight="false" outlineLevel="0" collapsed="false">
      <c r="C10" s="1" t="s">
        <v>20</v>
      </c>
      <c r="D10" s="1" t="n">
        <v>9</v>
      </c>
    </row>
    <row r="11" customFormat="false" ht="15" hidden="false" customHeight="false" outlineLevel="0" collapsed="false">
      <c r="C11" s="1" t="s">
        <v>20</v>
      </c>
      <c r="D11" s="1" t="n">
        <v>8</v>
      </c>
    </row>
    <row r="12" customFormat="false" ht="15" hidden="false" customHeight="false" outlineLevel="0" collapsed="false">
      <c r="C12" s="1" t="s">
        <v>20</v>
      </c>
      <c r="D12" s="1" t="n">
        <v>8</v>
      </c>
    </row>
    <row r="13" customFormat="false" ht="15" hidden="false" customHeight="false" outlineLevel="0" collapsed="false">
      <c r="C13" s="1" t="s">
        <v>20</v>
      </c>
      <c r="D13" s="1" t="n">
        <v>3</v>
      </c>
    </row>
    <row r="14" customFormat="false" ht="15" hidden="false" customHeight="false" outlineLevel="0" collapsed="false">
      <c r="C14" s="1" t="s">
        <v>20</v>
      </c>
      <c r="D14" s="1" t="n">
        <v>3</v>
      </c>
    </row>
    <row r="15" customFormat="false" ht="15" hidden="false" customHeight="false" outlineLevel="0" collapsed="false">
      <c r="A15" s="1" t="n">
        <v>4</v>
      </c>
      <c r="B15" s="1" t="s">
        <v>24</v>
      </c>
      <c r="D15" s="1" t="n">
        <v>1</v>
      </c>
      <c r="G15" s="1" t="n">
        <v>1</v>
      </c>
    </row>
    <row r="16" customFormat="false" ht="15" hidden="false" customHeight="false" outlineLevel="0" collapsed="false">
      <c r="A16" s="1" t="n">
        <v>5</v>
      </c>
      <c r="B16" s="1" t="s">
        <v>27</v>
      </c>
      <c r="C16" s="1" t="s">
        <v>27</v>
      </c>
      <c r="D16" s="1" t="n">
        <v>8</v>
      </c>
      <c r="E16" s="1" t="n">
        <f aca="false">ROUND(AVERAGE(D16:D18),0)</f>
        <v>5</v>
      </c>
      <c r="F16" s="1" t="n">
        <v>4</v>
      </c>
      <c r="G16" s="1" t="n">
        <f aca="false">MAX(E16,F16)</f>
        <v>5</v>
      </c>
    </row>
    <row r="17" customFormat="false" ht="15" hidden="false" customHeight="false" outlineLevel="0" collapsed="false">
      <c r="C17" s="1" t="s">
        <v>27</v>
      </c>
      <c r="D17" s="1" t="n">
        <v>4</v>
      </c>
    </row>
    <row r="18" customFormat="false" ht="15" hidden="false" customHeight="false" outlineLevel="0" collapsed="false">
      <c r="C18" s="1" t="s">
        <v>27</v>
      </c>
      <c r="D18" s="1" t="n">
        <v>3</v>
      </c>
    </row>
    <row r="19" customFormat="false" ht="15" hidden="false" customHeight="false" outlineLevel="0" collapsed="false">
      <c r="A19" s="1" t="n">
        <v>6</v>
      </c>
      <c r="B19" s="1" t="s">
        <v>30</v>
      </c>
      <c r="C19" s="1" t="s">
        <v>30</v>
      </c>
      <c r="D19" s="1" t="n">
        <v>5</v>
      </c>
      <c r="G19" s="1" t="n">
        <v>5</v>
      </c>
    </row>
    <row r="20" customFormat="false" ht="15" hidden="false" customHeight="false" outlineLevel="0" collapsed="false">
      <c r="A20" s="1" t="n">
        <v>7</v>
      </c>
      <c r="B20" s="1" t="s">
        <v>33</v>
      </c>
      <c r="C20" s="1" t="s">
        <v>33</v>
      </c>
      <c r="D20" s="1" t="n">
        <v>8</v>
      </c>
      <c r="G20" s="1" t="n">
        <v>8</v>
      </c>
    </row>
    <row r="21" customFormat="false" ht="15" hidden="false" customHeight="false" outlineLevel="0" collapsed="false">
      <c r="A21" s="1" t="n">
        <v>8</v>
      </c>
      <c r="B21" s="1" t="s">
        <v>36</v>
      </c>
      <c r="C21" s="1" t="s">
        <v>36</v>
      </c>
      <c r="D21" s="1" t="n">
        <v>9</v>
      </c>
      <c r="E21" s="1" t="n">
        <f aca="false">ROUND(AVERAGE(D21:D24),0)</f>
        <v>7</v>
      </c>
      <c r="F21" s="1" t="n">
        <v>8</v>
      </c>
      <c r="G21" s="1" t="n">
        <f aca="false">MAX(E21,F21)</f>
        <v>8</v>
      </c>
    </row>
    <row r="22" customFormat="false" ht="15" hidden="false" customHeight="false" outlineLevel="0" collapsed="false">
      <c r="C22" s="1" t="s">
        <v>36</v>
      </c>
      <c r="D22" s="1" t="n">
        <v>9</v>
      </c>
    </row>
    <row r="23" customFormat="false" ht="15" hidden="false" customHeight="false" outlineLevel="0" collapsed="false">
      <c r="C23" s="1" t="s">
        <v>36</v>
      </c>
      <c r="D23" s="1" t="n">
        <v>8</v>
      </c>
    </row>
    <row r="24" customFormat="false" ht="15" hidden="false" customHeight="false" outlineLevel="0" collapsed="false">
      <c r="C24" s="1" t="s">
        <v>36</v>
      </c>
      <c r="D24" s="1" t="n">
        <v>3</v>
      </c>
    </row>
    <row r="25" customFormat="false" ht="15" hidden="false" customHeight="false" outlineLevel="0" collapsed="false">
      <c r="A25" s="1" t="n">
        <v>9</v>
      </c>
      <c r="B25" s="1" t="s">
        <v>39</v>
      </c>
      <c r="C25" s="1" t="s">
        <v>39</v>
      </c>
      <c r="D25" s="1" t="n">
        <v>10</v>
      </c>
      <c r="G25" s="1" t="n">
        <v>10</v>
      </c>
    </row>
    <row r="26" customFormat="false" ht="15" hidden="false" customHeight="false" outlineLevel="0" collapsed="false">
      <c r="A26" s="1" t="n">
        <v>10</v>
      </c>
      <c r="B26" s="1" t="s">
        <v>42</v>
      </c>
      <c r="C26" s="1" t="s">
        <v>42</v>
      </c>
      <c r="D26" s="1" t="n">
        <v>10</v>
      </c>
      <c r="E26" s="1" t="n">
        <f aca="false">ROUND(AVERAGE(D26:D29),0)</f>
        <v>8</v>
      </c>
      <c r="F26" s="1" t="n">
        <v>9</v>
      </c>
      <c r="G26" s="1" t="n">
        <f aca="false">MAX(E26,F26)</f>
        <v>9</v>
      </c>
    </row>
    <row r="27" customFormat="false" ht="15" hidden="false" customHeight="false" outlineLevel="0" collapsed="false">
      <c r="C27" s="1" t="s">
        <v>42</v>
      </c>
      <c r="D27" s="1" t="n">
        <v>9</v>
      </c>
    </row>
    <row r="28" customFormat="false" ht="15" hidden="false" customHeight="false" outlineLevel="0" collapsed="false">
      <c r="C28" s="1" t="s">
        <v>42</v>
      </c>
      <c r="D28" s="1" t="n">
        <v>8</v>
      </c>
    </row>
    <row r="29" customFormat="false" ht="15" hidden="false" customHeight="false" outlineLevel="0" collapsed="false">
      <c r="C29" s="1" t="s">
        <v>42</v>
      </c>
      <c r="D29" s="1" t="n">
        <v>5</v>
      </c>
    </row>
    <row r="30" customFormat="false" ht="15" hidden="false" customHeight="false" outlineLevel="0" collapsed="false">
      <c r="A30" s="1" t="n">
        <v>11</v>
      </c>
      <c r="B30" s="1" t="s">
        <v>46</v>
      </c>
      <c r="C30" s="1" t="s">
        <v>46</v>
      </c>
      <c r="D30" s="1" t="n">
        <v>4</v>
      </c>
      <c r="G30" s="1" t="n">
        <v>4</v>
      </c>
    </row>
    <row r="31" customFormat="false" ht="15" hidden="false" customHeight="false" outlineLevel="0" collapsed="false">
      <c r="A31" s="1" t="n">
        <v>12</v>
      </c>
      <c r="B31" s="1" t="s">
        <v>49</v>
      </c>
      <c r="C31" s="1" t="s">
        <v>49</v>
      </c>
      <c r="D31" s="1" t="n">
        <v>8</v>
      </c>
      <c r="G31" s="1" t="n">
        <v>8</v>
      </c>
    </row>
    <row r="32" customFormat="false" ht="15" hidden="false" customHeight="false" outlineLevel="0" collapsed="false">
      <c r="A32" s="1" t="n">
        <v>13</v>
      </c>
      <c r="B32" s="1" t="s">
        <v>52</v>
      </c>
      <c r="C32" s="1" t="s">
        <v>52</v>
      </c>
      <c r="D32" s="1" t="n">
        <v>10</v>
      </c>
      <c r="E32" s="1" t="n">
        <f aca="false">ROUND(AVERAGE(D32:D37),0)</f>
        <v>7</v>
      </c>
      <c r="F32" s="1" t="n">
        <v>9</v>
      </c>
      <c r="G32" s="1" t="n">
        <f aca="false">MAX(E32,F32)</f>
        <v>9</v>
      </c>
    </row>
    <row r="33" customFormat="false" ht="15" hidden="false" customHeight="false" outlineLevel="0" collapsed="false">
      <c r="C33" s="1" t="s">
        <v>52</v>
      </c>
      <c r="D33" s="1" t="n">
        <v>10</v>
      </c>
    </row>
    <row r="34" customFormat="false" ht="15" hidden="false" customHeight="false" outlineLevel="0" collapsed="false">
      <c r="C34" s="1" t="s">
        <v>52</v>
      </c>
      <c r="D34" s="1" t="n">
        <v>9</v>
      </c>
    </row>
    <row r="35" customFormat="false" ht="15" hidden="false" customHeight="false" outlineLevel="0" collapsed="false">
      <c r="C35" s="1" t="s">
        <v>52</v>
      </c>
      <c r="D35" s="1" t="n">
        <v>8</v>
      </c>
    </row>
    <row r="36" customFormat="false" ht="15" hidden="false" customHeight="false" outlineLevel="0" collapsed="false">
      <c r="C36" s="1" t="s">
        <v>52</v>
      </c>
      <c r="D36" s="1" t="n">
        <v>3</v>
      </c>
    </row>
    <row r="37" customFormat="false" ht="15" hidden="false" customHeight="false" outlineLevel="0" collapsed="false">
      <c r="C37" s="1" t="s">
        <v>52</v>
      </c>
      <c r="D37" s="1" t="n">
        <v>3</v>
      </c>
    </row>
    <row r="38" customFormat="false" ht="15" hidden="false" customHeight="false" outlineLevel="0" collapsed="false">
      <c r="A38" s="1" t="n">
        <v>14</v>
      </c>
      <c r="B38" s="1" t="s">
        <v>55</v>
      </c>
      <c r="C38" s="1" t="s">
        <v>55</v>
      </c>
      <c r="D38" s="1" t="n">
        <v>10</v>
      </c>
      <c r="E38" s="1" t="n">
        <f aca="false">ROUND(AVERAGE(D38:D49),0)</f>
        <v>8</v>
      </c>
      <c r="F38" s="1" t="n">
        <v>9</v>
      </c>
      <c r="G38" s="1" t="n">
        <f aca="false">MAX(E38,F38)</f>
        <v>9</v>
      </c>
    </row>
    <row r="39" customFormat="false" ht="15" hidden="false" customHeight="false" outlineLevel="0" collapsed="false">
      <c r="C39" s="1" t="s">
        <v>55</v>
      </c>
      <c r="D39" s="1" t="n">
        <v>10</v>
      </c>
    </row>
    <row r="40" customFormat="false" ht="15" hidden="false" customHeight="false" outlineLevel="0" collapsed="false">
      <c r="C40" s="1" t="s">
        <v>55</v>
      </c>
      <c r="D40" s="1" t="n">
        <v>10</v>
      </c>
    </row>
    <row r="41" customFormat="false" ht="15" hidden="false" customHeight="false" outlineLevel="0" collapsed="false">
      <c r="C41" s="1" t="s">
        <v>55</v>
      </c>
      <c r="D41" s="1" t="n">
        <v>10</v>
      </c>
    </row>
    <row r="42" customFormat="false" ht="15" hidden="false" customHeight="false" outlineLevel="0" collapsed="false">
      <c r="C42" s="1" t="s">
        <v>55</v>
      </c>
      <c r="D42" s="1" t="n">
        <v>10</v>
      </c>
    </row>
    <row r="43" customFormat="false" ht="15" hidden="false" customHeight="false" outlineLevel="0" collapsed="false">
      <c r="C43" s="1" t="s">
        <v>55</v>
      </c>
      <c r="D43" s="1" t="n">
        <v>9</v>
      </c>
    </row>
    <row r="44" customFormat="false" ht="15" hidden="false" customHeight="false" outlineLevel="0" collapsed="false">
      <c r="C44" s="1" t="s">
        <v>55</v>
      </c>
      <c r="D44" s="1" t="n">
        <v>9</v>
      </c>
    </row>
    <row r="45" customFormat="false" ht="15" hidden="false" customHeight="false" outlineLevel="0" collapsed="false">
      <c r="C45" s="1" t="s">
        <v>55</v>
      </c>
      <c r="D45" s="1" t="n">
        <v>9</v>
      </c>
    </row>
    <row r="46" customFormat="false" ht="15" hidden="false" customHeight="false" outlineLevel="0" collapsed="false">
      <c r="C46" s="1" t="s">
        <v>55</v>
      </c>
      <c r="D46" s="1" t="n">
        <v>8</v>
      </c>
    </row>
    <row r="47" customFormat="false" ht="15" hidden="false" customHeight="false" outlineLevel="0" collapsed="false">
      <c r="C47" s="1" t="s">
        <v>55</v>
      </c>
      <c r="D47" s="1" t="n">
        <v>7</v>
      </c>
    </row>
    <row r="48" customFormat="false" ht="15" hidden="false" customHeight="false" outlineLevel="0" collapsed="false">
      <c r="C48" s="1" t="s">
        <v>55</v>
      </c>
      <c r="D48" s="1" t="n">
        <v>6</v>
      </c>
    </row>
    <row r="49" customFormat="false" ht="15" hidden="false" customHeight="false" outlineLevel="0" collapsed="false">
      <c r="C49" s="1" t="s">
        <v>55</v>
      </c>
      <c r="D49" s="1" t="n">
        <v>3</v>
      </c>
    </row>
    <row r="50" customFormat="false" ht="15" hidden="false" customHeight="false" outlineLevel="0" collapsed="false">
      <c r="A50" s="1" t="n">
        <v>15</v>
      </c>
      <c r="B50" s="1" t="s">
        <v>58</v>
      </c>
      <c r="C50" s="1" t="s">
        <v>58</v>
      </c>
      <c r="D50" s="1" t="n">
        <v>7</v>
      </c>
      <c r="E50" s="1" t="n">
        <f aca="false">ROUND(AVERAGE(D50:D53),0)</f>
        <v>5</v>
      </c>
      <c r="F50" s="1" t="n">
        <v>6</v>
      </c>
      <c r="G50" s="1" t="n">
        <f aca="false">MAX(E50,F50)</f>
        <v>6</v>
      </c>
    </row>
    <row r="51" customFormat="false" ht="15" hidden="false" customHeight="false" outlineLevel="0" collapsed="false">
      <c r="C51" s="1" t="s">
        <v>58</v>
      </c>
      <c r="D51" s="1" t="n">
        <v>6</v>
      </c>
    </row>
    <row r="52" customFormat="false" ht="15" hidden="false" customHeight="false" outlineLevel="0" collapsed="false">
      <c r="C52" s="1" t="s">
        <v>58</v>
      </c>
      <c r="D52" s="1" t="n">
        <v>3</v>
      </c>
    </row>
    <row r="53" customFormat="false" ht="15" hidden="false" customHeight="false" outlineLevel="0" collapsed="false">
      <c r="C53" s="1" t="s">
        <v>58</v>
      </c>
      <c r="D53" s="1" t="n">
        <v>3</v>
      </c>
    </row>
    <row r="54" customFormat="false" ht="15" hidden="false" customHeight="false" outlineLevel="0" collapsed="false">
      <c r="A54" s="1" t="n">
        <v>16</v>
      </c>
      <c r="B54" s="1" t="s">
        <v>61</v>
      </c>
      <c r="C54" s="1" t="s">
        <v>61</v>
      </c>
      <c r="D54" s="1" t="n">
        <v>7</v>
      </c>
      <c r="E54" s="1" t="n">
        <f aca="false">ROUND(AVERAGE(D54:D57),0)</f>
        <v>5</v>
      </c>
      <c r="F54" s="1" t="n">
        <v>6</v>
      </c>
      <c r="G54" s="1" t="n">
        <f aca="false">MAX(E54,F54)</f>
        <v>6</v>
      </c>
    </row>
    <row r="55" customFormat="false" ht="15" hidden="false" customHeight="false" outlineLevel="0" collapsed="false">
      <c r="C55" s="1" t="s">
        <v>61</v>
      </c>
      <c r="D55" s="1" t="n">
        <v>6</v>
      </c>
    </row>
    <row r="56" customFormat="false" ht="15" hidden="false" customHeight="false" outlineLevel="0" collapsed="false">
      <c r="C56" s="1" t="s">
        <v>61</v>
      </c>
      <c r="D56" s="1" t="n">
        <v>5</v>
      </c>
    </row>
    <row r="57" customFormat="false" ht="15" hidden="false" customHeight="false" outlineLevel="0" collapsed="false">
      <c r="C57" s="1" t="s">
        <v>61</v>
      </c>
      <c r="D57" s="1" t="n">
        <v>3</v>
      </c>
    </row>
    <row r="58" customFormat="false" ht="15" hidden="false" customHeight="false" outlineLevel="0" collapsed="false">
      <c r="A58" s="1" t="n">
        <v>17</v>
      </c>
      <c r="B58" s="1" t="s">
        <v>64</v>
      </c>
      <c r="C58" s="1" t="s">
        <v>64</v>
      </c>
      <c r="D58" s="1" t="n">
        <v>10</v>
      </c>
      <c r="E58" s="1" t="n">
        <f aca="false">ROUND(AVERAGE(D58:D62),0)</f>
        <v>9</v>
      </c>
      <c r="F58" s="1" t="n">
        <v>9</v>
      </c>
      <c r="G58" s="1" t="n">
        <f aca="false">MAX(E58,F58)</f>
        <v>9</v>
      </c>
    </row>
    <row r="59" customFormat="false" ht="15" hidden="false" customHeight="false" outlineLevel="0" collapsed="false">
      <c r="C59" s="1" t="s">
        <v>64</v>
      </c>
      <c r="D59" s="1" t="n">
        <v>9</v>
      </c>
    </row>
    <row r="60" customFormat="false" ht="15" hidden="false" customHeight="false" outlineLevel="0" collapsed="false">
      <c r="C60" s="1" t="s">
        <v>64</v>
      </c>
      <c r="D60" s="1" t="n">
        <v>9</v>
      </c>
    </row>
    <row r="61" customFormat="false" ht="15" hidden="false" customHeight="false" outlineLevel="0" collapsed="false">
      <c r="C61" s="1" t="s">
        <v>64</v>
      </c>
      <c r="D61" s="1" t="n">
        <v>8</v>
      </c>
    </row>
    <row r="62" customFormat="false" ht="15" hidden="false" customHeight="false" outlineLevel="0" collapsed="false">
      <c r="C62" s="1" t="s">
        <v>64</v>
      </c>
      <c r="D62" s="1" t="n">
        <v>7</v>
      </c>
    </row>
    <row r="63" customFormat="false" ht="15" hidden="false" customHeight="false" outlineLevel="0" collapsed="false">
      <c r="A63" s="1" t="n">
        <v>18</v>
      </c>
      <c r="B63" s="1" t="s">
        <v>66</v>
      </c>
      <c r="C63" s="1" t="s">
        <v>66</v>
      </c>
      <c r="D63" s="1" t="n">
        <v>10</v>
      </c>
      <c r="E63" s="1" t="n">
        <f aca="false">ROUND(AVERAGE(D63:D65),0)</f>
        <v>8</v>
      </c>
      <c r="F63" s="1" t="n">
        <v>9</v>
      </c>
      <c r="G63" s="1" t="n">
        <f aca="false">MAX(E63,F63)</f>
        <v>9</v>
      </c>
    </row>
    <row r="64" customFormat="false" ht="15" hidden="false" customHeight="false" outlineLevel="0" collapsed="false">
      <c r="C64" s="1" t="s">
        <v>66</v>
      </c>
      <c r="D64" s="1" t="n">
        <v>9</v>
      </c>
    </row>
    <row r="65" customFormat="false" ht="15" hidden="false" customHeight="false" outlineLevel="0" collapsed="false">
      <c r="C65" s="1" t="s">
        <v>66</v>
      </c>
      <c r="D65" s="1" t="n">
        <v>4</v>
      </c>
    </row>
    <row r="66" customFormat="false" ht="15" hidden="false" customHeight="false" outlineLevel="0" collapsed="false">
      <c r="A66" s="1" t="n">
        <v>19</v>
      </c>
      <c r="B66" s="1" t="s">
        <v>68</v>
      </c>
      <c r="C66" s="1" t="s">
        <v>68</v>
      </c>
      <c r="D66" s="1" t="n">
        <v>10</v>
      </c>
      <c r="E66" s="1" t="n">
        <f aca="false">ROUND(AVERAGE(D66:D69),0)</f>
        <v>7</v>
      </c>
      <c r="F66" s="1" t="n">
        <v>9</v>
      </c>
      <c r="G66" s="1" t="n">
        <f aca="false">MAX(E66,F66)</f>
        <v>9</v>
      </c>
    </row>
    <row r="67" customFormat="false" ht="15" hidden="false" customHeight="false" outlineLevel="0" collapsed="false">
      <c r="C67" s="1" t="s">
        <v>68</v>
      </c>
      <c r="D67" s="1" t="n">
        <v>9</v>
      </c>
    </row>
    <row r="68" customFormat="false" ht="15" hidden="false" customHeight="false" outlineLevel="0" collapsed="false">
      <c r="C68" s="1" t="s">
        <v>68</v>
      </c>
      <c r="D68" s="1" t="n">
        <v>5</v>
      </c>
    </row>
    <row r="69" customFormat="false" ht="15" hidden="false" customHeight="false" outlineLevel="0" collapsed="false">
      <c r="C69" s="1" t="s">
        <v>68</v>
      </c>
      <c r="D69" s="1" t="n">
        <v>4</v>
      </c>
    </row>
    <row r="70" customFormat="false" ht="15" hidden="false" customHeight="false" outlineLevel="0" collapsed="false">
      <c r="A70" s="1" t="n">
        <v>20</v>
      </c>
      <c r="B70" s="1" t="s">
        <v>70</v>
      </c>
      <c r="C70" s="1" t="s">
        <v>70</v>
      </c>
      <c r="D70" s="1" t="n">
        <v>3</v>
      </c>
      <c r="E70" s="1" t="n">
        <f aca="false">ROUND(AVERAGE(D70:D71),0)</f>
        <v>3</v>
      </c>
      <c r="F70" s="1" t="n">
        <v>9</v>
      </c>
      <c r="G70" s="1" t="n">
        <f aca="false">MAX(E70,F70)</f>
        <v>9</v>
      </c>
    </row>
    <row r="71" customFormat="false" ht="15" hidden="false" customHeight="false" outlineLevel="0" collapsed="false">
      <c r="C71" s="1" t="s">
        <v>70</v>
      </c>
      <c r="D71" s="1" t="n">
        <v>3</v>
      </c>
    </row>
    <row r="72" customFormat="false" ht="15" hidden="false" customHeight="false" outlineLevel="0" collapsed="false">
      <c r="F72" s="1" t="s">
        <v>9</v>
      </c>
      <c r="G72" s="1" t="n">
        <f aca="false">COUNTIF(G2:G71,"&gt;0")</f>
        <v>20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0" colorId="64" zoomScale="110" zoomScaleNormal="110" zoomScalePageLayoutView="100" workbookViewId="0">
      <selection pane="topLeft" activeCell="G22" activeCellId="0" sqref="G22"/>
    </sheetView>
  </sheetViews>
  <sheetFormatPr defaultColWidth="10.58203125" defaultRowHeight="15" zeroHeight="false" outlineLevelRow="0" outlineLevelCol="0"/>
  <cols>
    <col collapsed="false" customWidth="true" hidden="false" outlineLevel="0" max="3" min="2" style="1" width="18.16"/>
    <col collapsed="false" customWidth="true" hidden="false" outlineLevel="0" max="4" min="4" style="1" width="16.37"/>
  </cols>
  <sheetData>
    <row r="1" customFormat="false" ht="15" hidden="false" customHeight="false" outlineLevel="0" collapsed="false">
      <c r="A1" s="1" t="s">
        <v>0</v>
      </c>
      <c r="B1" s="2" t="s">
        <v>2</v>
      </c>
      <c r="C1" s="1" t="s">
        <v>2</v>
      </c>
      <c r="D1" s="1" t="s">
        <v>90</v>
      </c>
      <c r="E1" s="1" t="s">
        <v>83</v>
      </c>
      <c r="F1" s="1" t="s">
        <v>93</v>
      </c>
      <c r="G1" s="1" t="s">
        <v>92</v>
      </c>
    </row>
    <row r="2" customFormat="false" ht="15" hidden="false" customHeight="false" outlineLevel="0" collapsed="false">
      <c r="A2" s="1" t="n">
        <v>1</v>
      </c>
      <c r="B2" s="1" t="s">
        <v>12</v>
      </c>
      <c r="C2" s="1" t="s">
        <v>12</v>
      </c>
      <c r="D2" s="1" t="n">
        <v>8.9</v>
      </c>
      <c r="E2" s="1" t="n">
        <f aca="false">ROUND(AVERAGE(D2:D4),0)</f>
        <v>7</v>
      </c>
      <c r="F2" s="1" t="n">
        <v>8</v>
      </c>
      <c r="G2" s="1" t="n">
        <f aca="false">MAX(E2,F2)</f>
        <v>8</v>
      </c>
    </row>
    <row r="3" customFormat="false" ht="15" hidden="false" customHeight="false" outlineLevel="0" collapsed="false">
      <c r="C3" s="1" t="s">
        <v>12</v>
      </c>
      <c r="D3" s="1" t="n">
        <v>8</v>
      </c>
    </row>
    <row r="4" customFormat="false" ht="15" hidden="false" customHeight="false" outlineLevel="0" collapsed="false">
      <c r="C4" s="1" t="s">
        <v>12</v>
      </c>
      <c r="D4" s="1" t="n">
        <v>3</v>
      </c>
    </row>
    <row r="5" customFormat="false" ht="15" hidden="false" customHeight="false" outlineLevel="0" collapsed="false">
      <c r="A5" s="1" t="n">
        <v>2</v>
      </c>
      <c r="B5" s="1" t="s">
        <v>16</v>
      </c>
      <c r="D5" s="1" t="n">
        <v>1</v>
      </c>
      <c r="G5" s="1" t="n">
        <v>1</v>
      </c>
    </row>
    <row r="6" customFormat="false" ht="15" hidden="false" customHeight="false" outlineLevel="0" collapsed="false">
      <c r="A6" s="1" t="n">
        <v>3</v>
      </c>
      <c r="B6" s="1" t="s">
        <v>20</v>
      </c>
      <c r="D6" s="1" t="n">
        <v>1</v>
      </c>
      <c r="G6" s="1" t="n">
        <v>1</v>
      </c>
    </row>
    <row r="7" customFormat="false" ht="15" hidden="false" customHeight="false" outlineLevel="0" collapsed="false">
      <c r="A7" s="1" t="n">
        <v>4</v>
      </c>
      <c r="B7" s="1" t="s">
        <v>24</v>
      </c>
      <c r="D7" s="1" t="n">
        <v>1</v>
      </c>
      <c r="G7" s="1" t="n">
        <v>1</v>
      </c>
    </row>
    <row r="8" customFormat="false" ht="15" hidden="false" customHeight="false" outlineLevel="0" collapsed="false">
      <c r="A8" s="1" t="n">
        <v>5</v>
      </c>
      <c r="B8" s="1" t="s">
        <v>27</v>
      </c>
      <c r="D8" s="1" t="n">
        <v>1</v>
      </c>
      <c r="G8" s="1" t="n">
        <v>1</v>
      </c>
    </row>
    <row r="9" customFormat="false" ht="15" hidden="false" customHeight="false" outlineLevel="0" collapsed="false">
      <c r="A9" s="1" t="n">
        <v>6</v>
      </c>
      <c r="B9" s="1" t="s">
        <v>30</v>
      </c>
      <c r="D9" s="1" t="n">
        <v>1</v>
      </c>
      <c r="G9" s="1" t="n">
        <v>1</v>
      </c>
    </row>
    <row r="10" customFormat="false" ht="15" hidden="false" customHeight="false" outlineLevel="0" collapsed="false">
      <c r="A10" s="1" t="n">
        <v>7</v>
      </c>
      <c r="B10" s="1" t="s">
        <v>33</v>
      </c>
      <c r="D10" s="1" t="n">
        <v>1</v>
      </c>
      <c r="G10" s="1" t="n">
        <v>1</v>
      </c>
    </row>
    <row r="11" customFormat="false" ht="15" hidden="false" customHeight="false" outlineLevel="0" collapsed="false">
      <c r="A11" s="1" t="n">
        <v>8</v>
      </c>
      <c r="B11" s="1" t="s">
        <v>36</v>
      </c>
      <c r="D11" s="1" t="n">
        <v>1</v>
      </c>
      <c r="G11" s="1" t="n">
        <v>1</v>
      </c>
    </row>
    <row r="12" customFormat="false" ht="15" hidden="false" customHeight="false" outlineLevel="0" collapsed="false">
      <c r="A12" s="1" t="n">
        <v>9</v>
      </c>
      <c r="B12" s="1" t="s">
        <v>39</v>
      </c>
      <c r="D12" s="1" t="n">
        <v>1</v>
      </c>
      <c r="G12" s="1" t="n">
        <v>1</v>
      </c>
    </row>
    <row r="13" customFormat="false" ht="15" hidden="false" customHeight="false" outlineLevel="0" collapsed="false">
      <c r="A13" s="1" t="n">
        <v>10</v>
      </c>
      <c r="B13" s="1" t="s">
        <v>42</v>
      </c>
      <c r="D13" s="1" t="n">
        <v>1</v>
      </c>
      <c r="G13" s="1" t="n">
        <v>1</v>
      </c>
    </row>
    <row r="14" customFormat="false" ht="15" hidden="false" customHeight="false" outlineLevel="0" collapsed="false">
      <c r="A14" s="1" t="n">
        <v>11</v>
      </c>
      <c r="B14" s="1" t="s">
        <v>46</v>
      </c>
      <c r="D14" s="1" t="n">
        <v>1</v>
      </c>
      <c r="G14" s="1" t="n">
        <v>1</v>
      </c>
    </row>
    <row r="15" customFormat="false" ht="15" hidden="false" customHeight="false" outlineLevel="0" collapsed="false">
      <c r="A15" s="1" t="n">
        <v>12</v>
      </c>
      <c r="B15" s="1" t="s">
        <v>49</v>
      </c>
      <c r="D15" s="1" t="n">
        <v>1</v>
      </c>
      <c r="G15" s="1" t="n">
        <v>1</v>
      </c>
    </row>
    <row r="16" customFormat="false" ht="15" hidden="false" customHeight="false" outlineLevel="0" collapsed="false">
      <c r="A16" s="1" t="n">
        <v>13</v>
      </c>
      <c r="B16" s="1" t="s">
        <v>52</v>
      </c>
      <c r="D16" s="1" t="n">
        <v>1</v>
      </c>
      <c r="G16" s="1" t="n">
        <v>1</v>
      </c>
    </row>
    <row r="17" customFormat="false" ht="15" hidden="false" customHeight="false" outlineLevel="0" collapsed="false">
      <c r="A17" s="1" t="n">
        <v>14</v>
      </c>
      <c r="B17" s="1" t="s">
        <v>55</v>
      </c>
      <c r="C17" s="1" t="s">
        <v>55</v>
      </c>
      <c r="D17" s="1" t="n">
        <v>8.7</v>
      </c>
      <c r="G17" s="1" t="n">
        <v>8.7</v>
      </c>
    </row>
    <row r="18" customFormat="false" ht="15" hidden="false" customHeight="false" outlineLevel="0" collapsed="false">
      <c r="A18" s="1" t="n">
        <v>15</v>
      </c>
      <c r="B18" s="1" t="s">
        <v>58</v>
      </c>
      <c r="C18" s="1" t="s">
        <v>58</v>
      </c>
      <c r="D18" s="1" t="n">
        <v>6</v>
      </c>
      <c r="G18" s="1" t="n">
        <v>6</v>
      </c>
    </row>
    <row r="19" customFormat="false" ht="15" hidden="false" customHeight="false" outlineLevel="0" collapsed="false">
      <c r="A19" s="1" t="n">
        <v>16</v>
      </c>
      <c r="B19" s="1" t="s">
        <v>61</v>
      </c>
      <c r="C19" s="1" t="s">
        <v>61</v>
      </c>
      <c r="D19" s="1" t="n">
        <v>10</v>
      </c>
      <c r="E19" s="1" t="n">
        <f aca="false">ROUND(AVERAGE(D19:D21),0)</f>
        <v>8</v>
      </c>
      <c r="F19" s="1" t="n">
        <v>8</v>
      </c>
      <c r="G19" s="1" t="n">
        <f aca="false">MAX(E19,F19)</f>
        <v>8</v>
      </c>
    </row>
    <row r="20" customFormat="false" ht="15" hidden="false" customHeight="false" outlineLevel="0" collapsed="false">
      <c r="C20" s="1" t="s">
        <v>61</v>
      </c>
      <c r="D20" s="1" t="n">
        <v>7.9</v>
      </c>
    </row>
    <row r="21" customFormat="false" ht="15" hidden="false" customHeight="false" outlineLevel="0" collapsed="false">
      <c r="C21" s="1" t="s">
        <v>61</v>
      </c>
      <c r="D21" s="1" t="n">
        <v>6.9</v>
      </c>
    </row>
    <row r="22" customFormat="false" ht="15" hidden="false" customHeight="false" outlineLevel="0" collapsed="false">
      <c r="A22" s="1" t="n">
        <v>17</v>
      </c>
      <c r="B22" s="1" t="s">
        <v>64</v>
      </c>
      <c r="C22" s="1" t="s">
        <v>64</v>
      </c>
      <c r="D22" s="1" t="n">
        <v>8</v>
      </c>
      <c r="E22" s="1" t="n">
        <f aca="false">ROUND(AVERAGE(D22:D23),0)</f>
        <v>8</v>
      </c>
      <c r="F22" s="1" t="n">
        <v>8</v>
      </c>
      <c r="G22" s="1" t="n">
        <f aca="false">MAX(E22,F22)</f>
        <v>8</v>
      </c>
    </row>
    <row r="23" customFormat="false" ht="15" hidden="false" customHeight="false" outlineLevel="0" collapsed="false">
      <c r="C23" s="1" t="s">
        <v>64</v>
      </c>
      <c r="D23" s="1" t="n">
        <v>7.9</v>
      </c>
    </row>
    <row r="24" customFormat="false" ht="15" hidden="false" customHeight="false" outlineLevel="0" collapsed="false">
      <c r="A24" s="1" t="n">
        <v>18</v>
      </c>
      <c r="B24" s="1" t="s">
        <v>66</v>
      </c>
      <c r="C24" s="1" t="s">
        <v>66</v>
      </c>
      <c r="D24" s="1" t="n">
        <v>0</v>
      </c>
      <c r="G24" s="1" t="n">
        <v>1</v>
      </c>
    </row>
    <row r="25" customFormat="false" ht="15" hidden="false" customHeight="false" outlineLevel="0" collapsed="false">
      <c r="A25" s="1" t="n">
        <v>19</v>
      </c>
      <c r="B25" s="1" t="s">
        <v>68</v>
      </c>
      <c r="D25" s="1" t="n">
        <v>1</v>
      </c>
      <c r="G25" s="1" t="n">
        <v>1</v>
      </c>
    </row>
    <row r="26" customFormat="false" ht="15" hidden="false" customHeight="false" outlineLevel="0" collapsed="false">
      <c r="A26" s="1" t="n">
        <v>20</v>
      </c>
      <c r="B26" s="1" t="s">
        <v>70</v>
      </c>
      <c r="D26" s="1" t="n">
        <v>1</v>
      </c>
      <c r="G26" s="1" t="n">
        <v>1</v>
      </c>
    </row>
    <row r="27" customFormat="false" ht="15" hidden="false" customHeight="false" outlineLevel="0" collapsed="false">
      <c r="F27" s="1" t="s">
        <v>9</v>
      </c>
      <c r="G27" s="1" t="n">
        <f aca="false">COUNTIF(G2:G26,"&gt;0")</f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G33" activeCellId="0" sqref="G33"/>
    </sheetView>
  </sheetViews>
  <sheetFormatPr defaultColWidth="10.58203125" defaultRowHeight="12.8" zeroHeight="false" outlineLevelRow="0" outlineLevelCol="0"/>
  <cols>
    <col collapsed="false" customWidth="true" hidden="false" outlineLevel="0" max="1" min="1" style="1" width="4.25"/>
    <col collapsed="false" customWidth="true" hidden="false" outlineLevel="0" max="2" min="2" style="1" width="18.92"/>
    <col collapsed="false" customWidth="true" hidden="false" outlineLevel="0" max="3" min="3" style="1" width="18.16"/>
    <col collapsed="false" customWidth="true" hidden="false" outlineLevel="0" max="4" min="4" style="1" width="16.37"/>
  </cols>
  <sheetData>
    <row r="1" customFormat="false" ht="15" hidden="false" customHeight="false" outlineLevel="0" collapsed="false">
      <c r="A1" s="1" t="s">
        <v>0</v>
      </c>
      <c r="C1" s="1" t="s">
        <v>2</v>
      </c>
      <c r="D1" s="1" t="s">
        <v>90</v>
      </c>
      <c r="E1" s="1" t="s">
        <v>83</v>
      </c>
      <c r="F1" s="1" t="s">
        <v>93</v>
      </c>
      <c r="G1" s="1" t="s">
        <v>92</v>
      </c>
    </row>
    <row r="2" customFormat="false" ht="15" hidden="false" customHeight="false" outlineLevel="0" collapsed="false">
      <c r="A2" s="1" t="n">
        <v>1</v>
      </c>
      <c r="B2" s="1" t="s">
        <v>12</v>
      </c>
      <c r="C2" s="1" t="s">
        <v>12</v>
      </c>
      <c r="D2" s="1" t="n">
        <v>10</v>
      </c>
      <c r="E2" s="1" t="n">
        <f aca="false">ROUND(AVERAGE(D2:D3),0)</f>
        <v>10</v>
      </c>
      <c r="F2" s="1" t="n">
        <v>9</v>
      </c>
      <c r="G2" s="1" t="n">
        <f aca="false">MAX(E2,F2)</f>
        <v>10</v>
      </c>
    </row>
    <row r="3" customFormat="false" ht="15" hidden="false" customHeight="false" outlineLevel="0" collapsed="false">
      <c r="C3" s="1" t="s">
        <v>12</v>
      </c>
      <c r="D3" s="1" t="n">
        <v>9</v>
      </c>
    </row>
    <row r="4" customFormat="false" ht="15" hidden="false" customHeight="false" outlineLevel="0" collapsed="false">
      <c r="A4" s="1" t="n">
        <v>2</v>
      </c>
      <c r="B4" s="1" t="s">
        <v>16</v>
      </c>
      <c r="C4" s="1" t="s">
        <v>16</v>
      </c>
      <c r="D4" s="1" t="n">
        <v>10</v>
      </c>
      <c r="G4" s="1" t="n">
        <v>10</v>
      </c>
    </row>
    <row r="5" customFormat="false" ht="15" hidden="false" customHeight="false" outlineLevel="0" collapsed="false">
      <c r="A5" s="1" t="n">
        <v>3</v>
      </c>
      <c r="B5" s="1" t="s">
        <v>20</v>
      </c>
      <c r="C5" s="1" t="s">
        <v>20</v>
      </c>
      <c r="D5" s="1" t="n">
        <v>9</v>
      </c>
      <c r="G5" s="1" t="n">
        <v>9</v>
      </c>
    </row>
    <row r="6" customFormat="false" ht="15" hidden="false" customHeight="false" outlineLevel="0" collapsed="false">
      <c r="A6" s="1" t="n">
        <v>4</v>
      </c>
      <c r="B6" s="1" t="s">
        <v>24</v>
      </c>
      <c r="D6" s="1" t="n">
        <v>1</v>
      </c>
      <c r="G6" s="1" t="n">
        <v>1</v>
      </c>
    </row>
    <row r="7" customFormat="false" ht="15" hidden="false" customHeight="false" outlineLevel="0" collapsed="false">
      <c r="A7" s="1" t="n">
        <v>5</v>
      </c>
      <c r="B7" s="1" t="s">
        <v>27</v>
      </c>
      <c r="C7" s="1" t="s">
        <v>27</v>
      </c>
      <c r="D7" s="1" t="n">
        <v>10</v>
      </c>
      <c r="E7" s="1" t="n">
        <f aca="false">ROUND(AVERAGE(D7:D8),0)</f>
        <v>10</v>
      </c>
      <c r="F7" s="1" t="n">
        <v>9</v>
      </c>
      <c r="G7" s="1" t="n">
        <f aca="false">MAX(E7,F7)</f>
        <v>10</v>
      </c>
    </row>
    <row r="8" customFormat="false" ht="15" hidden="false" customHeight="false" outlineLevel="0" collapsed="false">
      <c r="C8" s="1" t="s">
        <v>27</v>
      </c>
      <c r="D8" s="1" t="n">
        <v>9</v>
      </c>
    </row>
    <row r="9" customFormat="false" ht="15" hidden="false" customHeight="false" outlineLevel="0" collapsed="false">
      <c r="A9" s="1" t="n">
        <v>6</v>
      </c>
      <c r="B9" s="1" t="s">
        <v>30</v>
      </c>
      <c r="D9" s="1" t="n">
        <v>1</v>
      </c>
      <c r="G9" s="1" t="n">
        <v>1</v>
      </c>
    </row>
    <row r="10" customFormat="false" ht="15" hidden="false" customHeight="false" outlineLevel="0" collapsed="false">
      <c r="A10" s="1" t="n">
        <v>7</v>
      </c>
      <c r="B10" s="1" t="s">
        <v>33</v>
      </c>
      <c r="D10" s="1" t="n">
        <v>1</v>
      </c>
      <c r="G10" s="1" t="n">
        <v>1</v>
      </c>
    </row>
    <row r="11" customFormat="false" ht="15" hidden="false" customHeight="false" outlineLevel="0" collapsed="false">
      <c r="A11" s="1" t="n">
        <v>8</v>
      </c>
      <c r="B11" s="1" t="s">
        <v>36</v>
      </c>
      <c r="D11" s="1" t="n">
        <v>1</v>
      </c>
      <c r="G11" s="1" t="n">
        <v>1</v>
      </c>
    </row>
    <row r="12" customFormat="false" ht="15" hidden="false" customHeight="false" outlineLevel="0" collapsed="false">
      <c r="A12" s="1" t="n">
        <v>9</v>
      </c>
      <c r="B12" s="1" t="s">
        <v>39</v>
      </c>
      <c r="C12" s="1" t="s">
        <v>39</v>
      </c>
      <c r="D12" s="1" t="n">
        <v>10</v>
      </c>
      <c r="G12" s="1" t="n">
        <v>10</v>
      </c>
    </row>
    <row r="13" customFormat="false" ht="15" hidden="false" customHeight="false" outlineLevel="0" collapsed="false">
      <c r="A13" s="1" t="n">
        <v>10</v>
      </c>
      <c r="B13" s="1" t="s">
        <v>42</v>
      </c>
      <c r="C13" s="1" t="s">
        <v>42</v>
      </c>
      <c r="D13" s="1" t="n">
        <v>10</v>
      </c>
      <c r="E13" s="1" t="n">
        <f aca="false">ROUND(AVERAGE(D13:D17),0)</f>
        <v>9</v>
      </c>
      <c r="F13" s="1" t="n">
        <v>9</v>
      </c>
      <c r="G13" s="1" t="n">
        <f aca="false">MAX(E13,F13)</f>
        <v>9</v>
      </c>
    </row>
    <row r="14" customFormat="false" ht="15" hidden="false" customHeight="false" outlineLevel="0" collapsed="false">
      <c r="C14" s="1" t="s">
        <v>42</v>
      </c>
      <c r="D14" s="1" t="n">
        <v>9</v>
      </c>
    </row>
    <row r="15" customFormat="false" ht="15" hidden="false" customHeight="false" outlineLevel="0" collapsed="false">
      <c r="C15" s="1" t="s">
        <v>42</v>
      </c>
      <c r="D15" s="1" t="n">
        <v>9</v>
      </c>
    </row>
    <row r="16" customFormat="false" ht="15" hidden="false" customHeight="false" outlineLevel="0" collapsed="false">
      <c r="C16" s="1" t="s">
        <v>42</v>
      </c>
      <c r="D16" s="1" t="n">
        <v>9</v>
      </c>
    </row>
    <row r="17" customFormat="false" ht="15" hidden="false" customHeight="false" outlineLevel="0" collapsed="false">
      <c r="C17" s="1" t="s">
        <v>42</v>
      </c>
      <c r="D17" s="1" t="n">
        <v>7</v>
      </c>
    </row>
    <row r="18" customFormat="false" ht="15" hidden="false" customHeight="false" outlineLevel="0" collapsed="false">
      <c r="A18" s="1" t="n">
        <v>11</v>
      </c>
      <c r="B18" s="1" t="s">
        <v>46</v>
      </c>
      <c r="C18" s="1" t="s">
        <v>46</v>
      </c>
      <c r="D18" s="1" t="n">
        <v>10</v>
      </c>
      <c r="G18" s="1" t="n">
        <v>10</v>
      </c>
    </row>
    <row r="19" customFormat="false" ht="15" hidden="false" customHeight="false" outlineLevel="0" collapsed="false">
      <c r="A19" s="1" t="n">
        <v>12</v>
      </c>
      <c r="B19" s="1" t="s">
        <v>49</v>
      </c>
      <c r="C19" s="1" t="s">
        <v>49</v>
      </c>
      <c r="D19" s="1" t="n">
        <v>10</v>
      </c>
      <c r="G19" s="1" t="n">
        <v>10</v>
      </c>
    </row>
    <row r="20" customFormat="false" ht="15" hidden="false" customHeight="false" outlineLevel="0" collapsed="false">
      <c r="A20" s="1" t="n">
        <v>13</v>
      </c>
      <c r="B20" s="1" t="s">
        <v>52</v>
      </c>
      <c r="C20" s="1" t="s">
        <v>52</v>
      </c>
      <c r="D20" s="1" t="n">
        <v>10</v>
      </c>
      <c r="G20" s="1" t="n">
        <v>10</v>
      </c>
    </row>
    <row r="21" customFormat="false" ht="15" hidden="false" customHeight="false" outlineLevel="0" collapsed="false">
      <c r="A21" s="1" t="n">
        <v>14</v>
      </c>
      <c r="B21" s="1" t="s">
        <v>55</v>
      </c>
      <c r="C21" s="1" t="s">
        <v>55</v>
      </c>
      <c r="D21" s="1" t="n">
        <v>10</v>
      </c>
      <c r="E21" s="1" t="n">
        <f aca="false">ROUND(AVERAGE(D21:D23),0)</f>
        <v>9</v>
      </c>
      <c r="F21" s="1" t="n">
        <v>9</v>
      </c>
      <c r="G21" s="1" t="n">
        <f aca="false">MAX(E21,F21)</f>
        <v>9</v>
      </c>
    </row>
    <row r="22" customFormat="false" ht="15" hidden="false" customHeight="false" outlineLevel="0" collapsed="false">
      <c r="C22" s="1" t="s">
        <v>55</v>
      </c>
      <c r="D22" s="1" t="n">
        <v>9</v>
      </c>
    </row>
    <row r="23" customFormat="false" ht="15" hidden="false" customHeight="false" outlineLevel="0" collapsed="false">
      <c r="C23" s="1" t="s">
        <v>55</v>
      </c>
      <c r="D23" s="1" t="n">
        <v>9</v>
      </c>
    </row>
    <row r="24" customFormat="false" ht="15" hidden="false" customHeight="false" outlineLevel="0" collapsed="false">
      <c r="A24" s="1" t="n">
        <v>15</v>
      </c>
      <c r="B24" s="1" t="s">
        <v>58</v>
      </c>
      <c r="C24" s="1" t="s">
        <v>58</v>
      </c>
      <c r="D24" s="1" t="n">
        <v>10</v>
      </c>
      <c r="G24" s="1" t="n">
        <v>10</v>
      </c>
    </row>
    <row r="25" customFormat="false" ht="15" hidden="false" customHeight="false" outlineLevel="0" collapsed="false">
      <c r="A25" s="1" t="n">
        <v>16</v>
      </c>
      <c r="B25" s="1" t="s">
        <v>61</v>
      </c>
      <c r="C25" s="1" t="s">
        <v>61</v>
      </c>
      <c r="D25" s="1" t="n">
        <v>10</v>
      </c>
      <c r="G25" s="1" t="n">
        <v>10</v>
      </c>
    </row>
    <row r="26" customFormat="false" ht="15" hidden="false" customHeight="false" outlineLevel="0" collapsed="false">
      <c r="A26" s="1" t="n">
        <v>17</v>
      </c>
      <c r="B26" s="1" t="s">
        <v>64</v>
      </c>
      <c r="C26" s="1" t="s">
        <v>64</v>
      </c>
      <c r="D26" s="1" t="n">
        <v>10</v>
      </c>
      <c r="E26" s="1" t="n">
        <f aca="false">ROUND(AVERAGE(D26:D28),0)</f>
        <v>9</v>
      </c>
      <c r="F26" s="1" t="n">
        <v>9</v>
      </c>
      <c r="G26" s="1" t="n">
        <f aca="false">MAX(E26,F26)</f>
        <v>9</v>
      </c>
    </row>
    <row r="27" customFormat="false" ht="15" hidden="false" customHeight="false" outlineLevel="0" collapsed="false">
      <c r="C27" s="1" t="s">
        <v>64</v>
      </c>
      <c r="D27" s="1" t="n">
        <v>9</v>
      </c>
    </row>
    <row r="28" customFormat="false" ht="15" hidden="false" customHeight="false" outlineLevel="0" collapsed="false">
      <c r="C28" s="1" t="s">
        <v>64</v>
      </c>
      <c r="D28" s="1" t="n">
        <v>8</v>
      </c>
    </row>
    <row r="29" customFormat="false" ht="15" hidden="false" customHeight="false" outlineLevel="0" collapsed="false">
      <c r="A29" s="1" t="n">
        <v>18</v>
      </c>
      <c r="B29" s="1" t="s">
        <v>66</v>
      </c>
      <c r="C29" s="1" t="s">
        <v>66</v>
      </c>
      <c r="D29" s="1" t="n">
        <v>10</v>
      </c>
      <c r="E29" s="1" t="n">
        <f aca="false">ROUND(AVERAGE(D29:D31),0)</f>
        <v>9</v>
      </c>
      <c r="F29" s="1" t="n">
        <v>9</v>
      </c>
      <c r="G29" s="1" t="n">
        <f aca="false">MAX(E29,F29)</f>
        <v>9</v>
      </c>
    </row>
    <row r="30" customFormat="false" ht="15" hidden="false" customHeight="false" outlineLevel="0" collapsed="false">
      <c r="C30" s="1" t="s">
        <v>66</v>
      </c>
      <c r="D30" s="1" t="n">
        <v>9</v>
      </c>
    </row>
    <row r="31" customFormat="false" ht="15" hidden="false" customHeight="false" outlineLevel="0" collapsed="false">
      <c r="C31" s="1" t="s">
        <v>66</v>
      </c>
      <c r="D31" s="1" t="n">
        <v>7</v>
      </c>
    </row>
    <row r="32" customFormat="false" ht="15" hidden="false" customHeight="false" outlineLevel="0" collapsed="false">
      <c r="A32" s="1" t="n">
        <v>19</v>
      </c>
      <c r="B32" s="1" t="s">
        <v>68</v>
      </c>
      <c r="C32" s="1" t="s">
        <v>68</v>
      </c>
      <c r="D32" s="1" t="n">
        <v>10</v>
      </c>
      <c r="G32" s="1" t="n">
        <v>10</v>
      </c>
    </row>
    <row r="33" customFormat="false" ht="15" hidden="false" customHeight="false" outlineLevel="0" collapsed="false">
      <c r="A33" s="1" t="n">
        <v>20</v>
      </c>
      <c r="B33" s="1" t="s">
        <v>70</v>
      </c>
      <c r="C33" s="1" t="s">
        <v>70</v>
      </c>
      <c r="D33" s="1" t="n">
        <v>10</v>
      </c>
      <c r="G33" s="1" t="n">
        <v>10</v>
      </c>
    </row>
    <row r="34" customFormat="false" ht="15" hidden="false" customHeight="false" outlineLevel="0" collapsed="false">
      <c r="F34" s="1" t="s">
        <v>9</v>
      </c>
      <c r="G34" s="1" t="n">
        <f aca="false">COUNTIF(G2:G33,"&gt;0")</f>
        <v>20</v>
      </c>
    </row>
    <row r="35" customFormat="false" ht="15" hidden="false" customHeight="false" outlineLevel="0" collapsed="false"/>
    <row r="36" customFormat="false" ht="15" hidden="false" customHeight="false" outlineLevel="0" collapsed="false"/>
    <row r="37" customFormat="false" ht="15" hidden="false" customHeight="false" outlineLevel="0" collapsed="false"/>
    <row r="38" customFormat="false" ht="15" hidden="false" customHeight="false" outlineLevel="0" collapsed="false"/>
    <row r="39" customFormat="false" ht="15" hidden="false" customHeight="false" outlineLevel="0" collapsed="false"/>
    <row r="40" customFormat="false" ht="15" hidden="false" customHeight="false" outlineLevel="0" collapsed="false"/>
    <row r="41" customFormat="false" ht="15" hidden="false" customHeight="false" outlineLevel="0" collapsed="false"/>
    <row r="42" customFormat="false" ht="15" hidden="false" customHeight="false" outlineLevel="0" collapsed="false"/>
    <row r="43" customFormat="false" ht="15" hidden="false" customHeight="false" outlineLevel="0" collapsed="false"/>
    <row r="44" customFormat="false" ht="15" hidden="false" customHeight="false" outlineLevel="0" collapsed="false"/>
    <row r="45" customFormat="false" ht="15" hidden="false" customHeight="false" outlineLevel="0" collapsed="false"/>
    <row r="46" customFormat="false" ht="15" hidden="false" customHeight="false" outlineLevel="0" collapsed="false"/>
    <row r="47" customFormat="false" ht="15" hidden="false" customHeight="false" outlineLevel="0" collapsed="false"/>
    <row r="48" customFormat="false" ht="15" hidden="false" customHeight="false" outlineLevel="0" collapsed="false"/>
    <row r="49" customFormat="false" ht="15" hidden="false" customHeight="false" outlineLevel="0" collapsed="false"/>
    <row r="50" customFormat="false" ht="15" hidden="false" customHeight="false" outlineLevel="0" collapsed="false"/>
    <row r="51" customFormat="false" ht="15" hidden="false" customHeight="false" outlineLevel="0" collapsed="false"/>
    <row r="52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G22" activeCellId="0" sqref="G22"/>
    </sheetView>
  </sheetViews>
  <sheetFormatPr defaultColWidth="10.58203125" defaultRowHeight="12.8" zeroHeight="false" outlineLevelRow="0" outlineLevelCol="0"/>
  <cols>
    <col collapsed="false" customWidth="true" hidden="false" outlineLevel="0" max="2" min="2" style="1" width="18.92"/>
    <col collapsed="false" customWidth="true" hidden="false" outlineLevel="0" max="3" min="3" style="1" width="18.16"/>
    <col collapsed="false" customWidth="true" hidden="false" outlineLevel="0" max="4" min="4" style="1" width="16.37"/>
  </cols>
  <sheetData>
    <row r="1" customFormat="false" ht="15" hidden="false" customHeight="false" outlineLevel="0" collapsed="false">
      <c r="B1" s="2" t="s">
        <v>2</v>
      </c>
      <c r="C1" s="1" t="s">
        <v>2</v>
      </c>
      <c r="D1" s="1" t="s">
        <v>90</v>
      </c>
      <c r="E1" s="1" t="s">
        <v>83</v>
      </c>
      <c r="F1" s="1" t="s">
        <v>93</v>
      </c>
      <c r="G1" s="1" t="s">
        <v>92</v>
      </c>
    </row>
    <row r="2" customFormat="false" ht="15" hidden="false" customHeight="false" outlineLevel="0" collapsed="false">
      <c r="A2" s="1" t="n">
        <v>1</v>
      </c>
      <c r="B2" s="1" t="s">
        <v>12</v>
      </c>
      <c r="C2" s="1" t="s">
        <v>12</v>
      </c>
      <c r="D2" s="1" t="n">
        <v>9</v>
      </c>
      <c r="G2" s="1" t="n">
        <v>9</v>
      </c>
    </row>
    <row r="3" customFormat="false" ht="15" hidden="false" customHeight="false" outlineLevel="0" collapsed="false">
      <c r="A3" s="1" t="n">
        <v>2</v>
      </c>
      <c r="B3" s="1" t="s">
        <v>16</v>
      </c>
      <c r="C3" s="1" t="s">
        <v>16</v>
      </c>
      <c r="D3" s="1" t="n">
        <v>7</v>
      </c>
      <c r="G3" s="1" t="n">
        <v>7</v>
      </c>
    </row>
    <row r="4" customFormat="false" ht="15" hidden="false" customHeight="false" outlineLevel="0" collapsed="false">
      <c r="A4" s="1" t="n">
        <v>3</v>
      </c>
      <c r="B4" s="1" t="s">
        <v>20</v>
      </c>
      <c r="C4" s="1" t="s">
        <v>20</v>
      </c>
      <c r="D4" s="1" t="n">
        <v>7</v>
      </c>
      <c r="G4" s="1" t="n">
        <v>7</v>
      </c>
    </row>
    <row r="5" customFormat="false" ht="15" hidden="false" customHeight="false" outlineLevel="0" collapsed="false">
      <c r="A5" s="1" t="n">
        <v>4</v>
      </c>
      <c r="B5" s="1" t="s">
        <v>24</v>
      </c>
      <c r="C5" s="1" t="s">
        <v>24</v>
      </c>
      <c r="D5" s="1" t="n">
        <v>8</v>
      </c>
      <c r="G5" s="1" t="n">
        <v>8</v>
      </c>
    </row>
    <row r="6" customFormat="false" ht="15" hidden="false" customHeight="false" outlineLevel="0" collapsed="false">
      <c r="A6" s="1" t="n">
        <v>5</v>
      </c>
      <c r="B6" s="1" t="s">
        <v>27</v>
      </c>
      <c r="C6" s="1" t="s">
        <v>27</v>
      </c>
      <c r="D6" s="1" t="n">
        <v>8</v>
      </c>
      <c r="G6" s="1" t="n">
        <v>8</v>
      </c>
    </row>
    <row r="7" customFormat="false" ht="15" hidden="false" customHeight="false" outlineLevel="0" collapsed="false">
      <c r="A7" s="1" t="n">
        <v>6</v>
      </c>
      <c r="B7" s="1" t="s">
        <v>30</v>
      </c>
      <c r="C7" s="1" t="s">
        <v>30</v>
      </c>
      <c r="D7" s="1" t="n">
        <v>10</v>
      </c>
      <c r="G7" s="1" t="n">
        <v>10</v>
      </c>
    </row>
    <row r="8" customFormat="false" ht="15" hidden="false" customHeight="false" outlineLevel="0" collapsed="false">
      <c r="A8" s="1" t="n">
        <v>7</v>
      </c>
      <c r="B8" s="1" t="s">
        <v>33</v>
      </c>
      <c r="C8" s="1" t="s">
        <v>33</v>
      </c>
      <c r="D8" s="1" t="n">
        <v>1</v>
      </c>
      <c r="G8" s="1" t="n">
        <v>1</v>
      </c>
    </row>
    <row r="9" customFormat="false" ht="15" hidden="false" customHeight="false" outlineLevel="0" collapsed="false">
      <c r="A9" s="1" t="n">
        <v>8</v>
      </c>
      <c r="B9" s="1" t="s">
        <v>36</v>
      </c>
      <c r="D9" s="1" t="n">
        <v>1</v>
      </c>
      <c r="G9" s="1" t="n">
        <v>1</v>
      </c>
    </row>
    <row r="10" customFormat="false" ht="15" hidden="false" customHeight="false" outlineLevel="0" collapsed="false">
      <c r="A10" s="1" t="n">
        <v>9</v>
      </c>
      <c r="B10" s="1" t="s">
        <v>39</v>
      </c>
      <c r="C10" s="1" t="s">
        <v>39</v>
      </c>
      <c r="D10" s="1" t="n">
        <v>9</v>
      </c>
      <c r="G10" s="1" t="n">
        <v>9</v>
      </c>
    </row>
    <row r="11" customFormat="false" ht="15" hidden="false" customHeight="false" outlineLevel="0" collapsed="false">
      <c r="A11" s="1" t="n">
        <v>10</v>
      </c>
      <c r="B11" s="1" t="s">
        <v>42</v>
      </c>
      <c r="C11" s="1" t="s">
        <v>42</v>
      </c>
      <c r="D11" s="1" t="n">
        <v>8</v>
      </c>
      <c r="E11" s="1" t="n">
        <f aca="false">ROUND(AVERAGE(D11:D12),0)</f>
        <v>6</v>
      </c>
      <c r="F11" s="1" t="n">
        <v>4</v>
      </c>
      <c r="G11" s="1" t="n">
        <f aca="false">MAX(E11,F11)</f>
        <v>6</v>
      </c>
    </row>
    <row r="12" customFormat="false" ht="15" hidden="false" customHeight="false" outlineLevel="0" collapsed="false">
      <c r="C12" s="1" t="s">
        <v>42</v>
      </c>
      <c r="D12" s="1" t="n">
        <v>4</v>
      </c>
    </row>
    <row r="13" customFormat="false" ht="15" hidden="false" customHeight="false" outlineLevel="0" collapsed="false">
      <c r="A13" s="1" t="n">
        <v>11</v>
      </c>
      <c r="B13" s="1" t="s">
        <v>46</v>
      </c>
      <c r="C13" s="1" t="s">
        <v>46</v>
      </c>
      <c r="D13" s="1" t="n">
        <v>10</v>
      </c>
      <c r="G13" s="1" t="n">
        <v>10</v>
      </c>
    </row>
    <row r="14" customFormat="false" ht="15" hidden="false" customHeight="false" outlineLevel="0" collapsed="false">
      <c r="A14" s="1" t="n">
        <v>12</v>
      </c>
      <c r="B14" s="1" t="s">
        <v>49</v>
      </c>
      <c r="D14" s="1" t="n">
        <v>1</v>
      </c>
      <c r="G14" s="1" t="n">
        <v>1</v>
      </c>
    </row>
    <row r="15" customFormat="false" ht="15" hidden="false" customHeight="false" outlineLevel="0" collapsed="false">
      <c r="A15" s="1" t="n">
        <v>13</v>
      </c>
      <c r="B15" s="1" t="s">
        <v>52</v>
      </c>
      <c r="C15" s="1" t="s">
        <v>52</v>
      </c>
      <c r="D15" s="1" t="n">
        <v>10</v>
      </c>
      <c r="G15" s="1" t="n">
        <v>10</v>
      </c>
    </row>
    <row r="16" customFormat="false" ht="15" hidden="false" customHeight="false" outlineLevel="0" collapsed="false">
      <c r="A16" s="1" t="n">
        <v>14</v>
      </c>
      <c r="B16" s="1" t="s">
        <v>55</v>
      </c>
      <c r="C16" s="1" t="s">
        <v>55</v>
      </c>
      <c r="D16" s="1" t="n">
        <v>10</v>
      </c>
      <c r="G16" s="1" t="n">
        <v>10</v>
      </c>
    </row>
    <row r="17" customFormat="false" ht="15" hidden="false" customHeight="false" outlineLevel="0" collapsed="false">
      <c r="A17" s="1" t="n">
        <v>15</v>
      </c>
      <c r="B17" s="1" t="s">
        <v>58</v>
      </c>
      <c r="C17" s="1" t="s">
        <v>58</v>
      </c>
      <c r="D17" s="1" t="n">
        <v>1</v>
      </c>
      <c r="G17" s="1" t="n">
        <v>1</v>
      </c>
    </row>
    <row r="18" customFormat="false" ht="15" hidden="false" customHeight="false" outlineLevel="0" collapsed="false">
      <c r="A18" s="1" t="n">
        <v>16</v>
      </c>
      <c r="B18" s="1" t="s">
        <v>61</v>
      </c>
      <c r="C18" s="1" t="s">
        <v>61</v>
      </c>
      <c r="D18" s="1" t="n">
        <v>10</v>
      </c>
      <c r="G18" s="1" t="n">
        <v>10</v>
      </c>
    </row>
    <row r="19" customFormat="false" ht="15" hidden="false" customHeight="false" outlineLevel="0" collapsed="false">
      <c r="A19" s="1" t="n">
        <v>17</v>
      </c>
      <c r="B19" s="1" t="s">
        <v>64</v>
      </c>
      <c r="C19" s="1" t="s">
        <v>64</v>
      </c>
      <c r="D19" s="1" t="n">
        <v>9</v>
      </c>
      <c r="G19" s="1" t="n">
        <v>9</v>
      </c>
    </row>
    <row r="20" customFormat="false" ht="15" hidden="false" customHeight="false" outlineLevel="0" collapsed="false">
      <c r="A20" s="1" t="n">
        <v>18</v>
      </c>
      <c r="B20" s="1" t="s">
        <v>66</v>
      </c>
      <c r="C20" s="1" t="s">
        <v>66</v>
      </c>
      <c r="D20" s="1" t="n">
        <v>1</v>
      </c>
      <c r="G20" s="1" t="n">
        <v>1</v>
      </c>
    </row>
    <row r="21" customFormat="false" ht="15" hidden="false" customHeight="false" outlineLevel="0" collapsed="false">
      <c r="A21" s="1" t="n">
        <v>19</v>
      </c>
      <c r="B21" s="1" t="s">
        <v>68</v>
      </c>
      <c r="D21" s="1" t="n">
        <v>1</v>
      </c>
      <c r="G21" s="1" t="n">
        <v>1</v>
      </c>
    </row>
    <row r="22" customFormat="false" ht="15" hidden="false" customHeight="false" outlineLevel="0" collapsed="false">
      <c r="A22" s="1" t="n">
        <v>20</v>
      </c>
      <c r="B22" s="1" t="s">
        <v>70</v>
      </c>
      <c r="C22" s="1" t="s">
        <v>70</v>
      </c>
      <c r="D22" s="1" t="n">
        <v>3</v>
      </c>
      <c r="G22" s="1" t="n">
        <v>3</v>
      </c>
    </row>
    <row r="23" customFormat="false" ht="15" hidden="false" customHeight="false" outlineLevel="0" collapsed="false">
      <c r="F23" s="1" t="s">
        <v>9</v>
      </c>
      <c r="G23" s="1" t="n">
        <f aca="false">COUNTIF(G2:G22,"&gt;0")</f>
        <v>20</v>
      </c>
    </row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" hidden="false" customHeight="false" outlineLevel="0" collapsed="false"/>
    <row r="27" customFormat="false" ht="15" hidden="false" customHeight="false" outlineLevel="0" collapsed="false"/>
    <row r="28" customFormat="false" ht="15" hidden="false" customHeight="false" outlineLevel="0" collapsed="false"/>
    <row r="29" customFormat="false" ht="15" hidden="false" customHeight="false" outlineLevel="0" collapsed="false"/>
    <row r="30" customFormat="false" ht="15" hidden="false" customHeight="false" outlineLevel="0" collapsed="false"/>
    <row r="31" customFormat="false" ht="15" hidden="false" customHeight="false" outlineLevel="0" collapsed="false"/>
    <row r="32" customFormat="false" ht="15" hidden="false" customHeight="false" outlineLevel="0" collapsed="false"/>
    <row r="33" customFormat="false" ht="15" hidden="false" customHeight="false" outlineLevel="0" collapsed="false"/>
    <row r="34" customFormat="false" ht="15" hidden="false" customHeight="false" outlineLevel="0" collapsed="false"/>
    <row r="35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2" activeCellId="0" sqref="E2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4.25"/>
    <col collapsed="false" customWidth="true" hidden="false" outlineLevel="0" max="3" min="2" style="1" width="18.92"/>
    <col collapsed="false" customWidth="true" hidden="false" outlineLevel="0" max="4" min="4" style="1" width="5.02"/>
  </cols>
  <sheetData>
    <row r="1" customFormat="false" ht="15" hidden="false" customHeight="false" outlineLevel="0" collapsed="false">
      <c r="A1" s="1" t="s">
        <v>0</v>
      </c>
      <c r="B1" s="2" t="s">
        <v>2</v>
      </c>
      <c r="C1" s="1" t="s">
        <v>2</v>
      </c>
      <c r="D1" s="1" t="s">
        <v>90</v>
      </c>
    </row>
    <row r="2" customFormat="false" ht="15" hidden="false" customHeight="false" outlineLevel="0" collapsed="false">
      <c r="A2" s="1" t="n">
        <v>1</v>
      </c>
      <c r="B2" s="1" t="s">
        <v>12</v>
      </c>
      <c r="C2" s="1" t="s">
        <v>12</v>
      </c>
      <c r="D2" s="1" t="n">
        <v>6.48</v>
      </c>
      <c r="E2" s="1" t="n">
        <f aca="false">_xlfn.FLOOR.MATH(D2,1)</f>
        <v>6</v>
      </c>
    </row>
    <row r="3" customFormat="false" ht="15" hidden="false" customHeight="false" outlineLevel="0" collapsed="false">
      <c r="A3" s="1" t="n">
        <v>2</v>
      </c>
      <c r="B3" s="1" t="s">
        <v>16</v>
      </c>
      <c r="C3" s="1" t="s">
        <v>16</v>
      </c>
      <c r="D3" s="1" t="n">
        <v>5.5</v>
      </c>
      <c r="E3" s="1" t="n">
        <f aca="false">_xlfn.FLOOR.MATH(D3,1)</f>
        <v>5</v>
      </c>
    </row>
    <row r="4" customFormat="false" ht="15" hidden="false" customHeight="false" outlineLevel="0" collapsed="false">
      <c r="A4" s="1" t="n">
        <v>3</v>
      </c>
      <c r="B4" s="1" t="s">
        <v>20</v>
      </c>
      <c r="C4" s="1" t="s">
        <v>20</v>
      </c>
      <c r="D4" s="1" t="n">
        <v>4.98</v>
      </c>
      <c r="E4" s="1" t="n">
        <f aca="false">_xlfn.FLOOR.MATH(D4,1)</f>
        <v>4</v>
      </c>
    </row>
    <row r="5" customFormat="false" ht="15" hidden="false" customHeight="false" outlineLevel="0" collapsed="false">
      <c r="A5" s="1" t="n">
        <v>4</v>
      </c>
      <c r="B5" s="1" t="s">
        <v>24</v>
      </c>
      <c r="C5" s="1" t="s">
        <v>24</v>
      </c>
      <c r="D5" s="1" t="n">
        <v>7.65</v>
      </c>
      <c r="E5" s="1" t="n">
        <f aca="false">_xlfn.FLOOR.MATH(D5,1)</f>
        <v>7</v>
      </c>
    </row>
    <row r="6" customFormat="false" ht="15" hidden="false" customHeight="false" outlineLevel="0" collapsed="false">
      <c r="A6" s="1" t="n">
        <v>5</v>
      </c>
      <c r="B6" s="1" t="s">
        <v>27</v>
      </c>
      <c r="D6" s="1" t="n">
        <v>1</v>
      </c>
      <c r="E6" s="1" t="n">
        <f aca="false">_xlfn.FLOOR.MATH(D6,1)</f>
        <v>1</v>
      </c>
    </row>
    <row r="7" customFormat="false" ht="15" hidden="false" customHeight="false" outlineLevel="0" collapsed="false">
      <c r="A7" s="1" t="n">
        <v>6</v>
      </c>
      <c r="B7" s="1" t="s">
        <v>30</v>
      </c>
      <c r="C7" s="1" t="s">
        <v>30</v>
      </c>
      <c r="D7" s="1" t="n">
        <v>5.38</v>
      </c>
      <c r="E7" s="1" t="n">
        <f aca="false">_xlfn.FLOOR.MATH(D7,1)</f>
        <v>5</v>
      </c>
    </row>
    <row r="8" customFormat="false" ht="15" hidden="false" customHeight="false" outlineLevel="0" collapsed="false">
      <c r="A8" s="1" t="n">
        <v>7</v>
      </c>
      <c r="B8" s="1" t="s">
        <v>33</v>
      </c>
      <c r="C8" s="1" t="s">
        <v>33</v>
      </c>
      <c r="D8" s="1" t="n">
        <v>7.5</v>
      </c>
      <c r="E8" s="1" t="n">
        <v>8</v>
      </c>
    </row>
    <row r="9" customFormat="false" ht="15" hidden="false" customHeight="false" outlineLevel="0" collapsed="false">
      <c r="A9" s="1" t="n">
        <v>8</v>
      </c>
      <c r="B9" s="1" t="s">
        <v>36</v>
      </c>
      <c r="C9" s="1" t="s">
        <v>36</v>
      </c>
      <c r="D9" s="1" t="n">
        <v>5.28</v>
      </c>
      <c r="E9" s="1" t="n">
        <f aca="false">_xlfn.FLOOR.MATH(D9,1)</f>
        <v>5</v>
      </c>
    </row>
    <row r="10" customFormat="false" ht="15" hidden="false" customHeight="false" outlineLevel="0" collapsed="false">
      <c r="A10" s="1" t="n">
        <v>9</v>
      </c>
      <c r="B10" s="1" t="s">
        <v>39</v>
      </c>
      <c r="C10" s="1" t="s">
        <v>39</v>
      </c>
      <c r="D10" s="1" t="n">
        <v>6.5</v>
      </c>
      <c r="E10" s="1" t="n">
        <f aca="false">_xlfn.FLOOR.MATH(D10,1)</f>
        <v>6</v>
      </c>
    </row>
    <row r="11" customFormat="false" ht="15" hidden="false" customHeight="false" outlineLevel="0" collapsed="false">
      <c r="A11" s="1" t="n">
        <v>10</v>
      </c>
      <c r="B11" s="1" t="s">
        <v>42</v>
      </c>
      <c r="C11" s="1" t="s">
        <v>42</v>
      </c>
      <c r="D11" s="1" t="n">
        <v>6.48</v>
      </c>
      <c r="E11" s="1" t="n">
        <f aca="false">_xlfn.FLOOR.MATH(D11,1)</f>
        <v>6</v>
      </c>
    </row>
    <row r="12" customFormat="false" ht="15" hidden="false" customHeight="false" outlineLevel="0" collapsed="false">
      <c r="A12" s="1" t="n">
        <v>11</v>
      </c>
      <c r="B12" s="1" t="s">
        <v>46</v>
      </c>
      <c r="C12" s="1" t="s">
        <v>46</v>
      </c>
      <c r="D12" s="1" t="n">
        <v>6.25</v>
      </c>
      <c r="E12" s="1" t="n">
        <f aca="false">_xlfn.FLOOR.MATH(D12,1)</f>
        <v>6</v>
      </c>
    </row>
    <row r="13" customFormat="false" ht="15" hidden="false" customHeight="false" outlineLevel="0" collapsed="false">
      <c r="A13" s="1" t="n">
        <v>12</v>
      </c>
      <c r="B13" s="1" t="s">
        <v>49</v>
      </c>
      <c r="D13" s="1" t="n">
        <v>1</v>
      </c>
      <c r="E13" s="1" t="n">
        <f aca="false">_xlfn.FLOOR.MATH(D13,1)</f>
        <v>1</v>
      </c>
    </row>
    <row r="14" customFormat="false" ht="15" hidden="false" customHeight="false" outlineLevel="0" collapsed="false">
      <c r="A14" s="1" t="n">
        <v>13</v>
      </c>
      <c r="B14" s="1" t="s">
        <v>52</v>
      </c>
      <c r="C14" s="1" t="s">
        <v>52</v>
      </c>
      <c r="D14" s="1" t="n">
        <v>7.45</v>
      </c>
      <c r="E14" s="1" t="n">
        <f aca="false">_xlfn.FLOOR.MATH(D14,1)</f>
        <v>7</v>
      </c>
    </row>
    <row r="15" customFormat="false" ht="15" hidden="false" customHeight="false" outlineLevel="0" collapsed="false">
      <c r="A15" s="1" t="n">
        <v>14</v>
      </c>
      <c r="B15" s="1" t="s">
        <v>55</v>
      </c>
      <c r="C15" s="1" t="s">
        <v>55</v>
      </c>
      <c r="D15" s="1" t="n">
        <v>6</v>
      </c>
      <c r="E15" s="1" t="n">
        <f aca="false">_xlfn.FLOOR.MATH(D15,1)</f>
        <v>6</v>
      </c>
    </row>
    <row r="16" customFormat="false" ht="15" hidden="false" customHeight="false" outlineLevel="0" collapsed="false">
      <c r="A16" s="1" t="n">
        <v>15</v>
      </c>
      <c r="B16" s="1" t="s">
        <v>58</v>
      </c>
      <c r="C16" s="1" t="s">
        <v>58</v>
      </c>
      <c r="D16" s="1" t="n">
        <v>3</v>
      </c>
      <c r="E16" s="1" t="n">
        <f aca="false">_xlfn.FLOOR.MATH(D16,1)</f>
        <v>3</v>
      </c>
    </row>
    <row r="17" customFormat="false" ht="15" hidden="false" customHeight="false" outlineLevel="0" collapsed="false">
      <c r="A17" s="1" t="n">
        <v>16</v>
      </c>
      <c r="B17" s="1" t="s">
        <v>61</v>
      </c>
      <c r="C17" s="1" t="s">
        <v>61</v>
      </c>
      <c r="D17" s="1" t="n">
        <v>4.25</v>
      </c>
      <c r="E17" s="1" t="n">
        <f aca="false">_xlfn.FLOOR.MATH(D17,1)</f>
        <v>4</v>
      </c>
    </row>
    <row r="18" customFormat="false" ht="15" hidden="false" customHeight="false" outlineLevel="0" collapsed="false">
      <c r="A18" s="1" t="n">
        <v>17</v>
      </c>
      <c r="B18" s="1" t="s">
        <v>64</v>
      </c>
      <c r="C18" s="1" t="s">
        <v>64</v>
      </c>
      <c r="D18" s="1" t="n">
        <v>6.75</v>
      </c>
      <c r="E18" s="1" t="n">
        <f aca="false">_xlfn.FLOOR.MATH(D18,1)</f>
        <v>6</v>
      </c>
    </row>
    <row r="19" customFormat="false" ht="15" hidden="false" customHeight="false" outlineLevel="0" collapsed="false">
      <c r="A19" s="1" t="n">
        <v>18</v>
      </c>
      <c r="B19" s="1" t="s">
        <v>66</v>
      </c>
      <c r="C19" s="1" t="s">
        <v>66</v>
      </c>
      <c r="D19" s="1" t="n">
        <v>5.48</v>
      </c>
      <c r="E19" s="1" t="n">
        <f aca="false">_xlfn.FLOOR.MATH(D19,1)</f>
        <v>5</v>
      </c>
    </row>
    <row r="20" customFormat="false" ht="15" hidden="false" customHeight="false" outlineLevel="0" collapsed="false">
      <c r="A20" s="1" t="n">
        <v>19</v>
      </c>
      <c r="B20" s="1" t="s">
        <v>68</v>
      </c>
      <c r="C20" s="1" t="s">
        <v>68</v>
      </c>
      <c r="D20" s="1" t="n">
        <v>3</v>
      </c>
      <c r="E20" s="1" t="n">
        <f aca="false">_xlfn.FLOOR.MATH(D20,1)</f>
        <v>3</v>
      </c>
    </row>
    <row r="21" customFormat="false" ht="15" hidden="false" customHeight="false" outlineLevel="0" collapsed="false">
      <c r="A21" s="1" t="n">
        <v>20</v>
      </c>
      <c r="B21" s="1" t="s">
        <v>70</v>
      </c>
      <c r="C21" s="1" t="s">
        <v>70</v>
      </c>
      <c r="D21" s="1" t="n">
        <v>5.25</v>
      </c>
      <c r="E21" s="1" t="n">
        <f aca="false">_xlfn.FLOOR.MATH(D21,1)</f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D2" activeCellId="0" sqref="D2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4.25"/>
    <col collapsed="false" customWidth="true" hidden="false" outlineLevel="0" max="3" min="2" style="1" width="18.92"/>
    <col collapsed="false" customWidth="true" hidden="false" outlineLevel="0" max="4" min="4" style="1" width="16.37"/>
  </cols>
  <sheetData>
    <row r="1" customFormat="false" ht="15" hidden="false" customHeight="false" outlineLevel="0" collapsed="false">
      <c r="A1" s="1" t="s">
        <v>0</v>
      </c>
      <c r="B1" s="2" t="s">
        <v>2</v>
      </c>
      <c r="C1" s="1" t="s">
        <v>2</v>
      </c>
      <c r="D1" s="1" t="s">
        <v>90</v>
      </c>
    </row>
    <row r="2" customFormat="false" ht="15" hidden="false" customHeight="false" outlineLevel="0" collapsed="false">
      <c r="A2" s="1" t="n">
        <v>1</v>
      </c>
      <c r="B2" s="1" t="s">
        <v>12</v>
      </c>
      <c r="C2" s="1" t="s">
        <v>12</v>
      </c>
      <c r="D2" s="1" t="n">
        <v>2</v>
      </c>
    </row>
    <row r="3" customFormat="false" ht="15" hidden="false" customHeight="false" outlineLevel="0" collapsed="false">
      <c r="A3" s="1" t="n">
        <v>2</v>
      </c>
      <c r="B3" s="1" t="s">
        <v>16</v>
      </c>
      <c r="C3" s="1" t="s">
        <v>16</v>
      </c>
      <c r="D3" s="1" t="n">
        <v>5</v>
      </c>
    </row>
    <row r="4" customFormat="false" ht="15" hidden="false" customHeight="false" outlineLevel="0" collapsed="false">
      <c r="A4" s="1" t="n">
        <v>3</v>
      </c>
      <c r="B4" s="1" t="s">
        <v>20</v>
      </c>
      <c r="C4" s="1" t="s">
        <v>20</v>
      </c>
      <c r="D4" s="1" t="n">
        <v>4</v>
      </c>
    </row>
    <row r="5" customFormat="false" ht="15" hidden="false" customHeight="false" outlineLevel="0" collapsed="false">
      <c r="A5" s="1" t="n">
        <v>4</v>
      </c>
      <c r="B5" s="1" t="s">
        <v>24</v>
      </c>
      <c r="C5" s="1" t="s">
        <v>24</v>
      </c>
      <c r="D5" s="1" t="n">
        <v>5.5</v>
      </c>
    </row>
    <row r="6" customFormat="false" ht="15" hidden="false" customHeight="false" outlineLevel="0" collapsed="false">
      <c r="A6" s="1" t="n">
        <v>5</v>
      </c>
      <c r="B6" s="1" t="s">
        <v>27</v>
      </c>
      <c r="C6" s="1" t="s">
        <v>27</v>
      </c>
      <c r="D6" s="1" t="n">
        <v>5</v>
      </c>
    </row>
    <row r="7" customFormat="false" ht="15" hidden="false" customHeight="false" outlineLevel="0" collapsed="false">
      <c r="A7" s="1" t="n">
        <v>6</v>
      </c>
      <c r="B7" s="1" t="s">
        <v>30</v>
      </c>
      <c r="C7" s="1" t="s">
        <v>30</v>
      </c>
      <c r="D7" s="1" t="n">
        <v>6</v>
      </c>
    </row>
    <row r="8" customFormat="false" ht="15" hidden="false" customHeight="false" outlineLevel="0" collapsed="false">
      <c r="A8" s="1" t="n">
        <v>7</v>
      </c>
      <c r="B8" s="1" t="s">
        <v>33</v>
      </c>
      <c r="C8" s="1" t="s">
        <v>33</v>
      </c>
      <c r="D8" s="1" t="n">
        <v>1</v>
      </c>
    </row>
    <row r="9" customFormat="false" ht="15" hidden="false" customHeight="false" outlineLevel="0" collapsed="false">
      <c r="A9" s="1" t="n">
        <v>8</v>
      </c>
      <c r="B9" s="1" t="s">
        <v>36</v>
      </c>
      <c r="C9" s="1" t="s">
        <v>36</v>
      </c>
      <c r="D9" s="1" t="n">
        <v>4</v>
      </c>
    </row>
    <row r="10" customFormat="false" ht="15" hidden="false" customHeight="false" outlineLevel="0" collapsed="false">
      <c r="A10" s="1" t="n">
        <v>9</v>
      </c>
      <c r="B10" s="1" t="s">
        <v>39</v>
      </c>
      <c r="C10" s="1" t="s">
        <v>39</v>
      </c>
      <c r="D10" s="1" t="n">
        <v>6</v>
      </c>
    </row>
    <row r="11" customFormat="false" ht="15" hidden="false" customHeight="false" outlineLevel="0" collapsed="false">
      <c r="A11" s="1" t="n">
        <v>10</v>
      </c>
      <c r="B11" s="1" t="s">
        <v>42</v>
      </c>
      <c r="C11" s="1" t="s">
        <v>42</v>
      </c>
      <c r="D11" s="1" t="n">
        <v>1</v>
      </c>
    </row>
    <row r="12" customFormat="false" ht="15" hidden="false" customHeight="false" outlineLevel="0" collapsed="false">
      <c r="A12" s="1" t="n">
        <v>11</v>
      </c>
      <c r="B12" s="1" t="s">
        <v>46</v>
      </c>
      <c r="C12" s="1" t="s">
        <v>46</v>
      </c>
      <c r="D12" s="1" t="n">
        <v>2</v>
      </c>
    </row>
    <row r="13" customFormat="false" ht="15" hidden="false" customHeight="false" outlineLevel="0" collapsed="false">
      <c r="A13" s="1" t="n">
        <v>12</v>
      </c>
      <c r="B13" s="1" t="s">
        <v>49</v>
      </c>
      <c r="C13" s="1" t="s">
        <v>49</v>
      </c>
      <c r="D13" s="1" t="n">
        <v>9</v>
      </c>
    </row>
    <row r="14" customFormat="false" ht="15" hidden="false" customHeight="false" outlineLevel="0" collapsed="false">
      <c r="A14" s="1" t="n">
        <v>13</v>
      </c>
      <c r="B14" s="1" t="s">
        <v>52</v>
      </c>
      <c r="C14" s="1" t="s">
        <v>52</v>
      </c>
      <c r="D14" s="1" t="n">
        <v>3</v>
      </c>
    </row>
    <row r="15" customFormat="false" ht="15" hidden="false" customHeight="false" outlineLevel="0" collapsed="false">
      <c r="A15" s="1" t="n">
        <v>14</v>
      </c>
      <c r="B15" s="1" t="s">
        <v>55</v>
      </c>
      <c r="C15" s="1" t="s">
        <v>55</v>
      </c>
      <c r="D15" s="1" t="n">
        <v>4</v>
      </c>
    </row>
    <row r="16" customFormat="false" ht="15" hidden="false" customHeight="false" outlineLevel="0" collapsed="false">
      <c r="A16" s="1" t="n">
        <v>15</v>
      </c>
      <c r="B16" s="1" t="s">
        <v>58</v>
      </c>
      <c r="C16" s="1" t="s">
        <v>58</v>
      </c>
      <c r="D16" s="1" t="n">
        <v>3</v>
      </c>
    </row>
    <row r="17" customFormat="false" ht="15" hidden="false" customHeight="false" outlineLevel="0" collapsed="false">
      <c r="A17" s="1" t="n">
        <v>16</v>
      </c>
      <c r="B17" s="1" t="s">
        <v>61</v>
      </c>
      <c r="C17" s="1" t="s">
        <v>94</v>
      </c>
      <c r="D17" s="1" t="n">
        <v>8</v>
      </c>
    </row>
    <row r="18" customFormat="false" ht="15" hidden="false" customHeight="false" outlineLevel="0" collapsed="false">
      <c r="A18" s="1" t="n">
        <v>17</v>
      </c>
      <c r="B18" s="1" t="s">
        <v>64</v>
      </c>
      <c r="C18" s="1" t="s">
        <v>64</v>
      </c>
      <c r="D18" s="1" t="n">
        <v>10</v>
      </c>
    </row>
    <row r="19" customFormat="false" ht="15" hidden="false" customHeight="false" outlineLevel="0" collapsed="false">
      <c r="A19" s="1" t="n">
        <v>18</v>
      </c>
      <c r="B19" s="1" t="s">
        <v>66</v>
      </c>
      <c r="C19" s="1" t="s">
        <v>66</v>
      </c>
      <c r="D19" s="1" t="n">
        <v>5</v>
      </c>
    </row>
    <row r="20" customFormat="false" ht="15" hidden="false" customHeight="false" outlineLevel="0" collapsed="false">
      <c r="A20" s="1" t="n">
        <v>19</v>
      </c>
      <c r="B20" s="1" t="s">
        <v>68</v>
      </c>
      <c r="D20" s="1" t="n">
        <v>1</v>
      </c>
    </row>
    <row r="21" customFormat="false" ht="15" hidden="false" customHeight="false" outlineLevel="0" collapsed="false">
      <c r="A21" s="1" t="n">
        <v>20</v>
      </c>
      <c r="B21" s="1" t="s">
        <v>70</v>
      </c>
      <c r="C21" s="1" t="s">
        <v>70</v>
      </c>
      <c r="D21" s="1" t="n">
        <v>1</v>
      </c>
    </row>
    <row r="22" customFormat="false" ht="15" hidden="false" customHeight="false" outlineLevel="0" collapsed="false">
      <c r="A22" s="1" t="n">
        <v>21</v>
      </c>
      <c r="B22" s="1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4888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2025-05-05T16:11:10Z</dcterms:created>
  <dc:creator/>
  <dc:description/>
  <dc:language>es-AR</dc:language>
  <cp:lastModifiedBy/>
  <dcterms:modified xsi:type="dcterms:W3CDTF">2026-10-01T17:28:01Z</dcterms:modified>
  <cp:revision>145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