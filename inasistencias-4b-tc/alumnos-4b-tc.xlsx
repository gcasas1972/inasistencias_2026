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<sst xmlns="http://schemas.openxmlformats.org/spreadsheetml/2006/main" count="232" uniqueCount="71">
  <si>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</si>
  <si>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</si>
  <si>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</si>
  <si>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</si>
  <si>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</si>
  <si>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Victoria</t>
  </si>
  <si>
    <t xml:space="preserve">ANDRADA BASCOPE</t>
  </si>
  <si>
    <t xml:space="preserve">50030377@gmail.com</t>
  </si>
  <si>
    <t xml:space="preserve">P</t>
  </si>
  <si>
    <t xml:space="preserve">Eugenia</t>
  </si>
  <si>
    <t xml:space="preserve">Barzaghi Martínez</t>
  </si>
  <si>
    <t xml:space="preserve">49627703@gmail.com</t>
  </si>
  <si>
    <t xml:space="preserve">A</t>
  </si>
  <si>
    <t xml:space="preserve">Dylan Gaston</t>
  </si>
  <si>
    <t xml:space="preserve">CARABAJAL</t>
  </si>
  <si>
    <t xml:space="preserve">matias2511.altamirano@gmail.com</t>
  </si>
  <si>
    <t xml:space="preserve">Zaira Ruth</t>
  </si>
  <si>
    <t xml:space="preserve">Chucusea Quiroga</t>
  </si>
  <si>
    <t xml:space="preserve">49898249@gmail.com</t>
  </si>
  <si>
    <t xml:space="preserve">Santino Jonas</t>
  </si>
  <si>
    <t xml:space="preserve">CORREA</t>
  </si>
  <si>
    <t xml:space="preserve">50276187@gmail.com</t>
  </si>
  <si>
    <t xml:space="preserve">Ivan Delmenico</t>
  </si>
  <si>
    <t xml:space="preserve">DELMENICO</t>
  </si>
  <si>
    <t xml:space="preserve">49419297@gmail.com</t>
  </si>
  <si>
    <t xml:space="preserve">Paloma Marianella</t>
  </si>
  <si>
    <t xml:space="preserve">FARIAS RUIZ</t>
  </si>
  <si>
    <t xml:space="preserve">50066744@gmail.com</t>
  </si>
  <si>
    <t xml:space="preserve">León</t>
  </si>
  <si>
    <t xml:space="preserve">FERREYRA GARNERO</t>
  </si>
  <si>
    <t xml:space="preserve">50156642@gmail.com</t>
  </si>
  <si>
    <t xml:space="preserve">T</t>
  </si>
  <si>
    <t xml:space="preserve">Axel Ian</t>
  </si>
  <si>
    <t xml:space="preserve">FLEITAS</t>
  </si>
  <si>
    <t xml:space="preserve">49735065@gmail.com</t>
  </si>
  <si>
    <t xml:space="preserve">Thiago Ezquiel</t>
  </si>
  <si>
    <t xml:space="preserve">GOMEZ</t>
  </si>
  <si>
    <t xml:space="preserve">49589492@gmail.com</t>
  </si>
  <si>
    <t xml:space="preserve">Tadeo Martin</t>
  </si>
  <si>
    <t xml:space="preserve">LAGOS</t>
  </si>
  <si>
    <t xml:space="preserve">49626775@gmail.com</t>
  </si>
  <si>
    <t xml:space="preserve">Sophie Micaela</t>
  </si>
  <si>
    <t xml:space="preserve">LEMOS</t>
  </si>
  <si>
    <t xml:space="preserve">95429143@gmail.com</t>
  </si>
  <si>
    <t xml:space="preserve">Mateo Bautista</t>
  </si>
  <si>
    <t xml:space="preserve">LESCANO</t>
  </si>
  <si>
    <t xml:space="preserve">49837749@gmail.com</t>
  </si>
  <si>
    <t xml:space="preserve">Benicio Valentin</t>
  </si>
  <si>
    <t xml:space="preserve">LUNA SERRANO</t>
  </si>
  <si>
    <t xml:space="preserve">49676837@gmail.com</t>
  </si>
  <si>
    <t xml:space="preserve">Farid Emir</t>
  </si>
  <si>
    <t xml:space="preserve">PEREYRA</t>
  </si>
  <si>
    <t xml:space="preserve">47869497@gmail.com</t>
  </si>
  <si>
    <t xml:space="preserve">Julieta</t>
  </si>
  <si>
    <t xml:space="preserve">RODRIGUEZ MIÑO</t>
  </si>
  <si>
    <t xml:space="preserve">M</t>
  </si>
  <si>
    <t xml:space="preserve">Tobías Valentín</t>
  </si>
  <si>
    <t xml:space="preserve">SANTILLÁN GÜERCI</t>
  </si>
  <si>
    <t xml:space="preserve">Lucas Emanuel</t>
  </si>
  <si>
    <t xml:space="preserve">SUÁREZ CESPEDES</t>
  </si>
  <si>
    <t xml:space="preserve">Nicolás</t>
  </si>
  <si>
    <t xml:space="preserve">TISEYRA</t>
  </si>
  <si>
    <t xml:space="preserve">Ezequiel Ricardo</t>
  </si>
  <si>
    <t xml:space="preserve">ZAPATA SANTOS</t>
  </si>
  <si>
    <t xml:space="preserve">presente</t>
  </si>
  <si>
    <t xml:space="preserve">presentes</t>
  </si>
  <si>
    <t xml:space="preserve">media falta</t>
  </si>
  <si>
    <t xml:space="preserve">tarde</t>
  </si>
  <si>
    <t xml:space="preserve">Tarde</t>
  </si>
  <si>
    <t xml:space="preserve">total</t>
  </si>
  <si>
    <t xml:space="preserve">carpeta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</si>
</sst>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3.06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true" outlineLevel="0" max="4" min="4" style="1" width="31.19"/>
    <col collapsed="false" customWidth="true" hidden="false" outlineLevel="0" max="5" min="5" style="1" width="8.62"/>
    <col collapsed="false" customWidth="true" hidden="false" outlineLevel="0" max="9" min="8" style="1" width="9.1"/>
    <col collapsed="false" customWidth="false" hidden="false" outlineLevel="0" max="10" min="10" style="1" width="8.79"/>
    <col collapsed="false" customWidth="true" hidden="false" outlineLevel="0" max="16316" min="16316" style="0" width="10.58"/>
    <col collapsed="false" customWidth="true" hidden="false" outlineLevel="0" max="16384" min="16317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46093</v>
      </c>
      <c r="F2" s="3" t="n">
        <v>46100</v>
      </c>
      <c r="G2" s="3" t="n">
        <v>46107</v>
      </c>
      <c r="H2" s="3" t="n">
        <v>46114</v>
      </c>
      <c r="I2" s="3" t="n">
        <v>46121</v>
      </c>
      <c r="J2" s="3" t="s">
        <v>4</v>
      </c>
      <c r="K2" s="3" t="n">
        <v>46128</v>
      </c>
      <c r="L2" s="3" t="s">
        <v>4</v>
      </c>
      <c r="M2" s="3" t="n">
        <v>46135</v>
      </c>
      <c r="N2" s="3" t="s">
        <v>4</v>
      </c>
      <c r="O2" s="3" t="n">
        <v>46149</v>
      </c>
      <c r="P2" s="3" t="n">
        <v>46156</v>
      </c>
      <c r="Q2" s="3" t="n">
        <v>46163</v>
      </c>
      <c r="R2" s="3" t="n">
        <v>46170</v>
      </c>
      <c r="S2" s="3" t="n">
        <v>46177</v>
      </c>
      <c r="T2" s="3" t="n">
        <v>46184</v>
      </c>
      <c r="U2" s="3" t="n">
        <v>46191</v>
      </c>
      <c r="V2" s="3" t="n">
        <v>46198</v>
      </c>
      <c r="W2" s="3" t="n">
        <v>46205</v>
      </c>
      <c r="X2" s="3" t="n">
        <v>46212</v>
      </c>
      <c r="Y2" s="3" t="n">
        <v>46219</v>
      </c>
      <c r="Z2" s="3" t="n">
        <v>46226</v>
      </c>
      <c r="AA2" s="3" t="n">
        <v>46233</v>
      </c>
      <c r="AB2" s="3" t="n">
        <v>46240</v>
      </c>
      <c r="AC2" s="3" t="n">
        <v>46247</v>
      </c>
      <c r="AD2" s="3" t="n">
        <v>46254</v>
      </c>
      <c r="AE2" s="3" t="n">
        <v>46261</v>
      </c>
      <c r="AF2" s="3" t="n">
        <v>46268</v>
      </c>
      <c r="AG2" s="3" t="n">
        <v>46275</v>
      </c>
      <c r="AH2" s="3" t="n">
        <v>46282</v>
      </c>
      <c r="AI2" s="3" t="n">
        <v>46289</v>
      </c>
      <c r="AJ2" s="3" t="n">
        <v>46296</v>
      </c>
      <c r="AK2" s="3" t="n">
        <v>46303</v>
      </c>
      <c r="AL2" s="3" t="n">
        <v>46310</v>
      </c>
      <c r="AM2" s="3" t="n">
        <v>46317</v>
      </c>
      <c r="AN2" s="3" t="n">
        <v>46324</v>
      </c>
      <c r="AO2" s="3" t="n">
        <v>46331</v>
      </c>
      <c r="AP2" s="3" t="n">
        <v>46338</v>
      </c>
      <c r="AQ2" s="3" t="n">
        <v>46345</v>
      </c>
      <c r="AR2" s="3" t="n">
        <v>46352</v>
      </c>
      <c r="AS2" s="3" t="n">
        <v>46359</v>
      </c>
      <c r="AT2" s="3" t="n">
        <v>46366</v>
      </c>
      <c r="AU2" s="3" t="n">
        <v>46373</v>
      </c>
      <c r="AV2" s="3" t="n">
        <v>46380</v>
      </c>
      <c r="AW2" s="3" t="n">
        <v>46387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</row>
    <row r="3" s="2" customFormat="true" ht="15" hidden="false" customHeight="false" outlineLevel="0" collapsed="false">
      <c r="A3" s="1" t="n">
        <v>1</v>
      </c>
      <c r="B3" s="1" t="s">
        <v>5</v>
      </c>
      <c r="C3" s="1" t="s">
        <v>6</v>
      </c>
      <c r="D3" s="2" t="s">
        <v>7</v>
      </c>
      <c r="E3" s="1" t="s">
        <v>8</v>
      </c>
      <c r="F3" s="2" t="s">
        <v>8</v>
      </c>
      <c r="G3" s="2" t="s">
        <v>8</v>
      </c>
      <c r="H3" s="1"/>
      <c r="I3" s="1" t="s">
        <v>8</v>
      </c>
      <c r="J3" s="1"/>
      <c r="K3" s="1" t="s">
        <v>8</v>
      </c>
      <c r="L3" s="1"/>
      <c r="M3" s="1" t="s">
        <v>8</v>
      </c>
      <c r="N3" s="1"/>
      <c r="O3" s="2" t="s">
        <v>8</v>
      </c>
      <c r="XCN3" s="0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5" hidden="false" customHeight="false" outlineLevel="0" collapsed="false">
      <c r="A4" s="1" t="n">
        <v>2</v>
      </c>
      <c r="B4" s="1" t="s">
        <v>9</v>
      </c>
      <c r="C4" s="1" t="s">
        <v>10</v>
      </c>
      <c r="D4" s="2" t="s">
        <v>11</v>
      </c>
      <c r="E4" s="1" t="s">
        <v>8</v>
      </c>
      <c r="F4" s="2" t="s">
        <v>8</v>
      </c>
      <c r="G4" s="2" t="s">
        <v>12</v>
      </c>
      <c r="H4" s="1"/>
      <c r="I4" s="1" t="s">
        <v>8</v>
      </c>
      <c r="J4" s="1"/>
      <c r="K4" s="1" t="s">
        <v>8</v>
      </c>
      <c r="L4" s="1"/>
      <c r="M4" s="1" t="s">
        <v>8</v>
      </c>
      <c r="N4" s="1"/>
      <c r="O4" s="2" t="s">
        <v>8</v>
      </c>
      <c r="XCN4" s="0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" hidden="false" customHeight="false" outlineLevel="0" collapsed="false">
      <c r="A5" s="1" t="n">
        <v>3</v>
      </c>
      <c r="B5" s="1" t="s">
        <v>13</v>
      </c>
      <c r="C5" s="1" t="s">
        <v>14</v>
      </c>
      <c r="D5" s="2" t="s">
        <v>15</v>
      </c>
      <c r="E5" s="1" t="s">
        <v>8</v>
      </c>
      <c r="F5" s="1" t="s">
        <v>8</v>
      </c>
      <c r="G5" s="1" t="s">
        <v>8</v>
      </c>
      <c r="I5" s="1" t="s">
        <v>8</v>
      </c>
      <c r="K5" s="1" t="s">
        <v>8</v>
      </c>
      <c r="M5" s="1" t="s">
        <v>8</v>
      </c>
      <c r="O5" s="1" t="s">
        <v>8</v>
      </c>
      <c r="XCN5" s="0"/>
    </row>
    <row r="6" s="1" customFormat="true" ht="15" hidden="false" customHeight="false" outlineLevel="0" collapsed="false">
      <c r="A6" s="1" t="n">
        <v>4</v>
      </c>
      <c r="B6" s="1" t="s">
        <v>16</v>
      </c>
      <c r="C6" s="1" t="s">
        <v>17</v>
      </c>
      <c r="D6" s="2" t="s">
        <v>18</v>
      </c>
      <c r="E6" s="1" t="s">
        <v>8</v>
      </c>
      <c r="F6" s="1" t="s">
        <v>8</v>
      </c>
      <c r="G6" s="1" t="s">
        <v>8</v>
      </c>
      <c r="I6" s="1" t="s">
        <v>8</v>
      </c>
      <c r="K6" s="1" t="s">
        <v>8</v>
      </c>
      <c r="M6" s="1" t="s">
        <v>8</v>
      </c>
      <c r="O6" s="1" t="s">
        <v>8</v>
      </c>
      <c r="XCN6" s="0"/>
    </row>
    <row r="7" s="1" customFormat="true" ht="15" hidden="false" customHeight="false" outlineLevel="0" collapsed="false">
      <c r="A7" s="1" t="n">
        <v>5</v>
      </c>
      <c r="B7" s="1" t="s">
        <v>19</v>
      </c>
      <c r="C7" s="1" t="s">
        <v>20</v>
      </c>
      <c r="D7" s="2" t="s">
        <v>21</v>
      </c>
      <c r="E7" s="1" t="s">
        <v>8</v>
      </c>
      <c r="F7" s="1" t="s">
        <v>8</v>
      </c>
      <c r="G7" s="1" t="s">
        <v>8</v>
      </c>
      <c r="I7" s="1" t="s">
        <v>8</v>
      </c>
      <c r="K7" s="1" t="s">
        <v>8</v>
      </c>
      <c r="M7" s="1" t="s">
        <v>8</v>
      </c>
      <c r="O7" s="1" t="s">
        <v>8</v>
      </c>
      <c r="XCN7" s="0"/>
    </row>
    <row r="8" s="2" customFormat="true" ht="15" hidden="false" customHeight="false" outlineLevel="0" collapsed="false">
      <c r="A8" s="1" t="n">
        <v>6</v>
      </c>
      <c r="B8" s="1" t="s">
        <v>22</v>
      </c>
      <c r="C8" s="1" t="s">
        <v>23</v>
      </c>
      <c r="D8" s="2" t="s">
        <v>24</v>
      </c>
      <c r="E8" s="1" t="s">
        <v>8</v>
      </c>
      <c r="F8" s="1" t="s">
        <v>8</v>
      </c>
      <c r="G8" s="2" t="s">
        <v>8</v>
      </c>
      <c r="H8" s="1"/>
      <c r="I8" s="1" t="s">
        <v>12</v>
      </c>
      <c r="J8" s="1"/>
      <c r="K8" s="1" t="s">
        <v>12</v>
      </c>
      <c r="L8" s="1"/>
      <c r="M8" s="1" t="s">
        <v>8</v>
      </c>
      <c r="N8" s="1"/>
      <c r="O8" s="2" t="s">
        <v>12</v>
      </c>
      <c r="XCN8" s="0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5" hidden="false" customHeight="false" outlineLevel="0" collapsed="false">
      <c r="A9" s="1" t="n">
        <v>7</v>
      </c>
      <c r="B9" s="1" t="s">
        <v>25</v>
      </c>
      <c r="C9" s="1" t="s">
        <v>26</v>
      </c>
      <c r="D9" s="2" t="s">
        <v>27</v>
      </c>
      <c r="E9" s="1" t="s">
        <v>8</v>
      </c>
      <c r="F9" s="1" t="s">
        <v>8</v>
      </c>
      <c r="G9" s="2" t="s">
        <v>8</v>
      </c>
      <c r="H9" s="1"/>
      <c r="I9" s="1" t="s">
        <v>12</v>
      </c>
      <c r="J9" s="1"/>
      <c r="K9" s="1" t="s">
        <v>12</v>
      </c>
      <c r="L9" s="1"/>
      <c r="M9" s="1" t="s">
        <v>8</v>
      </c>
      <c r="N9" s="1"/>
      <c r="O9" s="2" t="s">
        <v>8</v>
      </c>
      <c r="XCN9" s="0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5" hidden="false" customHeight="false" outlineLevel="0" collapsed="false">
      <c r="A10" s="1" t="n">
        <v>8</v>
      </c>
      <c r="B10" s="1" t="s">
        <v>28</v>
      </c>
      <c r="C10" s="1" t="s">
        <v>29</v>
      </c>
      <c r="D10" s="2" t="s">
        <v>30</v>
      </c>
      <c r="E10" s="1" t="s">
        <v>8</v>
      </c>
      <c r="F10" s="1" t="s">
        <v>8</v>
      </c>
      <c r="G10" s="2" t="s">
        <v>31</v>
      </c>
      <c r="H10" s="4" t="n">
        <v>0.541666666666667</v>
      </c>
      <c r="I10" s="1" t="s">
        <v>12</v>
      </c>
      <c r="J10" s="1"/>
      <c r="K10" s="1" t="s">
        <v>8</v>
      </c>
      <c r="L10" s="1"/>
      <c r="M10" s="1" t="s">
        <v>31</v>
      </c>
      <c r="N10" s="4" t="n">
        <v>0.548611111111111</v>
      </c>
      <c r="O10" s="2" t="s">
        <v>12</v>
      </c>
      <c r="XCN10" s="0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" hidden="false" customHeight="false" outlineLevel="0" collapsed="false">
      <c r="A11" s="1" t="n">
        <v>9</v>
      </c>
      <c r="B11" s="1" t="s">
        <v>32</v>
      </c>
      <c r="C11" s="1" t="s">
        <v>33</v>
      </c>
      <c r="D11" s="2" t="s">
        <v>34</v>
      </c>
      <c r="E11" s="1" t="s">
        <v>8</v>
      </c>
      <c r="F11" s="1" t="s">
        <v>8</v>
      </c>
      <c r="G11" s="1" t="s">
        <v>8</v>
      </c>
      <c r="I11" s="1" t="s">
        <v>8</v>
      </c>
      <c r="K11" s="1" t="s">
        <v>31</v>
      </c>
      <c r="L11" s="4" t="n">
        <v>0.534722222222222</v>
      </c>
      <c r="M11" s="1" t="s">
        <v>8</v>
      </c>
      <c r="O11" s="1" t="s">
        <v>8</v>
      </c>
      <c r="XCN11" s="0"/>
    </row>
    <row r="12" s="1" customFormat="true" ht="15" hidden="false" customHeight="false" outlineLevel="0" collapsed="false">
      <c r="A12" s="1" t="n">
        <v>10</v>
      </c>
      <c r="B12" s="1" t="s">
        <v>35</v>
      </c>
      <c r="C12" s="1" t="s">
        <v>36</v>
      </c>
      <c r="D12" s="2" t="s">
        <v>37</v>
      </c>
      <c r="E12" s="1" t="s">
        <v>8</v>
      </c>
      <c r="F12" s="1" t="s">
        <v>8</v>
      </c>
      <c r="G12" s="1" t="s">
        <v>8</v>
      </c>
      <c r="I12" s="1" t="s">
        <v>8</v>
      </c>
      <c r="K12" s="1" t="s">
        <v>8</v>
      </c>
      <c r="M12" s="1" t="s">
        <v>8</v>
      </c>
      <c r="O12" s="1" t="s">
        <v>12</v>
      </c>
      <c r="XCN12" s="0"/>
    </row>
    <row r="13" s="1" customFormat="true" ht="15" hidden="false" customHeight="false" outlineLevel="0" collapsed="false">
      <c r="A13" s="1" t="n">
        <v>11</v>
      </c>
      <c r="B13" s="1" t="s">
        <v>38</v>
      </c>
      <c r="C13" s="1" t="s">
        <v>39</v>
      </c>
      <c r="D13" s="2" t="s">
        <v>40</v>
      </c>
      <c r="E13" s="1" t="s">
        <v>8</v>
      </c>
      <c r="F13" s="1" t="s">
        <v>8</v>
      </c>
      <c r="G13" s="1" t="s">
        <v>8</v>
      </c>
      <c r="I13" s="1" t="s">
        <v>8</v>
      </c>
      <c r="K13" s="1" t="s">
        <v>8</v>
      </c>
      <c r="M13" s="1" t="s">
        <v>8</v>
      </c>
      <c r="O13" s="1" t="s">
        <v>8</v>
      </c>
      <c r="XCN13" s="0"/>
    </row>
    <row r="14" s="2" customFormat="true" ht="15" hidden="false" customHeight="false" outlineLevel="0" collapsed="false">
      <c r="A14" s="1" t="n">
        <v>12</v>
      </c>
      <c r="B14" s="1" t="s">
        <v>41</v>
      </c>
      <c r="C14" s="1" t="s">
        <v>42</v>
      </c>
      <c r="D14" s="2" t="s">
        <v>43</v>
      </c>
      <c r="E14" s="1" t="s">
        <v>8</v>
      </c>
      <c r="F14" s="1" t="s">
        <v>8</v>
      </c>
      <c r="G14" s="2" t="s">
        <v>8</v>
      </c>
      <c r="H14" s="1"/>
      <c r="I14" s="1" t="s">
        <v>8</v>
      </c>
      <c r="J14" s="1"/>
      <c r="K14" s="1" t="s">
        <v>8</v>
      </c>
      <c r="L14" s="1"/>
      <c r="M14" s="1" t="s">
        <v>8</v>
      </c>
      <c r="N14" s="1"/>
      <c r="O14" s="2" t="s">
        <v>8</v>
      </c>
      <c r="XCN14" s="0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true" ht="15" hidden="false" customHeight="false" outlineLevel="0" collapsed="false">
      <c r="A15" s="1" t="n">
        <v>13</v>
      </c>
      <c r="B15" s="1" t="s">
        <v>44</v>
      </c>
      <c r="C15" s="1" t="s">
        <v>45</v>
      </c>
      <c r="D15" s="2" t="s">
        <v>46</v>
      </c>
      <c r="E15" s="1" t="s">
        <v>8</v>
      </c>
      <c r="F15" s="1" t="s">
        <v>8</v>
      </c>
      <c r="G15" s="2" t="s">
        <v>8</v>
      </c>
      <c r="H15" s="1"/>
      <c r="I15" s="1" t="s">
        <v>8</v>
      </c>
      <c r="J15" s="1"/>
      <c r="K15" s="1" t="s">
        <v>8</v>
      </c>
      <c r="L15" s="1"/>
      <c r="M15" s="1" t="s">
        <v>8</v>
      </c>
      <c r="N15" s="1"/>
      <c r="O15" s="2" t="s">
        <v>8</v>
      </c>
      <c r="XCN15" s="0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5" hidden="false" customHeight="false" outlineLevel="0" collapsed="false">
      <c r="A16" s="1" t="n">
        <v>14</v>
      </c>
      <c r="B16" s="1" t="s">
        <v>47</v>
      </c>
      <c r="C16" s="1" t="s">
        <v>48</v>
      </c>
      <c r="D16" s="2" t="s">
        <v>49</v>
      </c>
      <c r="E16" s="1" t="s">
        <v>8</v>
      </c>
      <c r="F16" s="1" t="s">
        <v>8</v>
      </c>
      <c r="G16" s="2" t="s">
        <v>12</v>
      </c>
      <c r="H16" s="1"/>
      <c r="I16" s="1" t="s">
        <v>8</v>
      </c>
      <c r="J16" s="1"/>
      <c r="K16" s="1" t="s">
        <v>8</v>
      </c>
      <c r="L16" s="1"/>
      <c r="M16" s="1" t="s">
        <v>8</v>
      </c>
      <c r="N16" s="1"/>
      <c r="O16" s="2" t="s">
        <v>8</v>
      </c>
      <c r="XCN16" s="0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5" hidden="false" customHeight="false" outlineLevel="0" collapsed="false">
      <c r="A17" s="1" t="n">
        <v>15</v>
      </c>
      <c r="B17" s="1" t="s">
        <v>50</v>
      </c>
      <c r="C17" s="1" t="s">
        <v>51</v>
      </c>
      <c r="D17" s="2" t="s">
        <v>52</v>
      </c>
      <c r="E17" s="1" t="s">
        <v>12</v>
      </c>
      <c r="F17" s="1" t="s">
        <v>8</v>
      </c>
      <c r="G17" s="2" t="s">
        <v>8</v>
      </c>
      <c r="H17" s="1"/>
      <c r="I17" s="1" t="s">
        <v>8</v>
      </c>
      <c r="J17" s="1"/>
      <c r="K17" s="1" t="s">
        <v>8</v>
      </c>
      <c r="L17" s="1"/>
      <c r="M17" s="1" t="s">
        <v>8</v>
      </c>
      <c r="N17" s="1"/>
      <c r="O17" s="2" t="s">
        <v>8</v>
      </c>
      <c r="XCN17" s="0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5" hidden="false" customHeight="false" outlineLevel="0" collapsed="false">
      <c r="A18" s="1" t="n">
        <v>16</v>
      </c>
      <c r="B18" s="1" t="s">
        <v>53</v>
      </c>
      <c r="C18" s="1" t="s">
        <v>54</v>
      </c>
      <c r="D18" s="2"/>
      <c r="E18" s="1" t="s">
        <v>8</v>
      </c>
      <c r="F18" s="1" t="s">
        <v>8</v>
      </c>
      <c r="G18" s="1" t="s">
        <v>8</v>
      </c>
      <c r="I18" s="1" t="s">
        <v>55</v>
      </c>
      <c r="J18" s="4" t="n">
        <v>0.520833333333333</v>
      </c>
      <c r="K18" s="1" t="s">
        <v>8</v>
      </c>
      <c r="M18" s="1" t="s">
        <v>8</v>
      </c>
      <c r="O18" s="1" t="s">
        <v>8</v>
      </c>
      <c r="XCN18" s="0"/>
    </row>
    <row r="19" s="1" customFormat="true" ht="15" hidden="false" customHeight="false" outlineLevel="0" collapsed="false">
      <c r="A19" s="1" t="n">
        <v>17</v>
      </c>
      <c r="B19" s="1" t="s">
        <v>56</v>
      </c>
      <c r="C19" s="1" t="s">
        <v>57</v>
      </c>
      <c r="D19" s="2"/>
      <c r="E19" s="1" t="s">
        <v>8</v>
      </c>
      <c r="F19" s="1" t="s">
        <v>8</v>
      </c>
      <c r="G19" s="1" t="s">
        <v>8</v>
      </c>
      <c r="I19" s="1" t="s">
        <v>8</v>
      </c>
      <c r="K19" s="1" t="s">
        <v>8</v>
      </c>
      <c r="M19" s="1" t="s">
        <v>8</v>
      </c>
      <c r="O19" s="1" t="s">
        <v>8</v>
      </c>
      <c r="XCN19" s="0"/>
    </row>
    <row r="20" s="1" customFormat="true" ht="15" hidden="false" customHeight="false" outlineLevel="0" collapsed="false">
      <c r="A20" s="1" t="n">
        <v>18</v>
      </c>
      <c r="B20" s="1" t="s">
        <v>58</v>
      </c>
      <c r="C20" s="1" t="s">
        <v>59</v>
      </c>
      <c r="D20" s="2"/>
      <c r="E20" s="1" t="s">
        <v>8</v>
      </c>
      <c r="F20" s="1" t="s">
        <v>8</v>
      </c>
      <c r="G20" s="1" t="s">
        <v>8</v>
      </c>
      <c r="I20" s="1" t="s">
        <v>8</v>
      </c>
      <c r="K20" s="1" t="s">
        <v>8</v>
      </c>
      <c r="M20" s="1" t="s">
        <v>8</v>
      </c>
      <c r="O20" s="1" t="s">
        <v>8</v>
      </c>
      <c r="XCN20" s="0"/>
    </row>
    <row r="21" s="1" customFormat="true" ht="15" hidden="false" customHeight="false" outlineLevel="0" collapsed="false">
      <c r="A21" s="1" t="n">
        <v>19</v>
      </c>
      <c r="B21" s="1" t="s">
        <v>60</v>
      </c>
      <c r="C21" s="1" t="s">
        <v>61</v>
      </c>
      <c r="D21" s="2"/>
      <c r="E21" s="1" t="s">
        <v>8</v>
      </c>
      <c r="F21" s="1" t="s">
        <v>8</v>
      </c>
      <c r="G21" s="1" t="s">
        <v>8</v>
      </c>
      <c r="I21" s="1" t="s">
        <v>8</v>
      </c>
      <c r="K21" s="1" t="s">
        <v>8</v>
      </c>
      <c r="M21" s="1" t="s">
        <v>12</v>
      </c>
      <c r="O21" s="1" t="s">
        <v>8</v>
      </c>
      <c r="XCN21" s="0"/>
    </row>
    <row r="22" s="1" customFormat="true" ht="15" hidden="false" customHeight="false" outlineLevel="0" collapsed="false">
      <c r="A22" s="1" t="n">
        <v>20</v>
      </c>
      <c r="B22" s="1" t="s">
        <v>62</v>
      </c>
      <c r="C22" s="1" t="s">
        <v>63</v>
      </c>
      <c r="D22" s="2"/>
      <c r="E22" s="1" t="s">
        <v>8</v>
      </c>
      <c r="F22" s="1" t="s">
        <v>8</v>
      </c>
      <c r="G22" s="1" t="s">
        <v>8</v>
      </c>
      <c r="I22" s="1" t="s">
        <v>8</v>
      </c>
      <c r="K22" s="1" t="s">
        <v>8</v>
      </c>
      <c r="M22" s="1" t="s">
        <v>8</v>
      </c>
      <c r="O22" s="1" t="s">
        <v>8</v>
      </c>
      <c r="XCN22" s="0"/>
    </row>
    <row r="23" customFormat="false" ht="15" hidden="false" customHeight="false" outlineLevel="0" collapsed="false">
      <c r="C23" s="1" t="s">
        <v>64</v>
      </c>
      <c r="D23" s="1" t="s">
        <v>65</v>
      </c>
      <c r="E23" s="1" t="n">
        <f aca="false">COUNTIF(E3:E22,"P")</f>
        <v>19</v>
      </c>
      <c r="F23" s="1" t="n">
        <f aca="false">COUNTIF(F3:F22,"P")</f>
        <v>20</v>
      </c>
      <c r="G23" s="1" t="n">
        <f aca="false">COUNTIF(G3:G22,"P")</f>
        <v>17</v>
      </c>
      <c r="I23" s="1" t="n">
        <f aca="false">COUNTIF(I3:I22,"P")</f>
        <v>16</v>
      </c>
      <c r="K23" s="1" t="n">
        <f aca="false">COUNTIF(K3:K22,"P")</f>
        <v>17</v>
      </c>
      <c r="L23" s="1"/>
      <c r="M23" s="1" t="n">
        <f aca="false">COUNTIF(M3:M22,"P")</f>
        <v>18</v>
      </c>
      <c r="N23" s="1"/>
      <c r="O23" s="1" t="n">
        <f aca="false">COUNTIF(O3:O22,"P")</f>
        <v>17</v>
      </c>
    </row>
    <row r="24" customFormat="false" ht="15" hidden="false" customHeight="false" outlineLevel="0" collapsed="false">
      <c r="C24" s="1" t="s">
        <v>66</v>
      </c>
      <c r="D24" s="1" t="s">
        <v>66</v>
      </c>
      <c r="E24" s="1" t="n">
        <f aca="false">COUNTIF(E3:E17,"M")</f>
        <v>0</v>
      </c>
      <c r="F24" s="1" t="n">
        <f aca="false">COUNTIF(F3:F17,"M")</f>
        <v>0</v>
      </c>
      <c r="G24" s="1" t="n">
        <f aca="false">COUNTIF(G3:G17,"M")</f>
        <v>0</v>
      </c>
      <c r="I24" s="1" t="n">
        <f aca="false">COUNTIF(I3:I17,"M")</f>
        <v>0</v>
      </c>
      <c r="K24" s="1" t="n">
        <f aca="false">COUNTIF(K3:K17,"M")</f>
        <v>0</v>
      </c>
      <c r="L24" s="1"/>
      <c r="M24" s="1" t="n">
        <f aca="false">COUNTIF(M3:M17,"M")</f>
        <v>0</v>
      </c>
      <c r="N24" s="1"/>
      <c r="O24" s="1" t="n">
        <f aca="false">COUNTIF(O3:O17,"M")</f>
        <v>0</v>
      </c>
    </row>
    <row r="25" customFormat="false" ht="15" hidden="false" customHeight="false" outlineLevel="0" collapsed="false">
      <c r="C25" s="1" t="s">
        <v>67</v>
      </c>
      <c r="D25" s="1" t="s">
        <v>68</v>
      </c>
      <c r="E25" s="1" t="n">
        <f aca="false">COUNTIF(E3:E17,"T")</f>
        <v>0</v>
      </c>
      <c r="F25" s="1" t="n">
        <f aca="false">COUNTIF(F3:F17,"T")</f>
        <v>0</v>
      </c>
      <c r="G25" s="1" t="n">
        <f aca="false">COUNTIF(G3:G17,"T")</f>
        <v>1</v>
      </c>
      <c r="I25" s="1" t="n">
        <f aca="false">COUNTIF(I3:I17,"T")</f>
        <v>0</v>
      </c>
      <c r="K25" s="1" t="n">
        <f aca="false">COUNTIF(K3:K17,"T")</f>
        <v>1</v>
      </c>
      <c r="L25" s="1"/>
      <c r="M25" s="1" t="n">
        <f aca="false">COUNTIF(M3:M17,"T")</f>
        <v>1</v>
      </c>
      <c r="N25" s="1"/>
      <c r="O25" s="1" t="n">
        <f aca="false">COUNTIF(O3:O17,"T")</f>
        <v>0</v>
      </c>
    </row>
    <row r="26" customFormat="false" ht="15" hidden="false" customHeight="false" outlineLevel="0" collapsed="false">
      <c r="C26" s="1" t="s">
        <v>69</v>
      </c>
      <c r="E26" s="1" t="n">
        <f aca="false">SUM(E23:E25)</f>
        <v>19</v>
      </c>
      <c r="F26" s="1" t="n">
        <f aca="false">SUM(F23:F25)</f>
        <v>20</v>
      </c>
      <c r="G26" s="1" t="n">
        <f aca="false">SUM(G23:G25)</f>
        <v>18</v>
      </c>
      <c r="I26" s="1" t="n">
        <f aca="false">SUM(I23:I25)</f>
        <v>16</v>
      </c>
      <c r="K26" s="1" t="n">
        <f aca="false">SUM(K23:K25)</f>
        <v>18</v>
      </c>
      <c r="L26" s="1"/>
      <c r="M26" s="1" t="n">
        <f aca="false">SUM(M23:M25)</f>
        <v>19</v>
      </c>
      <c r="N26" s="1"/>
      <c r="O26" s="1" t="n">
        <f aca="false">SUM(O23:O25)</f>
        <v>17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21"/>
    <col collapsed="false" customWidth="true" hidden="false" outlineLevel="0" max="3" min="3" style="1" width="18.92"/>
    <col collapsed="false" customWidth="true" hidden="false" outlineLevel="0" max="16384" min="16339" style="0" width="10.58"/>
  </cols>
  <sheetData>
    <row r="1" customFormat="false" ht="15" hidden="false" customHeight="false" outlineLevel="0" collapsed="false">
      <c r="B1" s="2"/>
      <c r="C1" s="2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70</v>
      </c>
    </row>
    <row r="3" s="1" customFormat="true" ht="15.65" hidden="false" customHeight="false" outlineLevel="0" collapsed="false">
      <c r="A3" s="1" t="n">
        <v>1</v>
      </c>
      <c r="B3" s="1" t="s">
        <v>6</v>
      </c>
      <c r="C3" s="1" t="n">
        <v>10</v>
      </c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</row>
    <row r="4" s="1" customFormat="true" ht="15.65" hidden="false" customHeight="false" outlineLevel="0" collapsed="false">
      <c r="A4" s="1" t="n">
        <v>2</v>
      </c>
      <c r="B4" s="1" t="s">
        <v>10</v>
      </c>
      <c r="C4" s="1" t="n">
        <v>1</v>
      </c>
      <c r="D4" s="0"/>
      <c r="E4" s="0"/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</row>
    <row r="5" s="1" customFormat="true" ht="15.65" hidden="false" customHeight="false" outlineLevel="0" collapsed="false">
      <c r="A5" s="1" t="n">
        <v>3</v>
      </c>
      <c r="B5" s="1" t="s">
        <v>14</v>
      </c>
      <c r="C5" s="1" t="n">
        <v>1</v>
      </c>
      <c r="D5" s="0"/>
      <c r="E5" s="0"/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</row>
    <row r="6" s="1" customFormat="true" ht="15.65" hidden="false" customHeight="false" outlineLevel="0" collapsed="false">
      <c r="A6" s="1" t="n">
        <v>4</v>
      </c>
      <c r="B6" s="1" t="s">
        <v>17</v>
      </c>
      <c r="C6" s="1" t="n">
        <v>1</v>
      </c>
      <c r="D6" s="0"/>
      <c r="E6" s="0"/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</row>
    <row r="7" s="1" customFormat="true" ht="15.65" hidden="false" customHeight="false" outlineLevel="0" collapsed="false">
      <c r="A7" s="1" t="n">
        <v>5</v>
      </c>
      <c r="B7" s="1" t="s">
        <v>20</v>
      </c>
      <c r="C7" s="1" t="n">
        <v>3</v>
      </c>
      <c r="D7" s="0"/>
      <c r="E7" s="0"/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</row>
    <row r="8" s="1" customFormat="true" ht="15.65" hidden="false" customHeight="false" outlineLevel="0" collapsed="false">
      <c r="A8" s="1" t="n">
        <v>6</v>
      </c>
      <c r="B8" s="1" t="s">
        <v>23</v>
      </c>
      <c r="D8" s="0"/>
      <c r="E8" s="0"/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s="1" customFormat="true" ht="15.65" hidden="false" customHeight="false" outlineLevel="0" collapsed="false">
      <c r="A9" s="1" t="n">
        <v>7</v>
      </c>
      <c r="B9" s="1" t="s">
        <v>26</v>
      </c>
      <c r="C9" s="1" t="n">
        <v>1</v>
      </c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s="1" customFormat="true" ht="15.65" hidden="false" customHeight="false" outlineLevel="0" collapsed="false">
      <c r="A10" s="1" t="n">
        <v>8</v>
      </c>
      <c r="B10" s="1" t="s">
        <v>29</v>
      </c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s="1" customFormat="true" ht="15.65" hidden="false" customHeight="false" outlineLevel="0" collapsed="false">
      <c r="A11" s="1" t="n">
        <v>9</v>
      </c>
      <c r="B11" s="1" t="s">
        <v>33</v>
      </c>
      <c r="C11" s="1" t="n">
        <v>1</v>
      </c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s="1" customFormat="true" ht="15.65" hidden="false" customHeight="false" outlineLevel="0" collapsed="false">
      <c r="A12" s="1" t="n">
        <v>10</v>
      </c>
      <c r="B12" s="1" t="s">
        <v>36</v>
      </c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s="1" customFormat="true" ht="15.65" hidden="false" customHeight="false" outlineLevel="0" collapsed="false">
      <c r="A13" s="1" t="n">
        <v>11</v>
      </c>
      <c r="B13" s="1" t="s">
        <v>39</v>
      </c>
      <c r="C13" s="1" t="n">
        <v>1</v>
      </c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s="2" customFormat="true" ht="15.65" hidden="false" customHeight="false" outlineLevel="0" collapsed="false">
      <c r="A14" s="1" t="n">
        <v>12</v>
      </c>
      <c r="B14" s="1" t="s">
        <v>42</v>
      </c>
      <c r="C14" s="1" t="n">
        <v>1</v>
      </c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s="2" customFormat="true" ht="15.65" hidden="false" customHeight="false" outlineLevel="0" collapsed="false">
      <c r="A15" s="1" t="n">
        <v>13</v>
      </c>
      <c r="B15" s="1" t="s">
        <v>45</v>
      </c>
      <c r="C15" s="1" t="n">
        <v>3</v>
      </c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5.65" hidden="false" customHeight="false" outlineLevel="0" collapsed="false">
      <c r="A16" s="1" t="n">
        <v>14</v>
      </c>
      <c r="B16" s="1" t="s">
        <v>48</v>
      </c>
      <c r="C16" s="1" t="n">
        <v>10</v>
      </c>
    </row>
    <row r="17" customFormat="false" ht="15.65" hidden="false" customHeight="false" outlineLevel="0" collapsed="false">
      <c r="A17" s="1" t="n">
        <v>15</v>
      </c>
      <c r="B17" s="1" t="s">
        <v>51</v>
      </c>
      <c r="C17" s="1" t="n">
        <v>1</v>
      </c>
    </row>
    <row r="18" customFormat="false" ht="15.65" hidden="false" customHeight="false" outlineLevel="0" collapsed="false">
      <c r="A18" s="1" t="n">
        <v>16</v>
      </c>
      <c r="B18" s="1" t="s">
        <v>54</v>
      </c>
      <c r="C18" s="1" t="n">
        <v>10</v>
      </c>
    </row>
    <row r="19" customFormat="false" ht="15" hidden="false" customHeight="false" outlineLevel="0" collapsed="false">
      <c r="A19" s="1" t="n">
        <v>17</v>
      </c>
      <c r="B19" s="1" t="s">
        <v>57</v>
      </c>
      <c r="C19" s="1" t="n">
        <v>10</v>
      </c>
    </row>
    <row r="20" customFormat="false" ht="15" hidden="false" customHeight="false" outlineLevel="0" collapsed="false">
      <c r="A20" s="1" t="n">
        <v>18</v>
      </c>
      <c r="B20" s="1" t="s">
        <v>59</v>
      </c>
    </row>
    <row r="21" customFormat="false" ht="15" hidden="false" customHeight="false" outlineLevel="0" collapsed="false">
      <c r="A21" s="1" t="n">
        <v>19</v>
      </c>
      <c r="B21" s="1" t="s">
        <v>61</v>
      </c>
      <c r="C21" s="1" t="n">
        <v>1</v>
      </c>
    </row>
    <row r="22" customFormat="false" ht="15" hidden="false" customHeight="false" outlineLevel="0" collapsed="false">
      <c r="A22" s="1" t="n">
        <v>20</v>
      </c>
      <c r="B22" s="1" t="s">
        <v>63</v>
      </c>
      <c r="C22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2026-05-07T14:46:15Z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