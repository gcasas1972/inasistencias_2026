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istencia" sheetId="1" state="visible" r:id="rId3"/>
    <sheet name="notas" sheetId="2" state="visible" r:id="rId4"/>
    <sheet name="1-dos fuentes" sheetId="3" state="visible" r:id="rId5"/>
    <sheet name="2-RealColBase" sheetId="4" state="visible" r:id="rId6"/>
    <sheet name="3-ThevYNor" sheetId="5" state="visible" r:id="rId7"/>
    <sheet name="4-DivResistivo" sheetId="6" state="visible" r:id="rId8"/>
    <sheet name="positivos" sheetId="7" state="visible" r:id="rId9"/>
    <sheet name="Ravanelli" sheetId="8" state="visible" r:id="rId10"/>
    <sheet name="Evaluacion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<sst xmlns="http://schemas.openxmlformats.org/spreadsheetml/2006/main" count="1064" uniqueCount="122">
  <si>
    <t xml:space="preserve">nota carpeta</t>
  </si>
  <si>
    <t xml:space="preserve">nro</t>
  </si>
  <si>
    <t xml:space="preserve">Nombre</t>
  </si>
  <si>
    <t xml:space="preserve">Apellido(s)</t>
  </si>
  <si>
    <t xml:space="preserve">Dirección de correo</t>
  </si>
  <si>
    <t xml:space="preserve">obs</t>
  </si>
  <si>
    <t xml:space="preserve">presente</t>
  </si>
  <si>
    <t xml:space="preserve">ausentes</t>
  </si>
  <si>
    <t xml:space="preserve">total</t>
  </si>
  <si>
    <t xml:space="preserve">nota</t>
  </si>
  <si>
    <t xml:space="preserve">Joaquin Leandro David</t>
  </si>
  <si>
    <t xml:space="preserve">ALCARAZ</t>
  </si>
  <si>
    <t xml:space="preserve">49810411@gmail.com</t>
  </si>
  <si>
    <t xml:space="preserve">P</t>
  </si>
  <si>
    <t xml:space="preserve">A</t>
  </si>
  <si>
    <t xml:space="preserve">se retiro 17:25</t>
  </si>
  <si>
    <t xml:space="preserve">Facundo Gonzalo</t>
  </si>
  <si>
    <t xml:space="preserve">ARREDONDO</t>
  </si>
  <si>
    <t xml:space="preserve">arredondofacundo406@gmail.com</t>
  </si>
  <si>
    <t xml:space="preserve">Damian Agustin</t>
  </si>
  <si>
    <t xml:space="preserve">Coronel (Recur)</t>
  </si>
  <si>
    <t xml:space="preserve">50094499@faa.mil.ar</t>
  </si>
  <si>
    <t xml:space="preserve">Recursante</t>
  </si>
  <si>
    <t xml:space="preserve">recuersante</t>
  </si>
  <si>
    <t xml:space="preserve">Santiago Gael</t>
  </si>
  <si>
    <t xml:space="preserve">DIAZ</t>
  </si>
  <si>
    <t xml:space="preserve">50157134@gmail.com</t>
  </si>
  <si>
    <t xml:space="preserve">Candelaria Luisana</t>
  </si>
  <si>
    <t xml:space="preserve">FARIAS RUIZ</t>
  </si>
  <si>
    <t xml:space="preserve">49960662@gmail.com</t>
  </si>
  <si>
    <t xml:space="preserve">enfermedad</t>
  </si>
  <si>
    <t xml:space="preserve">Oriana Berenice</t>
  </si>
  <si>
    <t xml:space="preserve">FRANCOLINO</t>
  </si>
  <si>
    <t xml:space="preserve">50096602@gmail.com</t>
  </si>
  <si>
    <t xml:space="preserve">Juan Diego</t>
  </si>
  <si>
    <t xml:space="preserve">GIRALDO GONZALEZ</t>
  </si>
  <si>
    <t xml:space="preserve">95622238@gmail.com</t>
  </si>
  <si>
    <t xml:space="preserve">Demian Ignacio</t>
  </si>
  <si>
    <t xml:space="preserve">JUNCAL</t>
  </si>
  <si>
    <t xml:space="preserve">50142917@gmail.com</t>
  </si>
  <si>
    <t xml:space="preserve">Jeremias Luciano</t>
  </si>
  <si>
    <t xml:space="preserve">LESME</t>
  </si>
  <si>
    <t xml:space="preserve">jeremiaslesme9@gmail.com</t>
  </si>
  <si>
    <t xml:space="preserve">Laionel Dylan</t>
  </si>
  <si>
    <t xml:space="preserve">LOAIZA</t>
  </si>
  <si>
    <t xml:space="preserve">50395668@gmail.com</t>
  </si>
  <si>
    <t xml:space="preserve">Thiago Valentin</t>
  </si>
  <si>
    <t xml:space="preserve">LUCERO</t>
  </si>
  <si>
    <t xml:space="preserve">49602531@gmail.com</t>
  </si>
  <si>
    <t xml:space="preserve">Thiago Gabriel</t>
  </si>
  <si>
    <t xml:space="preserve">LUJAN</t>
  </si>
  <si>
    <t xml:space="preserve">49927919@gmail.com</t>
  </si>
  <si>
    <t xml:space="preserve">se retiro</t>
  </si>
  <si>
    <t xml:space="preserve">Tahiel Eliseo</t>
  </si>
  <si>
    <t xml:space="preserve">MANRIQUE DI FLORIO</t>
  </si>
  <si>
    <t xml:space="preserve">50276004@gmail.com</t>
  </si>
  <si>
    <t xml:space="preserve">Fabrizio Juan</t>
  </si>
  <si>
    <t xml:space="preserve">MARTINEZ RUIZ DIAZ</t>
  </si>
  <si>
    <t xml:space="preserve">martnezfabrizio84@gmail.com</t>
  </si>
  <si>
    <t xml:space="preserve">Franco Ezequiel</t>
  </si>
  <si>
    <t xml:space="preserve">MELIN</t>
  </si>
  <si>
    <t xml:space="preserve">50353508@gmail.com</t>
  </si>
  <si>
    <t xml:space="preserve">Uma Bianca</t>
  </si>
  <si>
    <t xml:space="preserve">OLIVERA</t>
  </si>
  <si>
    <t xml:space="preserve">49679317@gmail.com</t>
  </si>
  <si>
    <t xml:space="preserve">Delfina Elizabeth</t>
  </si>
  <si>
    <t xml:space="preserve">ORTEGA</t>
  </si>
  <si>
    <t xml:space="preserve">49988641@gmail.com</t>
  </si>
  <si>
    <t xml:space="preserve">Alejo Julián</t>
  </si>
  <si>
    <t xml:space="preserve">PALERMO TEJADA</t>
  </si>
  <si>
    <t xml:space="preserve">palermoalejo@gmail.com</t>
  </si>
  <si>
    <t xml:space="preserve">Mateo Leonel</t>
  </si>
  <si>
    <t xml:space="preserve">PRADO</t>
  </si>
  <si>
    <t xml:space="preserve">49880530@gmail.com</t>
  </si>
  <si>
    <t xml:space="preserve">Ivan Manuel</t>
  </si>
  <si>
    <t xml:space="preserve">RAVANELLI</t>
  </si>
  <si>
    <t xml:space="preserve">49521904@gmail.com</t>
  </si>
  <si>
    <t xml:space="preserve">Agustin</t>
  </si>
  <si>
    <t xml:space="preserve">Romero</t>
  </si>
  <si>
    <t xml:space="preserve">ajolote47356@gmail.com</t>
  </si>
  <si>
    <t xml:space="preserve">Matias Lionel</t>
  </si>
  <si>
    <t xml:space="preserve">SAIGUA FRANCO</t>
  </si>
  <si>
    <t xml:space="preserve">49547928@gmail.com</t>
  </si>
  <si>
    <t xml:space="preserve">Giuliana Abril</t>
  </si>
  <si>
    <t xml:space="preserve">VIDELA</t>
  </si>
  <si>
    <t xml:space="preserve">49676632@gmail.com</t>
  </si>
  <si>
    <t xml:space="preserve">presentes</t>
  </si>
  <si>
    <t xml:space="preserve">Grupo</t>
  </si>
  <si>
    <t xml:space="preserve">carpeta nota</t>
  </si>
  <si>
    <t xml:space="preserve">Evaluacion</t>
  </si>
  <si>
    <t xml:space="preserve">1-dos fuentes</t>
  </si>
  <si>
    <t xml:space="preserve">Recup</t>
  </si>
  <si>
    <t xml:space="preserve">2-real col</t>
  </si>
  <si>
    <t xml:space="preserve">3-Thevenin</t>
  </si>
  <si>
    <t xml:space="preserve">4-Div-Reis</t>
  </si>
  <si>
    <t xml:space="preserve">Asistencia</t>
  </si>
  <si>
    <t xml:space="preserve">valoracion</t>
  </si>
  <si>
    <t xml:space="preserve">6.1-Diseño oscilador</t>
  </si>
  <si>
    <t xml:space="preserve">6.2-Diseño-TR</t>
  </si>
  <si>
    <t xml:space="preserve">Coronel</t>
  </si>
  <si>
    <t xml:space="preserve">Calificación/10,00</t>
  </si>
  <si>
    <t xml:space="preserve">promedio</t>
  </si>
  <si>
    <t xml:space="preserve">segundo</t>
  </si>
  <si>
    <t xml:space="preserve">final</t>
  </si>
  <si>
    <t xml:space="preserve">Final 2</t>
  </si>
  <si>
    <t xml:space="preserve">totoal</t>
  </si>
  <si>
    <t xml:space="preserve">Ravanelli – Temas adeundados</t>
  </si>
  <si>
    <t xml:space="preserve">Electrónica</t>
  </si>
  <si>
    <t xml:space="preserve">Revision de teorema de Thevenin y Norton</t>
  </si>
  <si>
    <t xml:space="preserve">Polarizacion de transistores en forma estática con 2 fuentes</t>
  </si>
  <si>
    <t xml:space="preserve">Polarizacion de transistores con realimentación colector base</t>
  </si>
  <si>
    <t xml:space="preserve">Polarizacion de transistores con divisor resistivo</t>
  </si>
  <si>
    <t xml:space="preserve">Instrumental y sistemas eléctricos</t>
  </si>
  <si>
    <t xml:space="preserve">sistemas de navegacion </t>
  </si>
  <si>
    <t xml:space="preserve">indicadores de vuelo RMI</t>
  </si>
  <si>
    <t xml:space="preserve">tipos de cabinas de aviones y sus generaciones</t>
  </si>
  <si>
    <t xml:space="preserve">Instrumentos de abordo</t>
  </si>
  <si>
    <t xml:space="preserve">Tecnicas Diginales</t>
  </si>
  <si>
    <t xml:space="preserve">Codigos, pasajes</t>
  </si>
  <si>
    <t xml:space="preserve">Algebra de boole</t>
  </si>
  <si>
    <t xml:space="preserve">Compuertas</t>
  </si>
  <si>
    <t xml:space="preserve">Diagramas de Karnagh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</si>
</sst>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General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A933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b val="1"/>
        <color rgb="FF000000"/>
        <sz val="12"/>
      </font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6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M19" activeCellId="0" sqref="AM19"/>
    </sheetView>
  </sheetViews>
  <sheetFormatPr defaultColWidth="8.86328125" defaultRowHeight="15" zeroHeight="false" outlineLevelRow="0" outlineLevelCol="0"/>
  <cols>
    <col collapsed="false" customWidth="true" hidden="false" outlineLevel="0" max="1" min="1" style="1" width="10.46"/>
    <col collapsed="false" customWidth="true" hidden="true" outlineLevel="0" max="2" min="2" style="1" width="20.07"/>
    <col collapsed="false" customWidth="true" hidden="false" outlineLevel="0" max="3" min="3" style="1" width="20.07"/>
    <col collapsed="false" customWidth="true" hidden="true" outlineLevel="0" max="4" min="4" style="1" width="35.71"/>
    <col collapsed="false" customWidth="false" hidden="true" outlineLevel="0" max="6" min="5" style="1" width="8.86"/>
    <col collapsed="false" customWidth="true" hidden="true" outlineLevel="0" max="7" min="7" style="1" width="10.76"/>
    <col collapsed="false" customWidth="false" hidden="true" outlineLevel="0" max="12" min="8" style="1" width="8.86"/>
    <col collapsed="false" customWidth="true" hidden="true" outlineLevel="0" max="13" min="13" style="1" width="13.56"/>
    <col collapsed="false" customWidth="false" hidden="true" outlineLevel="0" max="30" min="14" style="1" width="8.86"/>
    <col collapsed="false" customWidth="true" hidden="false" outlineLevel="0" max="984" min="984" style="1" width="9.33"/>
    <col collapsed="false" customWidth="true" hidden="false" outlineLevel="0" max="16384" min="16345" style="1" width="10.58"/>
  </cols>
  <sheetData>
    <row r="1" customFormat="false" ht="15" hidden="false" customHeight="false" outlineLevel="0" collapsed="false">
      <c r="B1" s="2"/>
      <c r="C1" s="2"/>
      <c r="D1" s="2"/>
      <c r="N1" s="2" t="s">
        <v>0</v>
      </c>
      <c r="O1" s="2"/>
    </row>
    <row r="2" customFormat="false" ht="15" hidden="false" customHeight="false" outlineLevel="0" collapsed="false">
      <c r="A2" s="1" t="s">
        <v>1</v>
      </c>
      <c r="B2" s="2" t="s">
        <v>2</v>
      </c>
      <c r="C2" s="2" t="s">
        <v>3</v>
      </c>
      <c r="D2" s="2" t="s">
        <v>4</v>
      </c>
      <c r="E2" s="3" t="n">
        <v>46092</v>
      </c>
      <c r="F2" s="3" t="n">
        <v>46099</v>
      </c>
      <c r="G2" s="2" t="s">
        <v>5</v>
      </c>
      <c r="H2" s="3" t="n">
        <v>46106</v>
      </c>
      <c r="I2" s="3" t="s">
        <v>5</v>
      </c>
      <c r="J2" s="3" t="n">
        <v>46113</v>
      </c>
      <c r="K2" s="3" t="n">
        <v>46120</v>
      </c>
      <c r="L2" s="3" t="n">
        <v>46127</v>
      </c>
      <c r="M2" s="3" t="s">
        <v>5</v>
      </c>
      <c r="N2" s="3" t="n">
        <v>46134</v>
      </c>
      <c r="O2" s="3" t="s">
        <v>5</v>
      </c>
      <c r="P2" s="3" t="n">
        <v>46141</v>
      </c>
      <c r="Q2" s="3" t="n">
        <v>46148</v>
      </c>
      <c r="R2" s="3" t="n">
        <v>46155</v>
      </c>
      <c r="S2" s="3" t="s">
        <v>5</v>
      </c>
      <c r="T2" s="3" t="n">
        <v>46162</v>
      </c>
      <c r="U2" s="3" t="s">
        <v>5</v>
      </c>
      <c r="V2" s="3" t="n">
        <v>46169</v>
      </c>
      <c r="W2" s="3" t="s">
        <v>6</v>
      </c>
      <c r="X2" s="3" t="s">
        <v>7</v>
      </c>
      <c r="Y2" s="3" t="s">
        <v>8</v>
      </c>
      <c r="Z2" s="3" t="s">
        <v>9</v>
      </c>
      <c r="AA2" s="3" t="n">
        <v>46176</v>
      </c>
      <c r="AB2" s="3" t="n">
        <v>46183</v>
      </c>
      <c r="AC2" s="3" t="n">
        <v>46190</v>
      </c>
      <c r="AD2" s="3" t="n">
        <v>46197</v>
      </c>
      <c r="AE2" s="3" t="n">
        <v>46204</v>
      </c>
      <c r="AF2" s="3" t="n">
        <v>46211</v>
      </c>
      <c r="AG2" s="3" t="n">
        <v>46246</v>
      </c>
      <c r="AH2" s="3" t="n">
        <v>46253</v>
      </c>
      <c r="AI2" s="3" t="n">
        <v>46267</v>
      </c>
      <c r="AJ2" s="3" t="n">
        <v>46274</v>
      </c>
      <c r="AK2" s="3" t="n">
        <v>46281</v>
      </c>
      <c r="AL2" s="3" t="n">
        <v>46288</v>
      </c>
      <c r="AM2" s="3" t="n">
        <v>46295</v>
      </c>
      <c r="AN2" s="3" t="n">
        <v>46302</v>
      </c>
      <c r="AO2" s="3" t="n">
        <v>46309</v>
      </c>
      <c r="AP2" s="3" t="n">
        <v>46316</v>
      </c>
      <c r="AQ2" s="3" t="n">
        <v>46323</v>
      </c>
      <c r="AR2" s="3" t="n">
        <v>46330</v>
      </c>
      <c r="AS2" s="3" t="n">
        <v>46337</v>
      </c>
      <c r="AT2" s="3" t="n">
        <v>46344</v>
      </c>
      <c r="AU2" s="3" t="n">
        <v>46351</v>
      </c>
      <c r="AV2" s="3" t="n">
        <v>46358</v>
      </c>
      <c r="AW2" s="3" t="n">
        <v>46365</v>
      </c>
      <c r="AX2" s="3" t="n">
        <v>46372</v>
      </c>
      <c r="AY2" s="3" t="n">
        <v>46379</v>
      </c>
      <c r="AZ2" s="3" t="n">
        <v>46386</v>
      </c>
      <c r="BA2" s="3"/>
      <c r="BB2" s="3"/>
      <c r="BC2" s="3"/>
      <c r="BD2" s="3"/>
      <c r="BE2" s="3"/>
      <c r="BF2" s="3"/>
      <c r="BG2" s="3"/>
      <c r="BH2" s="3"/>
      <c r="BI2" s="3"/>
      <c r="BJ2" s="3"/>
    </row>
    <row r="3" customFormat="false" ht="15" hidden="false" customHeight="false" outlineLevel="0" collapsed="false">
      <c r="A3" s="1" t="n">
        <v>1</v>
      </c>
      <c r="B3" s="1" t="s">
        <v>10</v>
      </c>
      <c r="C3" s="1" t="s">
        <v>11</v>
      </c>
      <c r="D3" s="1" t="s">
        <v>12</v>
      </c>
      <c r="E3" s="2" t="s">
        <v>13</v>
      </c>
      <c r="F3" s="2" t="s">
        <v>13</v>
      </c>
      <c r="H3" s="2" t="s">
        <v>13</v>
      </c>
      <c r="J3" s="2" t="s">
        <v>13</v>
      </c>
      <c r="K3" s="2" t="s">
        <v>13</v>
      </c>
      <c r="L3" s="2" t="s">
        <v>14</v>
      </c>
      <c r="M3" s="2" t="s">
        <v>15</v>
      </c>
      <c r="N3" s="2" t="s">
        <v>13</v>
      </c>
      <c r="P3" s="2" t="s">
        <v>13</v>
      </c>
      <c r="Q3" s="2" t="s">
        <v>13</v>
      </c>
      <c r="R3" s="2" t="s">
        <v>13</v>
      </c>
      <c r="T3" s="2" t="s">
        <v>13</v>
      </c>
      <c r="U3" s="2"/>
      <c r="V3" s="2" t="s">
        <v>13</v>
      </c>
      <c r="W3" s="2" t="n">
        <f aca="false">COUNTIF(E3:V3,"P")</f>
        <v>11</v>
      </c>
      <c r="X3" s="2" t="n">
        <f aca="false">COUNTIF(E3:V3,"A")</f>
        <v>1</v>
      </c>
      <c r="Y3" s="2" t="n">
        <f aca="false">SUM(W3:X3)</f>
        <v>12</v>
      </c>
      <c r="Z3" s="4" t="n">
        <f aca="false">ROUND(W3*10/Y3,0)</f>
        <v>9</v>
      </c>
      <c r="AA3" s="2" t="s">
        <v>13</v>
      </c>
      <c r="AB3" s="2" t="s">
        <v>13</v>
      </c>
      <c r="AC3" s="2" t="s">
        <v>13</v>
      </c>
      <c r="AD3" s="2" t="s">
        <v>13</v>
      </c>
      <c r="AE3" s="2" t="s">
        <v>13</v>
      </c>
      <c r="AF3" s="5" t="s">
        <v>13</v>
      </c>
      <c r="AG3" s="2" t="s">
        <v>13</v>
      </c>
      <c r="AH3" s="2" t="s">
        <v>13</v>
      </c>
      <c r="AI3" s="2" t="s">
        <v>13</v>
      </c>
      <c r="AJ3" s="2" t="s">
        <v>13</v>
      </c>
      <c r="AK3" s="2" t="s">
        <v>13</v>
      </c>
      <c r="AL3" s="2" t="s">
        <v>13</v>
      </c>
      <c r="AM3" s="6" t="s">
        <v>13</v>
      </c>
    </row>
    <row r="4" customFormat="false" ht="15" hidden="false" customHeight="false" outlineLevel="0" collapsed="false">
      <c r="A4" s="1" t="n">
        <v>2</v>
      </c>
      <c r="B4" s="1" t="s">
        <v>16</v>
      </c>
      <c r="C4" s="1" t="s">
        <v>17</v>
      </c>
      <c r="D4" s="1" t="s">
        <v>18</v>
      </c>
      <c r="E4" s="2" t="s">
        <v>13</v>
      </c>
      <c r="F4" s="2" t="s">
        <v>13</v>
      </c>
      <c r="H4" s="2" t="s">
        <v>13</v>
      </c>
      <c r="J4" s="2" t="s">
        <v>13</v>
      </c>
      <c r="K4" s="2" t="s">
        <v>13</v>
      </c>
      <c r="L4" s="2" t="s">
        <v>13</v>
      </c>
      <c r="N4" s="2" t="s">
        <v>13</v>
      </c>
      <c r="P4" s="2" t="s">
        <v>13</v>
      </c>
      <c r="Q4" s="2" t="s">
        <v>13</v>
      </c>
      <c r="R4" s="2" t="s">
        <v>13</v>
      </c>
      <c r="T4" s="2" t="s">
        <v>13</v>
      </c>
      <c r="U4" s="2"/>
      <c r="V4" s="2" t="s">
        <v>13</v>
      </c>
      <c r="W4" s="2" t="n">
        <f aca="false">COUNTIF(E4:V4,"P")</f>
        <v>12</v>
      </c>
      <c r="X4" s="2" t="n">
        <f aca="false">COUNTIF(E4:V4,"A")</f>
        <v>0</v>
      </c>
      <c r="Y4" s="2" t="n">
        <f aca="false">SUM(W4:X4)</f>
        <v>12</v>
      </c>
      <c r="Z4" s="4" t="n">
        <f aca="false">ROUND(W4*10/Y4,0)</f>
        <v>10</v>
      </c>
      <c r="AA4" s="2" t="s">
        <v>13</v>
      </c>
      <c r="AB4" s="2" t="s">
        <v>13</v>
      </c>
      <c r="AC4" s="2" t="s">
        <v>13</v>
      </c>
      <c r="AD4" s="2" t="s">
        <v>13</v>
      </c>
      <c r="AE4" s="2" t="s">
        <v>13</v>
      </c>
      <c r="AF4" s="2" t="s">
        <v>14</v>
      </c>
      <c r="AG4" s="2" t="s">
        <v>13</v>
      </c>
      <c r="AH4" s="2" t="s">
        <v>13</v>
      </c>
      <c r="AI4" s="2" t="s">
        <v>13</v>
      </c>
      <c r="AJ4" s="2" t="s">
        <v>13</v>
      </c>
      <c r="AK4" s="2" t="s">
        <v>13</v>
      </c>
      <c r="AL4" s="2" t="s">
        <v>13</v>
      </c>
      <c r="AM4" s="6" t="s">
        <v>14</v>
      </c>
    </row>
    <row r="5" s="7" customFormat="true" ht="15" hidden="false" customHeight="false" outlineLevel="0" collapsed="false">
      <c r="A5" s="7" t="n">
        <v>3</v>
      </c>
      <c r="B5" s="7" t="s">
        <v>19</v>
      </c>
      <c r="C5" s="7" t="s">
        <v>20</v>
      </c>
      <c r="D5" s="7" t="s">
        <v>21</v>
      </c>
      <c r="E5" s="8" t="s">
        <v>13</v>
      </c>
      <c r="F5" s="8" t="s">
        <v>14</v>
      </c>
      <c r="G5" s="8" t="s">
        <v>22</v>
      </c>
      <c r="H5" s="8" t="s">
        <v>14</v>
      </c>
      <c r="I5" s="8" t="s">
        <v>22</v>
      </c>
      <c r="J5" s="8" t="s">
        <v>13</v>
      </c>
      <c r="K5" s="8" t="s">
        <v>14</v>
      </c>
      <c r="L5" s="8" t="s">
        <v>14</v>
      </c>
      <c r="M5" s="8" t="s">
        <v>23</v>
      </c>
      <c r="N5" s="8" t="s">
        <v>14</v>
      </c>
      <c r="P5" s="8" t="s">
        <v>14</v>
      </c>
      <c r="Q5" s="8" t="s">
        <v>14</v>
      </c>
      <c r="R5" s="7" t="s">
        <v>14</v>
      </c>
      <c r="T5" s="7" t="s">
        <v>14</v>
      </c>
      <c r="V5" s="7" t="s">
        <v>14</v>
      </c>
      <c r="W5" s="7" t="n">
        <f aca="false">COUNTIF(E5:V5,"P")</f>
        <v>2</v>
      </c>
      <c r="X5" s="7" t="n">
        <f aca="false">COUNTIF(E5:V5,"A")</f>
        <v>10</v>
      </c>
      <c r="Y5" s="7" t="n">
        <f aca="false">SUM(W5:X5)</f>
        <v>12</v>
      </c>
      <c r="Z5" s="9" t="n">
        <f aca="false">ROUND(W5*10/Y5,0)</f>
        <v>2</v>
      </c>
      <c r="AA5" s="7" t="s">
        <v>14</v>
      </c>
      <c r="AB5" s="7" t="s">
        <v>14</v>
      </c>
      <c r="AC5" s="7" t="s">
        <v>14</v>
      </c>
      <c r="AD5" s="7" t="s">
        <v>14</v>
      </c>
      <c r="AE5" s="7" t="s">
        <v>14</v>
      </c>
      <c r="AF5" s="7" t="s">
        <v>14</v>
      </c>
      <c r="AG5" s="7" t="s">
        <v>14</v>
      </c>
      <c r="AH5" s="7" t="s">
        <v>14</v>
      </c>
      <c r="AI5" s="7" t="s">
        <v>14</v>
      </c>
      <c r="AJ5" s="7" t="s">
        <v>14</v>
      </c>
      <c r="AK5" s="7" t="s">
        <v>14</v>
      </c>
      <c r="AL5" s="7" t="s">
        <v>14</v>
      </c>
      <c r="AM5" s="7" t="s">
        <v>14</v>
      </c>
      <c r="XDR5" s="1"/>
    </row>
    <row r="6" customFormat="false" ht="15" hidden="false" customHeight="false" outlineLevel="0" collapsed="false">
      <c r="A6" s="1" t="n">
        <v>4</v>
      </c>
      <c r="B6" s="1" t="s">
        <v>24</v>
      </c>
      <c r="C6" s="1" t="s">
        <v>25</v>
      </c>
      <c r="D6" s="1" t="s">
        <v>26</v>
      </c>
      <c r="E6" s="2" t="s">
        <v>13</v>
      </c>
      <c r="F6" s="2" t="s">
        <v>13</v>
      </c>
      <c r="H6" s="2" t="s">
        <v>13</v>
      </c>
      <c r="J6" s="2" t="s">
        <v>13</v>
      </c>
      <c r="K6" s="2" t="s">
        <v>13</v>
      </c>
      <c r="L6" s="2" t="s">
        <v>13</v>
      </c>
      <c r="N6" s="2" t="s">
        <v>13</v>
      </c>
      <c r="P6" s="2" t="s">
        <v>13</v>
      </c>
      <c r="Q6" s="2" t="s">
        <v>13</v>
      </c>
      <c r="R6" s="2" t="s">
        <v>13</v>
      </c>
      <c r="T6" s="2" t="s">
        <v>13</v>
      </c>
      <c r="U6" s="2"/>
      <c r="V6" s="2" t="s">
        <v>13</v>
      </c>
      <c r="W6" s="2" t="n">
        <f aca="false">COUNTIF(E6:V6,"P")</f>
        <v>12</v>
      </c>
      <c r="X6" s="2" t="n">
        <f aca="false">COUNTIF(E6:V6,"A")</f>
        <v>0</v>
      </c>
      <c r="Y6" s="2" t="n">
        <f aca="false">SUM(W6:X6)</f>
        <v>12</v>
      </c>
      <c r="Z6" s="4" t="n">
        <f aca="false">ROUND(W6*10/Y6,0)</f>
        <v>10</v>
      </c>
      <c r="AA6" s="2" t="s">
        <v>13</v>
      </c>
      <c r="AB6" s="2" t="s">
        <v>13</v>
      </c>
      <c r="AC6" s="2" t="s">
        <v>13</v>
      </c>
      <c r="AD6" s="2" t="s">
        <v>13</v>
      </c>
      <c r="AE6" s="2" t="s">
        <v>13</v>
      </c>
      <c r="AF6" s="2" t="s">
        <v>13</v>
      </c>
      <c r="AG6" s="2" t="s">
        <v>13</v>
      </c>
      <c r="AH6" s="2" t="s">
        <v>13</v>
      </c>
      <c r="AI6" s="2" t="s">
        <v>13</v>
      </c>
      <c r="AJ6" s="2" t="s">
        <v>13</v>
      </c>
      <c r="AK6" s="2" t="s">
        <v>13</v>
      </c>
      <c r="AL6" s="2" t="s">
        <v>13</v>
      </c>
      <c r="AM6" s="6" t="s">
        <v>13</v>
      </c>
    </row>
    <row r="7" customFormat="false" ht="15" hidden="false" customHeight="false" outlineLevel="0" collapsed="false">
      <c r="A7" s="1" t="n">
        <v>5</v>
      </c>
      <c r="B7" s="1" t="s">
        <v>27</v>
      </c>
      <c r="C7" s="1" t="s">
        <v>28</v>
      </c>
      <c r="D7" s="1" t="s">
        <v>29</v>
      </c>
      <c r="E7" s="2" t="s">
        <v>13</v>
      </c>
      <c r="F7" s="2" t="s">
        <v>13</v>
      </c>
      <c r="H7" s="2" t="s">
        <v>13</v>
      </c>
      <c r="J7" s="2" t="s">
        <v>13</v>
      </c>
      <c r="K7" s="2" t="s">
        <v>13</v>
      </c>
      <c r="L7" s="2" t="s">
        <v>13</v>
      </c>
      <c r="N7" s="2" t="s">
        <v>13</v>
      </c>
      <c r="P7" s="2" t="s">
        <v>13</v>
      </c>
      <c r="Q7" s="2" t="s">
        <v>13</v>
      </c>
      <c r="R7" s="2" t="s">
        <v>13</v>
      </c>
      <c r="T7" s="2" t="s">
        <v>13</v>
      </c>
      <c r="U7" s="2" t="s">
        <v>30</v>
      </c>
      <c r="V7" s="2" t="s">
        <v>13</v>
      </c>
      <c r="W7" s="2" t="n">
        <f aca="false">COUNTIF(E7:V7,"P")</f>
        <v>12</v>
      </c>
      <c r="X7" s="2" t="n">
        <f aca="false">COUNTIF(E7:V7,"A")</f>
        <v>0</v>
      </c>
      <c r="Y7" s="2" t="n">
        <f aca="false">SUM(W7:X7)</f>
        <v>12</v>
      </c>
      <c r="Z7" s="4" t="n">
        <f aca="false">ROUND(W7*10/Y7,0)</f>
        <v>10</v>
      </c>
      <c r="AA7" s="2" t="s">
        <v>13</v>
      </c>
      <c r="AB7" s="2" t="s">
        <v>14</v>
      </c>
      <c r="AC7" s="2" t="s">
        <v>13</v>
      </c>
      <c r="AD7" s="2" t="s">
        <v>13</v>
      </c>
      <c r="AE7" s="2" t="s">
        <v>13</v>
      </c>
      <c r="AF7" s="2" t="s">
        <v>13</v>
      </c>
      <c r="AG7" s="2" t="s">
        <v>13</v>
      </c>
      <c r="AH7" s="2" t="s">
        <v>13</v>
      </c>
      <c r="AI7" s="2" t="s">
        <v>13</v>
      </c>
      <c r="AJ7" s="2" t="s">
        <v>13</v>
      </c>
      <c r="AK7" s="2" t="s">
        <v>13</v>
      </c>
      <c r="AL7" s="2" t="s">
        <v>13</v>
      </c>
      <c r="AM7" s="6" t="s">
        <v>13</v>
      </c>
    </row>
    <row r="8" customFormat="false" ht="15" hidden="false" customHeight="false" outlineLevel="0" collapsed="false">
      <c r="A8" s="1" t="n">
        <v>6</v>
      </c>
      <c r="B8" s="1" t="s">
        <v>31</v>
      </c>
      <c r="C8" s="1" t="s">
        <v>32</v>
      </c>
      <c r="D8" s="1" t="s">
        <v>33</v>
      </c>
      <c r="E8" s="2" t="s">
        <v>13</v>
      </c>
      <c r="F8" s="2" t="s">
        <v>13</v>
      </c>
      <c r="H8" s="2" t="s">
        <v>13</v>
      </c>
      <c r="J8" s="2" t="s">
        <v>13</v>
      </c>
      <c r="K8" s="2" t="s">
        <v>13</v>
      </c>
      <c r="L8" s="2" t="s">
        <v>13</v>
      </c>
      <c r="N8" s="2" t="s">
        <v>14</v>
      </c>
      <c r="P8" s="2" t="s">
        <v>13</v>
      </c>
      <c r="Q8" s="2" t="s">
        <v>13</v>
      </c>
      <c r="R8" s="2" t="s">
        <v>13</v>
      </c>
      <c r="T8" s="2" t="s">
        <v>13</v>
      </c>
      <c r="U8" s="2"/>
      <c r="V8" s="2" t="s">
        <v>13</v>
      </c>
      <c r="W8" s="2" t="n">
        <f aca="false">COUNTIF(E8:V8,"P")</f>
        <v>11</v>
      </c>
      <c r="X8" s="2" t="n">
        <f aca="false">COUNTIF(E8:V8,"A")</f>
        <v>1</v>
      </c>
      <c r="Y8" s="2" t="n">
        <f aca="false">SUM(W8:X8)</f>
        <v>12</v>
      </c>
      <c r="Z8" s="4" t="n">
        <f aca="false">ROUND(W8*10/Y8,0)</f>
        <v>9</v>
      </c>
      <c r="AA8" s="2" t="s">
        <v>13</v>
      </c>
      <c r="AB8" s="2" t="s">
        <v>13</v>
      </c>
      <c r="AC8" s="2" t="s">
        <v>13</v>
      </c>
      <c r="AD8" s="2" t="s">
        <v>13</v>
      </c>
      <c r="AE8" s="2" t="s">
        <v>13</v>
      </c>
      <c r="AF8" s="2" t="s">
        <v>13</v>
      </c>
      <c r="AG8" s="2" t="s">
        <v>13</v>
      </c>
      <c r="AH8" s="2" t="s">
        <v>13</v>
      </c>
      <c r="AI8" s="2" t="s">
        <v>13</v>
      </c>
      <c r="AJ8" s="2" t="s">
        <v>13</v>
      </c>
      <c r="AK8" s="2" t="s">
        <v>14</v>
      </c>
      <c r="AL8" s="2" t="s">
        <v>13</v>
      </c>
      <c r="AM8" s="6" t="s">
        <v>13</v>
      </c>
    </row>
    <row r="9" customFormat="false" ht="15" hidden="false" customHeight="false" outlineLevel="0" collapsed="false">
      <c r="A9" s="1" t="n">
        <v>7</v>
      </c>
      <c r="B9" s="1" t="s">
        <v>34</v>
      </c>
      <c r="C9" s="1" t="s">
        <v>35</v>
      </c>
      <c r="D9" s="1" t="s">
        <v>36</v>
      </c>
      <c r="E9" s="2" t="s">
        <v>13</v>
      </c>
      <c r="F9" s="2" t="s">
        <v>13</v>
      </c>
      <c r="H9" s="2" t="s">
        <v>13</v>
      </c>
      <c r="J9" s="2" t="s">
        <v>13</v>
      </c>
      <c r="K9" s="2" t="s">
        <v>13</v>
      </c>
      <c r="L9" s="2" t="s">
        <v>13</v>
      </c>
      <c r="N9" s="2" t="s">
        <v>13</v>
      </c>
      <c r="P9" s="2" t="s">
        <v>14</v>
      </c>
      <c r="Q9" s="2" t="s">
        <v>14</v>
      </c>
      <c r="R9" s="2" t="s">
        <v>13</v>
      </c>
      <c r="T9" s="2" t="s">
        <v>13</v>
      </c>
      <c r="U9" s="2"/>
      <c r="V9" s="2" t="s">
        <v>13</v>
      </c>
      <c r="W9" s="2" t="n">
        <f aca="false">COUNTIF(E9:V9,"P")</f>
        <v>10</v>
      </c>
      <c r="X9" s="2" t="n">
        <f aca="false">COUNTIF(E9:V9,"A")</f>
        <v>2</v>
      </c>
      <c r="Y9" s="2" t="n">
        <f aca="false">SUM(W9:X9)</f>
        <v>12</v>
      </c>
      <c r="Z9" s="4" t="n">
        <f aca="false">ROUND(W9*10/Y9,0)</f>
        <v>8</v>
      </c>
      <c r="AA9" s="2" t="s">
        <v>13</v>
      </c>
      <c r="AB9" s="2" t="s">
        <v>14</v>
      </c>
      <c r="AC9" s="2" t="s">
        <v>13</v>
      </c>
      <c r="AD9" s="2" t="s">
        <v>13</v>
      </c>
      <c r="AE9" s="2" t="s">
        <v>13</v>
      </c>
      <c r="AF9" s="2" t="s">
        <v>13</v>
      </c>
      <c r="AG9" s="2" t="s">
        <v>14</v>
      </c>
      <c r="AH9" s="2" t="s">
        <v>14</v>
      </c>
      <c r="AI9" s="2" t="s">
        <v>14</v>
      </c>
      <c r="AJ9" s="2" t="s">
        <v>13</v>
      </c>
      <c r="AK9" s="2" t="s">
        <v>13</v>
      </c>
      <c r="AL9" s="2" t="s">
        <v>13</v>
      </c>
      <c r="AM9" s="6" t="s">
        <v>13</v>
      </c>
    </row>
    <row r="10" customFormat="false" ht="15" hidden="false" customHeight="false" outlineLevel="0" collapsed="false">
      <c r="A10" s="1" t="n">
        <v>8</v>
      </c>
      <c r="B10" s="1" t="s">
        <v>37</v>
      </c>
      <c r="C10" s="1" t="s">
        <v>38</v>
      </c>
      <c r="D10" s="1" t="s">
        <v>39</v>
      </c>
      <c r="E10" s="2" t="s">
        <v>13</v>
      </c>
      <c r="F10" s="2" t="s">
        <v>13</v>
      </c>
      <c r="H10" s="2" t="s">
        <v>13</v>
      </c>
      <c r="J10" s="2" t="s">
        <v>13</v>
      </c>
      <c r="K10" s="2" t="s">
        <v>13</v>
      </c>
      <c r="L10" s="2" t="s">
        <v>13</v>
      </c>
      <c r="N10" s="2" t="s">
        <v>13</v>
      </c>
      <c r="P10" s="2" t="s">
        <v>13</v>
      </c>
      <c r="Q10" s="2" t="s">
        <v>14</v>
      </c>
      <c r="R10" s="2" t="s">
        <v>13</v>
      </c>
      <c r="T10" s="2" t="s">
        <v>13</v>
      </c>
      <c r="U10" s="2"/>
      <c r="V10" s="2" t="s">
        <v>13</v>
      </c>
      <c r="W10" s="2" t="n">
        <f aca="false">COUNTIF(E10:V10,"P")</f>
        <v>11</v>
      </c>
      <c r="X10" s="2" t="n">
        <f aca="false">COUNTIF(E10:V10,"A")</f>
        <v>1</v>
      </c>
      <c r="Y10" s="2" t="n">
        <f aca="false">SUM(W10:X10)</f>
        <v>12</v>
      </c>
      <c r="Z10" s="4" t="n">
        <f aca="false">ROUND(W10*10/Y10,0)</f>
        <v>9</v>
      </c>
      <c r="AA10" s="2" t="s">
        <v>13</v>
      </c>
      <c r="AB10" s="2" t="s">
        <v>13</v>
      </c>
      <c r="AC10" s="2" t="s">
        <v>13</v>
      </c>
      <c r="AD10" s="2" t="s">
        <v>13</v>
      </c>
      <c r="AE10" s="2" t="s">
        <v>13</v>
      </c>
      <c r="AF10" s="2" t="s">
        <v>13</v>
      </c>
      <c r="AG10" s="2" t="s">
        <v>13</v>
      </c>
      <c r="AH10" s="2" t="s">
        <v>13</v>
      </c>
      <c r="AI10" s="2" t="s">
        <v>13</v>
      </c>
      <c r="AJ10" s="2" t="s">
        <v>13</v>
      </c>
      <c r="AK10" s="2" t="s">
        <v>13</v>
      </c>
      <c r="AL10" s="2" t="s">
        <v>13</v>
      </c>
      <c r="AM10" s="6" t="s">
        <v>13</v>
      </c>
    </row>
    <row r="11" customFormat="false" ht="15" hidden="false" customHeight="false" outlineLevel="0" collapsed="false">
      <c r="A11" s="1" t="n">
        <v>9</v>
      </c>
      <c r="B11" s="1" t="s">
        <v>40</v>
      </c>
      <c r="C11" s="1" t="s">
        <v>41</v>
      </c>
      <c r="D11" s="1" t="s">
        <v>42</v>
      </c>
      <c r="E11" s="2" t="s">
        <v>13</v>
      </c>
      <c r="F11" s="2" t="s">
        <v>13</v>
      </c>
      <c r="H11" s="2" t="s">
        <v>13</v>
      </c>
      <c r="J11" s="2" t="s">
        <v>13</v>
      </c>
      <c r="K11" s="2" t="s">
        <v>13</v>
      </c>
      <c r="L11" s="2" t="s">
        <v>13</v>
      </c>
      <c r="N11" s="2" t="s">
        <v>13</v>
      </c>
      <c r="P11" s="2" t="s">
        <v>13</v>
      </c>
      <c r="Q11" s="2" t="s">
        <v>13</v>
      </c>
      <c r="R11" s="2" t="s">
        <v>13</v>
      </c>
      <c r="T11" s="2" t="s">
        <v>13</v>
      </c>
      <c r="U11" s="2"/>
      <c r="V11" s="2" t="s">
        <v>13</v>
      </c>
      <c r="W11" s="2" t="n">
        <f aca="false">COUNTIF(E11:V11,"P")</f>
        <v>12</v>
      </c>
      <c r="X11" s="2" t="n">
        <f aca="false">COUNTIF(E11:V11,"A")</f>
        <v>0</v>
      </c>
      <c r="Y11" s="2" t="n">
        <f aca="false">SUM(W11:X11)</f>
        <v>12</v>
      </c>
      <c r="Z11" s="4" t="n">
        <f aca="false">ROUND(W11*10/Y11,0)</f>
        <v>10</v>
      </c>
      <c r="AA11" s="2" t="s">
        <v>13</v>
      </c>
      <c r="AB11" s="2" t="s">
        <v>13</v>
      </c>
      <c r="AC11" s="2" t="s">
        <v>13</v>
      </c>
      <c r="AD11" s="2" t="s">
        <v>13</v>
      </c>
      <c r="AE11" s="2" t="s">
        <v>13</v>
      </c>
      <c r="AF11" s="2" t="s">
        <v>14</v>
      </c>
      <c r="AG11" s="2" t="s">
        <v>14</v>
      </c>
      <c r="AH11" s="2" t="s">
        <v>13</v>
      </c>
      <c r="AI11" s="2" t="s">
        <v>13</v>
      </c>
      <c r="AJ11" s="2" t="s">
        <v>13</v>
      </c>
      <c r="AK11" s="2" t="s">
        <v>13</v>
      </c>
      <c r="AL11" s="2" t="s">
        <v>13</v>
      </c>
      <c r="AM11" s="6" t="s">
        <v>13</v>
      </c>
    </row>
    <row r="12" customFormat="false" ht="15" hidden="false" customHeight="false" outlineLevel="0" collapsed="false">
      <c r="A12" s="1" t="n">
        <v>10</v>
      </c>
      <c r="B12" s="1" t="s">
        <v>43</v>
      </c>
      <c r="C12" s="1" t="s">
        <v>44</v>
      </c>
      <c r="D12" s="1" t="s">
        <v>45</v>
      </c>
      <c r="E12" s="2" t="s">
        <v>13</v>
      </c>
      <c r="F12" s="2" t="s">
        <v>13</v>
      </c>
      <c r="H12" s="2" t="s">
        <v>13</v>
      </c>
      <c r="J12" s="2" t="s">
        <v>13</v>
      </c>
      <c r="K12" s="2" t="s">
        <v>13</v>
      </c>
      <c r="L12" s="2" t="s">
        <v>13</v>
      </c>
      <c r="N12" s="2" t="s">
        <v>13</v>
      </c>
      <c r="P12" s="2" t="s">
        <v>13</v>
      </c>
      <c r="Q12" s="2" t="s">
        <v>13</v>
      </c>
      <c r="R12" s="2" t="s">
        <v>14</v>
      </c>
      <c r="T12" s="2" t="s">
        <v>13</v>
      </c>
      <c r="U12" s="2"/>
      <c r="V12" s="2" t="s">
        <v>13</v>
      </c>
      <c r="W12" s="2" t="n">
        <f aca="false">COUNTIF(E12:V12,"P")</f>
        <v>11</v>
      </c>
      <c r="X12" s="2" t="n">
        <f aca="false">COUNTIF(E12:V12,"A")</f>
        <v>1</v>
      </c>
      <c r="Y12" s="2" t="n">
        <f aca="false">SUM(W12:X12)</f>
        <v>12</v>
      </c>
      <c r="Z12" s="4" t="n">
        <f aca="false">ROUND(W12*10/Y12,0)</f>
        <v>9</v>
      </c>
      <c r="AA12" s="2" t="s">
        <v>13</v>
      </c>
      <c r="AB12" s="2" t="s">
        <v>13</v>
      </c>
      <c r="AC12" s="2" t="s">
        <v>13</v>
      </c>
      <c r="AD12" s="2" t="s">
        <v>13</v>
      </c>
      <c r="AE12" s="2" t="s">
        <v>13</v>
      </c>
      <c r="AF12" s="2" t="s">
        <v>13</v>
      </c>
      <c r="AG12" s="2" t="s">
        <v>13</v>
      </c>
      <c r="AH12" s="2" t="s">
        <v>13</v>
      </c>
      <c r="AI12" s="2" t="s">
        <v>13</v>
      </c>
      <c r="AJ12" s="2" t="s">
        <v>13</v>
      </c>
      <c r="AK12" s="2" t="s">
        <v>13</v>
      </c>
      <c r="AL12" s="2" t="s">
        <v>14</v>
      </c>
      <c r="AM12" s="6" t="s">
        <v>13</v>
      </c>
    </row>
    <row r="13" customFormat="false" ht="15" hidden="false" customHeight="false" outlineLevel="0" collapsed="false">
      <c r="A13" s="1" t="n">
        <v>11</v>
      </c>
      <c r="B13" s="1" t="s">
        <v>46</v>
      </c>
      <c r="C13" s="1" t="s">
        <v>47</v>
      </c>
      <c r="D13" s="1" t="s">
        <v>48</v>
      </c>
      <c r="E13" s="2" t="s">
        <v>13</v>
      </c>
      <c r="F13" s="2" t="s">
        <v>13</v>
      </c>
      <c r="H13" s="2" t="s">
        <v>13</v>
      </c>
      <c r="J13" s="2" t="s">
        <v>13</v>
      </c>
      <c r="K13" s="2" t="s">
        <v>13</v>
      </c>
      <c r="L13" s="2" t="s">
        <v>13</v>
      </c>
      <c r="N13" s="2" t="s">
        <v>13</v>
      </c>
      <c r="P13" s="2" t="s">
        <v>14</v>
      </c>
      <c r="Q13" s="2" t="s">
        <v>13</v>
      </c>
      <c r="R13" s="2" t="s">
        <v>13</v>
      </c>
      <c r="T13" s="2" t="s">
        <v>13</v>
      </c>
      <c r="U13" s="2"/>
      <c r="V13" s="2" t="s">
        <v>13</v>
      </c>
      <c r="W13" s="2" t="n">
        <f aca="false">COUNTIF(E13:V13,"P")</f>
        <v>11</v>
      </c>
      <c r="X13" s="2" t="n">
        <f aca="false">COUNTIF(E13:V13,"A")</f>
        <v>1</v>
      </c>
      <c r="Y13" s="2" t="n">
        <f aca="false">SUM(W13:X13)</f>
        <v>12</v>
      </c>
      <c r="Z13" s="4" t="n">
        <f aca="false">ROUND(W13*10/Y13,0)</f>
        <v>9</v>
      </c>
      <c r="AA13" s="2" t="s">
        <v>13</v>
      </c>
      <c r="AB13" s="2" t="s">
        <v>13</v>
      </c>
      <c r="AC13" s="2" t="s">
        <v>13</v>
      </c>
      <c r="AD13" s="2" t="s">
        <v>13</v>
      </c>
      <c r="AE13" s="2" t="s">
        <v>14</v>
      </c>
      <c r="AF13" s="2" t="s">
        <v>13</v>
      </c>
      <c r="AG13" s="2" t="s">
        <v>13</v>
      </c>
      <c r="AH13" s="2" t="s">
        <v>13</v>
      </c>
      <c r="AI13" s="2" t="s">
        <v>13</v>
      </c>
      <c r="AJ13" s="2" t="s">
        <v>13</v>
      </c>
      <c r="AK13" s="2" t="s">
        <v>13</v>
      </c>
      <c r="AL13" s="2" t="s">
        <v>14</v>
      </c>
      <c r="AM13" s="6" t="s">
        <v>13</v>
      </c>
    </row>
    <row r="14" customFormat="false" ht="15" hidden="false" customHeight="false" outlineLevel="0" collapsed="false">
      <c r="A14" s="1" t="n">
        <v>12</v>
      </c>
      <c r="B14" s="1" t="s">
        <v>49</v>
      </c>
      <c r="C14" s="1" t="s">
        <v>50</v>
      </c>
      <c r="D14" s="1" t="s">
        <v>51</v>
      </c>
      <c r="E14" s="2" t="s">
        <v>13</v>
      </c>
      <c r="F14" s="2" t="s">
        <v>13</v>
      </c>
      <c r="H14" s="2" t="s">
        <v>13</v>
      </c>
      <c r="J14" s="2" t="s">
        <v>13</v>
      </c>
      <c r="K14" s="2" t="s">
        <v>13</v>
      </c>
      <c r="L14" s="2" t="s">
        <v>13</v>
      </c>
      <c r="M14" s="2"/>
      <c r="N14" s="2" t="s">
        <v>14</v>
      </c>
      <c r="O14" s="2" t="s">
        <v>52</v>
      </c>
      <c r="P14" s="2" t="s">
        <v>13</v>
      </c>
      <c r="Q14" s="2" t="s">
        <v>14</v>
      </c>
      <c r="R14" s="2" t="s">
        <v>13</v>
      </c>
      <c r="T14" s="2" t="s">
        <v>13</v>
      </c>
      <c r="U14" s="2"/>
      <c r="V14" s="2" t="s">
        <v>13</v>
      </c>
      <c r="W14" s="2" t="n">
        <f aca="false">COUNTIF(E14:V14,"P")</f>
        <v>10</v>
      </c>
      <c r="X14" s="2" t="n">
        <f aca="false">COUNTIF(E14:V14,"A")</f>
        <v>2</v>
      </c>
      <c r="Y14" s="2" t="n">
        <f aca="false">SUM(W14:X14)</f>
        <v>12</v>
      </c>
      <c r="Z14" s="4" t="n">
        <f aca="false">ROUND(W14*10/Y14,0)</f>
        <v>8</v>
      </c>
      <c r="AA14" s="2" t="s">
        <v>13</v>
      </c>
      <c r="AB14" s="2" t="s">
        <v>13</v>
      </c>
      <c r="AC14" s="2" t="s">
        <v>13</v>
      </c>
      <c r="AD14" s="2" t="s">
        <v>13</v>
      </c>
      <c r="AE14" s="2" t="s">
        <v>13</v>
      </c>
      <c r="AF14" s="2" t="s">
        <v>13</v>
      </c>
      <c r="AG14" s="2" t="s">
        <v>13</v>
      </c>
      <c r="AH14" s="2" t="s">
        <v>13</v>
      </c>
      <c r="AI14" s="2" t="s">
        <v>13</v>
      </c>
      <c r="AJ14" s="2" t="s">
        <v>13</v>
      </c>
      <c r="AK14" s="2" t="s">
        <v>13</v>
      </c>
      <c r="AL14" s="2" t="s">
        <v>13</v>
      </c>
      <c r="AM14" s="6" t="s">
        <v>14</v>
      </c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  <c r="XEM14" s="2"/>
      <c r="XEN14" s="2"/>
      <c r="XEO14" s="2"/>
      <c r="XEP14" s="2"/>
      <c r="XEQ14" s="2"/>
      <c r="XER14" s="2"/>
      <c r="XES14" s="2"/>
      <c r="XET14" s="2"/>
      <c r="XEU14" s="2"/>
      <c r="XEV14" s="2"/>
      <c r="XEW14" s="2"/>
      <c r="XEX14" s="2"/>
      <c r="XEY14" s="2"/>
      <c r="XEZ14" s="2"/>
      <c r="XFA14" s="2"/>
      <c r="XFB14" s="2"/>
      <c r="XFC14" s="2"/>
      <c r="XFD14" s="2"/>
    </row>
    <row r="15" s="2" customFormat="true" ht="15" hidden="false" customHeight="false" outlineLevel="0" collapsed="false">
      <c r="A15" s="1" t="n">
        <v>13</v>
      </c>
      <c r="B15" s="1" t="s">
        <v>53</v>
      </c>
      <c r="C15" s="1" t="s">
        <v>54</v>
      </c>
      <c r="D15" s="1" t="s">
        <v>55</v>
      </c>
      <c r="E15" s="2" t="s">
        <v>13</v>
      </c>
      <c r="F15" s="2" t="s">
        <v>13</v>
      </c>
      <c r="H15" s="2" t="s">
        <v>13</v>
      </c>
      <c r="I15" s="1"/>
      <c r="J15" s="1" t="s">
        <v>13</v>
      </c>
      <c r="K15" s="1" t="s">
        <v>13</v>
      </c>
      <c r="L15" s="1" t="s">
        <v>13</v>
      </c>
      <c r="M15" s="1"/>
      <c r="N15" s="2" t="s">
        <v>13</v>
      </c>
      <c r="P15" s="2" t="s">
        <v>13</v>
      </c>
      <c r="Q15" s="2" t="s">
        <v>13</v>
      </c>
      <c r="R15" s="2" t="s">
        <v>13</v>
      </c>
      <c r="T15" s="2" t="s">
        <v>13</v>
      </c>
      <c r="V15" s="2" t="s">
        <v>13</v>
      </c>
      <c r="W15" s="2" t="n">
        <f aca="false">COUNTIF(E15:V15,"P")</f>
        <v>12</v>
      </c>
      <c r="X15" s="2" t="n">
        <f aca="false">COUNTIF(E15:V15,"A")</f>
        <v>0</v>
      </c>
      <c r="Y15" s="2" t="n">
        <f aca="false">SUM(W15:X15)</f>
        <v>12</v>
      </c>
      <c r="Z15" s="4" t="n">
        <f aca="false">ROUND(W15*10/Y15,0)</f>
        <v>10</v>
      </c>
      <c r="AA15" s="2" t="s">
        <v>13</v>
      </c>
      <c r="AB15" s="2" t="s">
        <v>13</v>
      </c>
      <c r="AC15" s="2" t="s">
        <v>13</v>
      </c>
      <c r="AD15" s="2" t="s">
        <v>13</v>
      </c>
      <c r="AE15" s="2" t="s">
        <v>13</v>
      </c>
      <c r="AF15" s="2" t="s">
        <v>13</v>
      </c>
      <c r="AG15" s="2" t="s">
        <v>13</v>
      </c>
      <c r="AH15" s="2" t="s">
        <v>13</v>
      </c>
      <c r="AI15" s="2" t="s">
        <v>13</v>
      </c>
      <c r="AJ15" s="2" t="s">
        <v>13</v>
      </c>
      <c r="AK15" s="2" t="s">
        <v>13</v>
      </c>
      <c r="AL15" s="2" t="s">
        <v>14</v>
      </c>
      <c r="AM15" s="2" t="s">
        <v>13</v>
      </c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="1" customFormat="true" ht="15" hidden="false" customHeight="false" outlineLevel="0" collapsed="false">
      <c r="A16" s="1" t="n">
        <v>14</v>
      </c>
      <c r="B16" s="1" t="s">
        <v>56</v>
      </c>
      <c r="C16" s="1" t="s">
        <v>57</v>
      </c>
      <c r="D16" s="1" t="s">
        <v>58</v>
      </c>
      <c r="E16" s="1" t="s">
        <v>13</v>
      </c>
      <c r="F16" s="1" t="s">
        <v>13</v>
      </c>
      <c r="H16" s="2" t="s">
        <v>13</v>
      </c>
      <c r="J16" s="1" t="s">
        <v>14</v>
      </c>
      <c r="K16" s="1" t="s">
        <v>13</v>
      </c>
      <c r="L16" s="1" t="s">
        <v>13</v>
      </c>
      <c r="N16" s="1" t="s">
        <v>13</v>
      </c>
      <c r="P16" s="1" t="s">
        <v>13</v>
      </c>
      <c r="Q16" s="1" t="s">
        <v>13</v>
      </c>
      <c r="R16" s="1" t="s">
        <v>14</v>
      </c>
      <c r="T16" s="1" t="s">
        <v>13</v>
      </c>
      <c r="V16" s="1" t="s">
        <v>14</v>
      </c>
      <c r="W16" s="2" t="n">
        <f aca="false">COUNTIF(E16:V16,"P")</f>
        <v>9</v>
      </c>
      <c r="X16" s="2" t="n">
        <f aca="false">COUNTIF(E16:V16,"A")</f>
        <v>3</v>
      </c>
      <c r="Y16" s="2" t="n">
        <f aca="false">SUM(W16:X16)</f>
        <v>12</v>
      </c>
      <c r="Z16" s="4" t="n">
        <f aca="false">ROUND(W16*10/Y16,0)</f>
        <v>8</v>
      </c>
      <c r="AA16" s="1" t="s">
        <v>13</v>
      </c>
      <c r="AB16" s="1" t="s">
        <v>13</v>
      </c>
      <c r="AC16" s="1" t="s">
        <v>13</v>
      </c>
      <c r="AD16" s="1" t="s">
        <v>13</v>
      </c>
      <c r="AE16" s="1" t="s">
        <v>13</v>
      </c>
      <c r="AF16" s="1" t="s">
        <v>13</v>
      </c>
      <c r="AG16" s="1" t="s">
        <v>14</v>
      </c>
      <c r="AH16" s="1" t="s">
        <v>13</v>
      </c>
      <c r="AI16" s="1" t="s">
        <v>13</v>
      </c>
      <c r="AJ16" s="1" t="s">
        <v>13</v>
      </c>
      <c r="AK16" s="1" t="s">
        <v>14</v>
      </c>
      <c r="AL16" s="1" t="s">
        <v>13</v>
      </c>
      <c r="AM16" s="1" t="s">
        <v>13</v>
      </c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  <c r="XEM16" s="2"/>
      <c r="XEN16" s="2"/>
      <c r="XEO16" s="2"/>
      <c r="XEP16" s="2"/>
      <c r="XEQ16" s="2"/>
      <c r="XER16" s="2"/>
      <c r="XES16" s="2"/>
      <c r="XET16" s="2"/>
      <c r="XEU16" s="2"/>
      <c r="XEV16" s="2"/>
      <c r="XEW16" s="2"/>
      <c r="XEX16" s="2"/>
      <c r="XEY16" s="2"/>
      <c r="XEZ16" s="2"/>
      <c r="XFA16" s="2"/>
      <c r="XFB16" s="2"/>
      <c r="XFC16" s="2"/>
      <c r="XFD16" s="2"/>
    </row>
    <row r="17" s="1" customFormat="true" ht="15" hidden="false" customHeight="false" outlineLevel="0" collapsed="false">
      <c r="A17" s="1" t="n">
        <v>15</v>
      </c>
      <c r="B17" s="1" t="s">
        <v>59</v>
      </c>
      <c r="C17" s="1" t="s">
        <v>60</v>
      </c>
      <c r="D17" s="1" t="s">
        <v>61</v>
      </c>
      <c r="E17" s="1" t="s">
        <v>13</v>
      </c>
      <c r="F17" s="1" t="s">
        <v>13</v>
      </c>
      <c r="H17" s="2" t="s">
        <v>13</v>
      </c>
      <c r="J17" s="1" t="s">
        <v>13</v>
      </c>
      <c r="K17" s="1" t="s">
        <v>13</v>
      </c>
      <c r="L17" s="2" t="s">
        <v>13</v>
      </c>
      <c r="M17" s="2"/>
      <c r="N17" s="1" t="s">
        <v>13</v>
      </c>
      <c r="P17" s="1" t="s">
        <v>13</v>
      </c>
      <c r="Q17" s="1" t="s">
        <v>13</v>
      </c>
      <c r="R17" s="1" t="s">
        <v>13</v>
      </c>
      <c r="T17" s="1" t="s">
        <v>13</v>
      </c>
      <c r="V17" s="1" t="s">
        <v>13</v>
      </c>
      <c r="W17" s="2" t="n">
        <f aca="false">COUNTIF(E17:V17,"P")</f>
        <v>12</v>
      </c>
      <c r="X17" s="2" t="n">
        <f aca="false">COUNTIF(E17:V17,"A")</f>
        <v>0</v>
      </c>
      <c r="Y17" s="2" t="n">
        <f aca="false">SUM(W17:X17)</f>
        <v>12</v>
      </c>
      <c r="Z17" s="4" t="n">
        <f aca="false">ROUND(W17*10/Y17,0)</f>
        <v>10</v>
      </c>
      <c r="AA17" s="1" t="s">
        <v>13</v>
      </c>
      <c r="AB17" s="1" t="s">
        <v>13</v>
      </c>
      <c r="AC17" s="1" t="s">
        <v>13</v>
      </c>
      <c r="AD17" s="1" t="s">
        <v>13</v>
      </c>
      <c r="AE17" s="1" t="s">
        <v>13</v>
      </c>
      <c r="AF17" s="1" t="s">
        <v>13</v>
      </c>
      <c r="AG17" s="1" t="s">
        <v>13</v>
      </c>
      <c r="AH17" s="1" t="s">
        <v>13</v>
      </c>
      <c r="AI17" s="1" t="s">
        <v>13</v>
      </c>
      <c r="AJ17" s="1" t="s">
        <v>13</v>
      </c>
      <c r="AK17" s="1" t="s">
        <v>13</v>
      </c>
      <c r="AL17" s="1" t="s">
        <v>13</v>
      </c>
      <c r="AM17" s="1" t="s">
        <v>13</v>
      </c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  <c r="XEM17" s="2"/>
      <c r="XEN17" s="2"/>
      <c r="XEO17" s="2"/>
      <c r="XEP17" s="2"/>
      <c r="XEQ17" s="2"/>
      <c r="XER17" s="2"/>
      <c r="XES17" s="2"/>
      <c r="XET17" s="2"/>
      <c r="XEU17" s="2"/>
      <c r="XEV17" s="2"/>
      <c r="XEW17" s="2"/>
      <c r="XEX17" s="2"/>
      <c r="XEY17" s="2"/>
      <c r="XEZ17" s="2"/>
      <c r="XFA17" s="2"/>
      <c r="XFB17" s="2"/>
      <c r="XFC17" s="2"/>
      <c r="XFD17" s="2"/>
    </row>
    <row r="18" s="2" customFormat="true" ht="15" hidden="false" customHeight="false" outlineLevel="0" collapsed="false">
      <c r="A18" s="1" t="n">
        <v>16</v>
      </c>
      <c r="B18" s="1" t="s">
        <v>62</v>
      </c>
      <c r="C18" s="1" t="s">
        <v>63</v>
      </c>
      <c r="D18" s="1" t="s">
        <v>64</v>
      </c>
      <c r="E18" s="2" t="s">
        <v>13</v>
      </c>
      <c r="F18" s="2" t="s">
        <v>13</v>
      </c>
      <c r="H18" s="2" t="s">
        <v>13</v>
      </c>
      <c r="I18" s="1"/>
      <c r="J18" s="1" t="s">
        <v>13</v>
      </c>
      <c r="K18" s="1" t="s">
        <v>13</v>
      </c>
      <c r="L18" s="2" t="s">
        <v>13</v>
      </c>
      <c r="N18" s="2" t="s">
        <v>13</v>
      </c>
      <c r="P18" s="2" t="s">
        <v>13</v>
      </c>
      <c r="Q18" s="2" t="s">
        <v>13</v>
      </c>
      <c r="R18" s="2" t="s">
        <v>13</v>
      </c>
      <c r="T18" s="2" t="s">
        <v>13</v>
      </c>
      <c r="V18" s="2" t="s">
        <v>13</v>
      </c>
      <c r="W18" s="2" t="n">
        <f aca="false">COUNTIF(E18:V18,"P")</f>
        <v>12</v>
      </c>
      <c r="X18" s="2" t="n">
        <f aca="false">COUNTIF(E18:V18,"A")</f>
        <v>0</v>
      </c>
      <c r="Y18" s="2" t="n">
        <f aca="false">SUM(W18:X18)</f>
        <v>12</v>
      </c>
      <c r="Z18" s="4" t="n">
        <f aca="false">ROUND(W18*10/Y18,0)</f>
        <v>10</v>
      </c>
      <c r="AA18" s="2" t="s">
        <v>14</v>
      </c>
      <c r="AB18" s="2" t="s">
        <v>13</v>
      </c>
      <c r="AC18" s="2" t="s">
        <v>13</v>
      </c>
      <c r="AD18" s="2" t="s">
        <v>13</v>
      </c>
      <c r="AE18" s="2" t="s">
        <v>13</v>
      </c>
      <c r="AF18" s="2" t="s">
        <v>13</v>
      </c>
      <c r="AG18" s="2" t="s">
        <v>13</v>
      </c>
      <c r="AH18" s="2" t="s">
        <v>13</v>
      </c>
      <c r="AI18" s="2" t="s">
        <v>13</v>
      </c>
      <c r="AJ18" s="2" t="s">
        <v>13</v>
      </c>
      <c r="AK18" s="2" t="s">
        <v>13</v>
      </c>
      <c r="AL18" s="2" t="s">
        <v>13</v>
      </c>
      <c r="AM18" s="2" t="s">
        <v>13</v>
      </c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1"/>
      <c r="XEU18" s="1"/>
      <c r="XEV18" s="1"/>
      <c r="XEW18" s="1"/>
      <c r="XEX18" s="1"/>
      <c r="XEY18" s="1"/>
      <c r="XEZ18" s="1"/>
      <c r="XFA18" s="1"/>
      <c r="XFB18" s="1"/>
      <c r="XFC18" s="1"/>
      <c r="XFD18" s="1"/>
    </row>
    <row r="19" s="2" customFormat="true" ht="15" hidden="false" customHeight="false" outlineLevel="0" collapsed="false">
      <c r="A19" s="1" t="n">
        <v>17</v>
      </c>
      <c r="B19" s="1" t="s">
        <v>65</v>
      </c>
      <c r="C19" s="1" t="s">
        <v>66</v>
      </c>
      <c r="D19" s="1" t="s">
        <v>67</v>
      </c>
      <c r="E19" s="2" t="s">
        <v>13</v>
      </c>
      <c r="F19" s="2" t="s">
        <v>13</v>
      </c>
      <c r="H19" s="2" t="s">
        <v>13</v>
      </c>
      <c r="I19" s="1"/>
      <c r="J19" s="1" t="s">
        <v>13</v>
      </c>
      <c r="K19" s="1" t="s">
        <v>13</v>
      </c>
      <c r="L19" s="1" t="s">
        <v>13</v>
      </c>
      <c r="M19" s="1"/>
      <c r="N19" s="2" t="s">
        <v>13</v>
      </c>
      <c r="P19" s="2" t="s">
        <v>13</v>
      </c>
      <c r="Q19" s="2" t="s">
        <v>13</v>
      </c>
      <c r="R19" s="2" t="s">
        <v>14</v>
      </c>
      <c r="S19" s="2" t="s">
        <v>52</v>
      </c>
      <c r="T19" s="2" t="s">
        <v>13</v>
      </c>
      <c r="V19" s="2" t="s">
        <v>13</v>
      </c>
      <c r="W19" s="2" t="n">
        <f aca="false">COUNTIF(E19:V19,"P")</f>
        <v>11</v>
      </c>
      <c r="X19" s="2" t="n">
        <f aca="false">COUNTIF(E19:V19,"A")</f>
        <v>1</v>
      </c>
      <c r="Y19" s="2" t="n">
        <f aca="false">SUM(W19:X19)</f>
        <v>12</v>
      </c>
      <c r="Z19" s="4" t="n">
        <f aca="false">ROUND(W19*10/Y19,0)</f>
        <v>9</v>
      </c>
      <c r="AA19" s="2" t="s">
        <v>13</v>
      </c>
      <c r="AB19" s="2" t="s">
        <v>13</v>
      </c>
      <c r="AC19" s="2" t="s">
        <v>13</v>
      </c>
      <c r="AD19" s="2" t="s">
        <v>14</v>
      </c>
      <c r="AE19" s="2" t="s">
        <v>13</v>
      </c>
      <c r="AF19" s="2" t="s">
        <v>13</v>
      </c>
      <c r="AG19" s="2" t="s">
        <v>14</v>
      </c>
      <c r="AH19" s="2" t="s">
        <v>13</v>
      </c>
      <c r="AI19" s="2" t="s">
        <v>13</v>
      </c>
      <c r="AJ19" s="2" t="s">
        <v>13</v>
      </c>
      <c r="AK19" s="2" t="s">
        <v>13</v>
      </c>
      <c r="AL19" s="2" t="s">
        <v>13</v>
      </c>
      <c r="AM19" s="2" t="s">
        <v>13</v>
      </c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  <c r="XEM19" s="1"/>
      <c r="XEN19" s="1"/>
      <c r="XEO19" s="1"/>
      <c r="XEP19" s="1"/>
      <c r="XEQ19" s="1"/>
      <c r="XER19" s="1"/>
      <c r="XES19" s="1"/>
      <c r="XET19" s="1"/>
      <c r="XEU19" s="1"/>
      <c r="XEV19" s="1"/>
      <c r="XEW19" s="1"/>
      <c r="XEX19" s="1"/>
      <c r="XEY19" s="1"/>
      <c r="XEZ19" s="1"/>
      <c r="XFA19" s="1"/>
      <c r="XFB19" s="1"/>
      <c r="XFC19" s="1"/>
      <c r="XFD19" s="1"/>
    </row>
    <row r="20" s="1" customFormat="true" ht="15" hidden="false" customHeight="false" outlineLevel="0" collapsed="false">
      <c r="A20" s="1" t="n">
        <v>18</v>
      </c>
      <c r="B20" s="1" t="s">
        <v>68</v>
      </c>
      <c r="C20" s="1" t="s">
        <v>69</v>
      </c>
      <c r="D20" s="1" t="s">
        <v>70</v>
      </c>
      <c r="E20" s="1" t="s">
        <v>13</v>
      </c>
      <c r="F20" s="1" t="s">
        <v>13</v>
      </c>
      <c r="H20" s="2" t="s">
        <v>13</v>
      </c>
      <c r="J20" s="1" t="s">
        <v>13</v>
      </c>
      <c r="K20" s="1" t="s">
        <v>13</v>
      </c>
      <c r="L20" s="1" t="s">
        <v>13</v>
      </c>
      <c r="N20" s="1" t="s">
        <v>13</v>
      </c>
      <c r="P20" s="1" t="s">
        <v>13</v>
      </c>
      <c r="Q20" s="1" t="s">
        <v>14</v>
      </c>
      <c r="R20" s="1" t="s">
        <v>13</v>
      </c>
      <c r="T20" s="1" t="s">
        <v>13</v>
      </c>
      <c r="V20" s="1" t="s">
        <v>13</v>
      </c>
      <c r="W20" s="2" t="n">
        <f aca="false">COUNTIF(E20:V20,"P")</f>
        <v>11</v>
      </c>
      <c r="X20" s="2" t="n">
        <f aca="false">COUNTIF(E20:V20,"A")</f>
        <v>1</v>
      </c>
      <c r="Y20" s="2" t="n">
        <f aca="false">SUM(W20:X20)</f>
        <v>12</v>
      </c>
      <c r="Z20" s="4" t="n">
        <f aca="false">ROUND(W20*10/Y20,0)</f>
        <v>9</v>
      </c>
      <c r="AA20" s="1" t="s">
        <v>13</v>
      </c>
      <c r="AB20" s="1" t="s">
        <v>13</v>
      </c>
      <c r="AC20" s="1" t="s">
        <v>13</v>
      </c>
      <c r="AD20" s="1" t="s">
        <v>14</v>
      </c>
      <c r="AE20" s="1" t="s">
        <v>13</v>
      </c>
      <c r="AF20" s="1" t="s">
        <v>13</v>
      </c>
      <c r="AG20" s="1" t="s">
        <v>13</v>
      </c>
      <c r="AH20" s="1" t="s">
        <v>13</v>
      </c>
      <c r="AI20" s="1" t="s">
        <v>13</v>
      </c>
      <c r="AJ20" s="1" t="s">
        <v>13</v>
      </c>
      <c r="AK20" s="1" t="s">
        <v>13</v>
      </c>
      <c r="AL20" s="1" t="s">
        <v>13</v>
      </c>
      <c r="AM20" s="1" t="s">
        <v>13</v>
      </c>
    </row>
    <row r="21" customFormat="false" ht="15" hidden="false" customHeight="false" outlineLevel="0" collapsed="false">
      <c r="A21" s="1" t="n">
        <v>19</v>
      </c>
      <c r="B21" s="1" t="s">
        <v>71</v>
      </c>
      <c r="C21" s="1" t="s">
        <v>72</v>
      </c>
      <c r="D21" s="1" t="s">
        <v>73</v>
      </c>
      <c r="E21" s="2" t="s">
        <v>13</v>
      </c>
      <c r="F21" s="2" t="s">
        <v>13</v>
      </c>
      <c r="H21" s="2" t="s">
        <v>13</v>
      </c>
      <c r="J21" s="2" t="s">
        <v>14</v>
      </c>
      <c r="K21" s="2" t="s">
        <v>13</v>
      </c>
      <c r="L21" s="2" t="s">
        <v>13</v>
      </c>
      <c r="N21" s="2" t="s">
        <v>13</v>
      </c>
      <c r="P21" s="2" t="s">
        <v>13</v>
      </c>
      <c r="Q21" s="2" t="s">
        <v>14</v>
      </c>
      <c r="R21" s="2" t="s">
        <v>14</v>
      </c>
      <c r="T21" s="2" t="s">
        <v>13</v>
      </c>
      <c r="U21" s="2"/>
      <c r="V21" s="2" t="s">
        <v>13</v>
      </c>
      <c r="W21" s="2" t="n">
        <f aca="false">COUNTIF(E21:V21,"P")</f>
        <v>9</v>
      </c>
      <c r="X21" s="2" t="n">
        <f aca="false">COUNTIF(E21:V21,"A")</f>
        <v>3</v>
      </c>
      <c r="Y21" s="2" t="n">
        <f aca="false">SUM(W21:X21)</f>
        <v>12</v>
      </c>
      <c r="Z21" s="4" t="n">
        <f aca="false">ROUND(W21*10/Y21,0)</f>
        <v>8</v>
      </c>
      <c r="AA21" s="2" t="s">
        <v>13</v>
      </c>
      <c r="AB21" s="2" t="s">
        <v>13</v>
      </c>
      <c r="AC21" s="2" t="s">
        <v>13</v>
      </c>
      <c r="AD21" s="2" t="s">
        <v>14</v>
      </c>
      <c r="AE21" s="2" t="s">
        <v>13</v>
      </c>
      <c r="AF21" s="2" t="s">
        <v>13</v>
      </c>
      <c r="AG21" s="2" t="s">
        <v>13</v>
      </c>
      <c r="AH21" s="2" t="s">
        <v>13</v>
      </c>
      <c r="AI21" s="2" t="s">
        <v>13</v>
      </c>
      <c r="AJ21" s="2" t="s">
        <v>13</v>
      </c>
      <c r="AK21" s="2" t="s">
        <v>13</v>
      </c>
      <c r="AL21" s="2" t="s">
        <v>13</v>
      </c>
      <c r="AM21" s="6" t="s">
        <v>13</v>
      </c>
    </row>
    <row r="22" customFormat="false" ht="15" hidden="false" customHeight="false" outlineLevel="0" collapsed="false">
      <c r="A22" s="1" t="n">
        <v>20</v>
      </c>
      <c r="B22" s="1" t="s">
        <v>74</v>
      </c>
      <c r="C22" s="1" t="s">
        <v>75</v>
      </c>
      <c r="D22" s="1" t="s">
        <v>76</v>
      </c>
      <c r="E22" s="2" t="s">
        <v>13</v>
      </c>
      <c r="F22" s="2" t="s">
        <v>13</v>
      </c>
      <c r="H22" s="2" t="s">
        <v>13</v>
      </c>
      <c r="J22" s="2" t="s">
        <v>13</v>
      </c>
      <c r="K22" s="2" t="s">
        <v>13</v>
      </c>
      <c r="L22" s="2" t="s">
        <v>13</v>
      </c>
      <c r="N22" s="2" t="s">
        <v>13</v>
      </c>
      <c r="P22" s="2" t="s">
        <v>13</v>
      </c>
      <c r="Q22" s="2" t="s">
        <v>13</v>
      </c>
      <c r="R22" s="2" t="s">
        <v>13</v>
      </c>
      <c r="T22" s="2" t="s">
        <v>13</v>
      </c>
      <c r="U22" s="2"/>
      <c r="V22" s="2" t="s">
        <v>13</v>
      </c>
      <c r="W22" s="2" t="n">
        <f aca="false">COUNTIF(E22:V22,"P")</f>
        <v>12</v>
      </c>
      <c r="X22" s="2" t="n">
        <f aca="false">COUNTIF(E22:V22,"A")</f>
        <v>0</v>
      </c>
      <c r="Y22" s="2" t="n">
        <f aca="false">SUM(W22:X22)</f>
        <v>12</v>
      </c>
      <c r="Z22" s="4" t="n">
        <f aca="false">ROUND(W22*10/Y22,0)</f>
        <v>10</v>
      </c>
      <c r="AA22" s="2" t="s">
        <v>13</v>
      </c>
      <c r="AB22" s="2" t="s">
        <v>13</v>
      </c>
      <c r="AC22" s="2" t="s">
        <v>13</v>
      </c>
      <c r="AD22" s="2" t="s">
        <v>13</v>
      </c>
      <c r="AE22" s="2" t="s">
        <v>13</v>
      </c>
      <c r="AF22" s="2" t="s">
        <v>13</v>
      </c>
      <c r="AG22" s="2" t="s">
        <v>14</v>
      </c>
      <c r="AH22" s="2" t="s">
        <v>14</v>
      </c>
      <c r="AI22" s="2" t="s">
        <v>14</v>
      </c>
      <c r="AJ22" s="2" t="s">
        <v>14</v>
      </c>
      <c r="AK22" s="2" t="s">
        <v>14</v>
      </c>
      <c r="AL22" s="2" t="s">
        <v>14</v>
      </c>
      <c r="AM22" s="6" t="s">
        <v>14</v>
      </c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  <c r="XEI22" s="2"/>
      <c r="XEJ22" s="2"/>
      <c r="XEK22" s="2"/>
      <c r="XEL22" s="2"/>
      <c r="XEM22" s="2"/>
      <c r="XEN22" s="2"/>
      <c r="XEO22" s="2"/>
      <c r="XEP22" s="2"/>
      <c r="XEQ22" s="2"/>
      <c r="XER22" s="2"/>
      <c r="XES22" s="2"/>
      <c r="XET22" s="2"/>
      <c r="XEU22" s="2"/>
      <c r="XEV22" s="2"/>
      <c r="XEW22" s="2"/>
      <c r="XEX22" s="2"/>
      <c r="XEY22" s="2"/>
      <c r="XEZ22" s="2"/>
      <c r="XFA22" s="2"/>
      <c r="XFB22" s="2"/>
      <c r="XFC22" s="2"/>
      <c r="XFD22" s="2"/>
    </row>
    <row r="23" customFormat="false" ht="15" hidden="false" customHeight="false" outlineLevel="0" collapsed="false">
      <c r="A23" s="1" t="n">
        <v>21</v>
      </c>
      <c r="B23" s="1" t="s">
        <v>77</v>
      </c>
      <c r="C23" s="1" t="s">
        <v>78</v>
      </c>
      <c r="D23" s="1" t="s">
        <v>79</v>
      </c>
      <c r="E23" s="2" t="s">
        <v>13</v>
      </c>
      <c r="F23" s="2" t="s">
        <v>13</v>
      </c>
      <c r="H23" s="2" t="s">
        <v>13</v>
      </c>
      <c r="J23" s="2" t="s">
        <v>13</v>
      </c>
      <c r="K23" s="2" t="s">
        <v>13</v>
      </c>
      <c r="L23" s="2" t="s">
        <v>13</v>
      </c>
      <c r="M23" s="2"/>
      <c r="N23" s="2" t="s">
        <v>13</v>
      </c>
      <c r="P23" s="2" t="s">
        <v>13</v>
      </c>
      <c r="Q23" s="2" t="s">
        <v>13</v>
      </c>
      <c r="R23" s="2" t="s">
        <v>13</v>
      </c>
      <c r="T23" s="2" t="s">
        <v>13</v>
      </c>
      <c r="U23" s="2"/>
      <c r="V23" s="2" t="s">
        <v>13</v>
      </c>
      <c r="W23" s="2" t="n">
        <f aca="false">COUNTIF(E23:V23,"P")</f>
        <v>12</v>
      </c>
      <c r="X23" s="2" t="n">
        <f aca="false">COUNTIF(E23:V23,"A")</f>
        <v>0</v>
      </c>
      <c r="Y23" s="2" t="n">
        <f aca="false">SUM(W23:X23)</f>
        <v>12</v>
      </c>
      <c r="Z23" s="4" t="n">
        <f aca="false">ROUND(W23*10/Y23,0)</f>
        <v>10</v>
      </c>
      <c r="AA23" s="2" t="s">
        <v>13</v>
      </c>
      <c r="AB23" s="2" t="s">
        <v>13</v>
      </c>
      <c r="AC23" s="2" t="s">
        <v>13</v>
      </c>
      <c r="AD23" s="2" t="s">
        <v>13</v>
      </c>
      <c r="AE23" s="2" t="s">
        <v>13</v>
      </c>
      <c r="AF23" s="2" t="s">
        <v>13</v>
      </c>
      <c r="AG23" s="2" t="s">
        <v>13</v>
      </c>
      <c r="AH23" s="2" t="s">
        <v>13</v>
      </c>
      <c r="AI23" s="2" t="s">
        <v>14</v>
      </c>
      <c r="AJ23" s="2" t="s">
        <v>13</v>
      </c>
      <c r="AK23" s="2" t="s">
        <v>13</v>
      </c>
      <c r="AL23" s="2" t="s">
        <v>13</v>
      </c>
      <c r="AM23" s="6" t="s">
        <v>13</v>
      </c>
    </row>
    <row r="24" s="2" customFormat="true" ht="15" hidden="false" customHeight="false" outlineLevel="0" collapsed="false">
      <c r="A24" s="1" t="n">
        <v>22</v>
      </c>
      <c r="B24" s="1" t="s">
        <v>80</v>
      </c>
      <c r="C24" s="1" t="s">
        <v>81</v>
      </c>
      <c r="D24" s="1" t="s">
        <v>82</v>
      </c>
      <c r="E24" s="2" t="s">
        <v>13</v>
      </c>
      <c r="F24" s="2" t="s">
        <v>13</v>
      </c>
      <c r="H24" s="2" t="s">
        <v>13</v>
      </c>
      <c r="I24" s="1"/>
      <c r="J24" s="1" t="s">
        <v>13</v>
      </c>
      <c r="K24" s="1" t="s">
        <v>13</v>
      </c>
      <c r="L24" s="1" t="s">
        <v>13</v>
      </c>
      <c r="M24" s="1"/>
      <c r="N24" s="2" t="s">
        <v>13</v>
      </c>
      <c r="P24" s="2" t="s">
        <v>13</v>
      </c>
      <c r="Q24" s="2" t="s">
        <v>13</v>
      </c>
      <c r="R24" s="2" t="s">
        <v>13</v>
      </c>
      <c r="T24" s="2" t="s">
        <v>13</v>
      </c>
      <c r="V24" s="2" t="s">
        <v>13</v>
      </c>
      <c r="W24" s="2" t="n">
        <f aca="false">COUNTIF(E24:V24,"P")</f>
        <v>12</v>
      </c>
      <c r="X24" s="2" t="n">
        <f aca="false">COUNTIF(E24:V24,"A")</f>
        <v>0</v>
      </c>
      <c r="Y24" s="2" t="n">
        <f aca="false">SUM(W24:X24)</f>
        <v>12</v>
      </c>
      <c r="Z24" s="4" t="n">
        <f aca="false">ROUND(W24*10/Y24,0)</f>
        <v>10</v>
      </c>
      <c r="AA24" s="2" t="s">
        <v>13</v>
      </c>
      <c r="AB24" s="2" t="s">
        <v>13</v>
      </c>
      <c r="AC24" s="2" t="s">
        <v>13</v>
      </c>
      <c r="AD24" s="2" t="s">
        <v>13</v>
      </c>
      <c r="AE24" s="2" t="s">
        <v>13</v>
      </c>
      <c r="AF24" s="2" t="s">
        <v>13</v>
      </c>
      <c r="AG24" s="2" t="s">
        <v>13</v>
      </c>
      <c r="AH24" s="2" t="s">
        <v>13</v>
      </c>
      <c r="AI24" s="2" t="s">
        <v>13</v>
      </c>
      <c r="AJ24" s="2" t="s">
        <v>13</v>
      </c>
      <c r="AK24" s="2" t="s">
        <v>13</v>
      </c>
      <c r="AL24" s="2" t="s">
        <v>13</v>
      </c>
      <c r="AM24" s="2" t="s">
        <v>13</v>
      </c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XDQ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  <c r="XEL24" s="1"/>
      <c r="XEM24" s="1"/>
      <c r="XEN24" s="1"/>
      <c r="XEO24" s="1"/>
      <c r="XEP24" s="1"/>
      <c r="XEQ24" s="1"/>
      <c r="XER24" s="1"/>
      <c r="XES24" s="1"/>
      <c r="XET24" s="1"/>
      <c r="XEU24" s="1"/>
      <c r="XEV24" s="1"/>
      <c r="XEW24" s="1"/>
      <c r="XEX24" s="1"/>
      <c r="XEY24" s="1"/>
      <c r="XEZ24" s="1"/>
      <c r="XFA24" s="1"/>
      <c r="XFB24" s="1"/>
      <c r="XFC24" s="1"/>
      <c r="XFD24" s="1"/>
    </row>
    <row r="25" customFormat="false" ht="15" hidden="false" customHeight="false" outlineLevel="0" collapsed="false">
      <c r="A25" s="1" t="n">
        <v>23</v>
      </c>
      <c r="B25" s="1" t="s">
        <v>83</v>
      </c>
      <c r="C25" s="1" t="s">
        <v>84</v>
      </c>
      <c r="D25" s="1" t="s">
        <v>85</v>
      </c>
      <c r="E25" s="2" t="s">
        <v>13</v>
      </c>
      <c r="F25" s="2" t="s">
        <v>13</v>
      </c>
      <c r="H25" s="2" t="s">
        <v>13</v>
      </c>
      <c r="J25" s="2" t="s">
        <v>13</v>
      </c>
      <c r="K25" s="2" t="s">
        <v>13</v>
      </c>
      <c r="L25" s="2" t="s">
        <v>13</v>
      </c>
      <c r="N25" s="2" t="s">
        <v>13</v>
      </c>
      <c r="P25" s="2" t="s">
        <v>13</v>
      </c>
      <c r="Q25" s="2" t="s">
        <v>13</v>
      </c>
      <c r="R25" s="2" t="s">
        <v>14</v>
      </c>
      <c r="T25" s="2" t="s">
        <v>13</v>
      </c>
      <c r="U25" s="2"/>
      <c r="V25" s="2" t="s">
        <v>13</v>
      </c>
      <c r="W25" s="2" t="n">
        <f aca="false">COUNTIF(E25:V25,"P")</f>
        <v>11</v>
      </c>
      <c r="X25" s="2" t="n">
        <f aca="false">COUNTIF(E25:V25,"A")</f>
        <v>1</v>
      </c>
      <c r="Y25" s="2" t="n">
        <f aca="false">SUM(W25:X25)</f>
        <v>12</v>
      </c>
      <c r="Z25" s="4" t="n">
        <f aca="false">ROUND(W25*10/Y25,0)</f>
        <v>9</v>
      </c>
      <c r="AA25" s="2" t="s">
        <v>13</v>
      </c>
      <c r="AB25" s="2" t="s">
        <v>13</v>
      </c>
      <c r="AC25" s="2" t="s">
        <v>13</v>
      </c>
      <c r="AD25" s="2" t="s">
        <v>13</v>
      </c>
      <c r="AE25" s="2" t="s">
        <v>13</v>
      </c>
      <c r="AF25" s="2" t="s">
        <v>13</v>
      </c>
      <c r="AG25" s="2" t="s">
        <v>13</v>
      </c>
      <c r="AH25" s="2" t="s">
        <v>13</v>
      </c>
      <c r="AI25" s="2" t="s">
        <v>13</v>
      </c>
      <c r="AJ25" s="2" t="s">
        <v>13</v>
      </c>
      <c r="AK25" s="2" t="s">
        <v>14</v>
      </c>
      <c r="AL25" s="2" t="s">
        <v>13</v>
      </c>
      <c r="AM25" s="6" t="s">
        <v>13</v>
      </c>
    </row>
    <row r="26" customFormat="false" ht="15" hidden="false" customHeight="false" outlineLevel="0" collapsed="false">
      <c r="C26" s="1" t="s">
        <v>86</v>
      </c>
      <c r="E26" s="2" t="n">
        <f aca="false">COUNTIF(E3:E25,"P")</f>
        <v>23</v>
      </c>
      <c r="F26" s="2" t="n">
        <f aca="false">COUNTIF(F3:F25,"P")</f>
        <v>22</v>
      </c>
      <c r="H26" s="2" t="n">
        <f aca="false">COUNTIF(H3:H25,"P")</f>
        <v>22</v>
      </c>
      <c r="J26" s="2" t="n">
        <f aca="false">COUNTIF(J3:J25,"P")</f>
        <v>21</v>
      </c>
      <c r="K26" s="2" t="n">
        <f aca="false">COUNTIF(K3:K25,"P")</f>
        <v>22</v>
      </c>
      <c r="L26" s="2" t="n">
        <f aca="false">COUNTIF(L3:L25,"P")</f>
        <v>21</v>
      </c>
      <c r="N26" s="2" t="n">
        <f aca="false">COUNTIF(N3:N25,"P")</f>
        <v>20</v>
      </c>
      <c r="P26" s="2" t="n">
        <f aca="false">COUNTIF(P3:P25,"P")</f>
        <v>20</v>
      </c>
      <c r="Q26" s="2" t="n">
        <f aca="false">COUNTIF(Q3:Q25,"P")</f>
        <v>17</v>
      </c>
      <c r="R26" s="2" t="n">
        <f aca="false">COUNTIF(R3:R25,"P")</f>
        <v>17</v>
      </c>
      <c r="T26" s="2" t="n">
        <f aca="false">COUNTIF(T3:T25,"P")</f>
        <v>22</v>
      </c>
      <c r="U26" s="2"/>
      <c r="V26" s="2" t="n">
        <f aca="false">COUNTIF(V3:V25,"P")</f>
        <v>21</v>
      </c>
      <c r="AA26" s="2" t="n">
        <f aca="false">COUNTIF(AA3:AA25,"P")</f>
        <v>21</v>
      </c>
      <c r="AB26" s="2" t="n">
        <f aca="false">COUNTIF(AB3:AB25,"P")</f>
        <v>20</v>
      </c>
      <c r="AC26" s="2" t="n">
        <f aca="false">COUNTIF(AC3:AC25,"P")</f>
        <v>22</v>
      </c>
      <c r="AD26" s="2" t="n">
        <f aca="false">COUNTIF(AD3:AD25,"P")</f>
        <v>19</v>
      </c>
      <c r="AE26" s="2" t="n">
        <f aca="false">COUNTIF(AE3:AE25,"P")</f>
        <v>21</v>
      </c>
      <c r="AF26" s="2" t="n">
        <f aca="false">COUNTIF(AF3:AF25,"P")</f>
        <v>20</v>
      </c>
      <c r="AG26" s="2" t="n">
        <f aca="false">COUNTIF(AG3:AG25,"P")</f>
        <v>17</v>
      </c>
      <c r="AH26" s="2" t="n">
        <f aca="false">COUNTIF(AH3:AH25,"P")</f>
        <v>20</v>
      </c>
      <c r="AI26" s="2" t="n">
        <f aca="false">COUNTIF(AI3:AI25,"P")</f>
        <v>19</v>
      </c>
      <c r="AJ26" s="2" t="n">
        <f aca="false">COUNTIF(AJ3:AJ25,"P")</f>
        <v>21</v>
      </c>
      <c r="AK26" s="2" t="n">
        <f aca="false">COUNTIF(AK3:AK25,"P")</f>
        <v>18</v>
      </c>
      <c r="AL26" s="2" t="n">
        <f aca="false">COUNTIF(AL3:AL25,"P")</f>
        <v>18</v>
      </c>
      <c r="AM26" s="2" t="n">
        <f aca="false">COUNTIF(AM3:AM25,"P")</f>
        <v>19</v>
      </c>
    </row>
  </sheetData>
  <conditionalFormatting sqref="Z3:Z25">
    <cfRule type="cellIs" priority="2" operator="greaterThan" aboveAverage="0" equalAverage="0" bottom="0" percent="0" rank="0" text="" dxfId="0">
      <formula>6</formula>
    </cfRule>
    <cfRule type="cellIs" priority="3" operator="not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5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T16" activeCellId="0" sqref="T16"/>
    </sheetView>
  </sheetViews>
  <sheetFormatPr defaultColWidth="9.6640625" defaultRowHeight="15" zeroHeight="false" outlineLevelRow="0" outlineLevelCol="0"/>
  <cols>
    <col collapsed="false" customWidth="true" hidden="false" outlineLevel="0" max="1" min="1" style="1" width="4.2"/>
    <col collapsed="false" customWidth="true" hidden="true" outlineLevel="0" max="2" min="2" style="1" width="20.07"/>
    <col collapsed="false" customWidth="true" hidden="false" outlineLevel="0" max="3" min="3" style="1" width="20.07"/>
    <col collapsed="false" customWidth="false" hidden="true" outlineLevel="0" max="17" min="4" style="1" width="9.66"/>
    <col collapsed="false" customWidth="true" hidden="false" outlineLevel="0" max="18" min="18" style="1" width="18.29"/>
    <col collapsed="false" customWidth="true" hidden="false" outlineLevel="0" max="19" min="19" style="1" width="13.06"/>
    <col collapsed="false" customWidth="true" hidden="false" outlineLevel="0" max="16384" min="16346" style="1" width="10.58"/>
  </cols>
  <sheetData>
    <row r="1" customFormat="false" ht="15" hidden="false" customHeight="false" outlineLevel="0" collapsed="false">
      <c r="B1" s="2"/>
      <c r="C1" s="2"/>
      <c r="D1" s="2"/>
    </row>
    <row r="2" customFormat="false" ht="15" hidden="false" customHeight="false" outlineLevel="0" collapsed="false">
      <c r="A2" s="1" t="s">
        <v>1</v>
      </c>
      <c r="B2" s="2" t="s">
        <v>2</v>
      </c>
      <c r="C2" s="2" t="s">
        <v>3</v>
      </c>
      <c r="D2" s="2" t="s">
        <v>87</v>
      </c>
      <c r="E2" s="1" t="s">
        <v>88</v>
      </c>
      <c r="F2" s="2" t="s">
        <v>89</v>
      </c>
      <c r="G2" s="2" t="s">
        <v>90</v>
      </c>
      <c r="H2" s="2" t="s">
        <v>91</v>
      </c>
      <c r="I2" s="2" t="s">
        <v>92</v>
      </c>
      <c r="J2" s="2" t="s">
        <v>91</v>
      </c>
      <c r="K2" s="2" t="s">
        <v>93</v>
      </c>
      <c r="L2" s="2" t="s">
        <v>91</v>
      </c>
      <c r="M2" s="2" t="s">
        <v>94</v>
      </c>
      <c r="N2" s="2" t="s">
        <v>91</v>
      </c>
      <c r="O2" s="2" t="s">
        <v>95</v>
      </c>
      <c r="P2" s="2" t="s">
        <v>9</v>
      </c>
      <c r="Q2" s="2" t="s">
        <v>96</v>
      </c>
      <c r="R2" s="2" t="s">
        <v>97</v>
      </c>
      <c r="S2" s="2" t="s">
        <v>98</v>
      </c>
      <c r="T2" s="2" t="s">
        <v>89</v>
      </c>
    </row>
    <row r="3" customFormat="false" ht="15.65" hidden="false" customHeight="false" outlineLevel="0" collapsed="false">
      <c r="A3" s="1" t="n">
        <v>1</v>
      </c>
      <c r="B3" s="1" t="s">
        <v>10</v>
      </c>
      <c r="C3" s="1" t="s">
        <v>11</v>
      </c>
      <c r="D3" s="1" t="n">
        <v>2</v>
      </c>
      <c r="E3" s="1" t="n">
        <v>7</v>
      </c>
      <c r="F3" s="10" t="n">
        <v>7.5</v>
      </c>
      <c r="G3" s="4" t="n">
        <v>8</v>
      </c>
      <c r="H3" s="4"/>
      <c r="I3" s="1" t="n">
        <v>7</v>
      </c>
      <c r="J3" s="3" t="n">
        <v>46213</v>
      </c>
      <c r="K3" s="1" t="n">
        <v>1</v>
      </c>
      <c r="M3" s="1" t="n">
        <v>10</v>
      </c>
      <c r="O3" s="1" t="n">
        <v>9</v>
      </c>
      <c r="P3" s="4" t="n">
        <f aca="false">ROUND(AVERAGE(E3,F3,G3,I3,K3,M3,O3),0)</f>
        <v>7</v>
      </c>
      <c r="Q3" s="4" t="str">
        <f aca="false">IF(P3&gt;6,"TEA",IF(P3&gt;3,"TEP","TED"))</f>
        <v>TEA</v>
      </c>
      <c r="T3" s="10" t="n">
        <v>9</v>
      </c>
    </row>
    <row r="4" customFormat="false" ht="15.65" hidden="false" customHeight="false" outlineLevel="0" collapsed="false">
      <c r="A4" s="1" t="n">
        <v>2</v>
      </c>
      <c r="B4" s="1" t="s">
        <v>16</v>
      </c>
      <c r="C4" s="1" t="s">
        <v>17</v>
      </c>
      <c r="D4" s="1" t="n">
        <v>3</v>
      </c>
      <c r="E4" s="1" t="n">
        <v>8</v>
      </c>
      <c r="F4" s="1" t="n">
        <v>7.5</v>
      </c>
      <c r="G4" s="4" t="n">
        <v>9</v>
      </c>
      <c r="H4" s="4"/>
      <c r="I4" s="1" t="n">
        <v>7</v>
      </c>
      <c r="J4" s="3" t="n">
        <v>46176</v>
      </c>
      <c r="K4" s="1" t="n">
        <v>7</v>
      </c>
      <c r="L4" s="3" t="n">
        <v>46176</v>
      </c>
      <c r="M4" s="1" t="n">
        <v>8</v>
      </c>
      <c r="O4" s="1" t="n">
        <v>10</v>
      </c>
      <c r="P4" s="4" t="n">
        <f aca="false">ROUND(AVERAGE(E4,F4,G4,I4,K4,M4,O4),0)</f>
        <v>8</v>
      </c>
      <c r="Q4" s="4" t="str">
        <f aca="false">IF(P4&gt;6,"TEA",IF(P4&gt;3,"TEP","TED"))</f>
        <v>TEA</v>
      </c>
      <c r="T4" s="10" t="n">
        <v>8</v>
      </c>
    </row>
    <row r="5" s="7" customFormat="true" ht="15.65" hidden="false" customHeight="false" outlineLevel="0" collapsed="false">
      <c r="A5" s="7" t="n">
        <v>3</v>
      </c>
      <c r="B5" s="7" t="s">
        <v>19</v>
      </c>
      <c r="C5" s="7" t="s">
        <v>99</v>
      </c>
      <c r="G5" s="9" t="n">
        <v>1</v>
      </c>
      <c r="H5" s="9"/>
      <c r="I5" s="7" t="n">
        <v>1</v>
      </c>
      <c r="K5" s="1" t="n">
        <v>1</v>
      </c>
      <c r="L5" s="1"/>
      <c r="M5" s="7" t="n">
        <v>1</v>
      </c>
      <c r="O5" s="7" t="n">
        <v>2</v>
      </c>
      <c r="P5" s="4" t="n">
        <f aca="false">ROUND(AVERAGE(E5,F5,G5,I5,K5,M5,O5),0)</f>
        <v>1</v>
      </c>
      <c r="Q5" s="4" t="str">
        <f aca="false">IF(P5&gt;6,"TEA",IF(P5&gt;3,"TEP","TED"))</f>
        <v>TED</v>
      </c>
      <c r="T5" s="1" t="n">
        <v>1</v>
      </c>
    </row>
    <row r="6" customFormat="false" ht="15.65" hidden="false" customHeight="false" outlineLevel="0" collapsed="false">
      <c r="A6" s="1" t="n">
        <v>4</v>
      </c>
      <c r="B6" s="1" t="s">
        <v>24</v>
      </c>
      <c r="C6" s="1" t="s">
        <v>25</v>
      </c>
      <c r="D6" s="1" t="n">
        <v>3</v>
      </c>
      <c r="E6" s="1" t="n">
        <v>7</v>
      </c>
      <c r="F6" s="1" t="n">
        <v>5</v>
      </c>
      <c r="G6" s="4" t="n">
        <v>1</v>
      </c>
      <c r="H6" s="4"/>
      <c r="I6" s="1" t="n">
        <v>4</v>
      </c>
      <c r="J6" s="3" t="n">
        <v>46214</v>
      </c>
      <c r="K6" s="1" t="n">
        <v>1</v>
      </c>
      <c r="M6" s="1" t="n">
        <v>1</v>
      </c>
      <c r="O6" s="1" t="n">
        <v>10</v>
      </c>
      <c r="P6" s="4" t="n">
        <f aca="false">ROUND(AVERAGE(E6,F6,G6,I6,K6,M6,O6),0)</f>
        <v>4</v>
      </c>
      <c r="Q6" s="4" t="str">
        <f aca="false">IF(P6&gt;6,"TEA",IF(P6&gt;3,"TEP","TED"))</f>
        <v>TEP</v>
      </c>
      <c r="T6" s="10" t="n">
        <v>6.5</v>
      </c>
    </row>
    <row r="7" s="1" customFormat="true" ht="15.65" hidden="false" customHeight="false" outlineLevel="0" collapsed="false">
      <c r="A7" s="1" t="n">
        <v>5</v>
      </c>
      <c r="B7" s="1" t="s">
        <v>27</v>
      </c>
      <c r="C7" s="1" t="s">
        <v>28</v>
      </c>
      <c r="D7" s="1" t="n">
        <v>1</v>
      </c>
      <c r="E7" s="1" t="n">
        <v>10</v>
      </c>
      <c r="F7" s="1" t="n">
        <v>5</v>
      </c>
      <c r="G7" s="4" t="n">
        <v>10</v>
      </c>
      <c r="H7" s="4"/>
      <c r="I7" s="1" t="n">
        <v>10</v>
      </c>
      <c r="K7" s="1" t="n">
        <v>1</v>
      </c>
      <c r="M7" s="1" t="n">
        <v>8</v>
      </c>
      <c r="O7" s="1" t="n">
        <v>10</v>
      </c>
      <c r="P7" s="4" t="n">
        <f aca="false">ROUND(AVERAGE(E7,F7,G7,I7,K7,M7,O7),0)</f>
        <v>8</v>
      </c>
      <c r="Q7" s="4" t="str">
        <f aca="false">IF(P7&gt;6,"TEA",IF(P7&gt;3,"TEP","TED"))</f>
        <v>TEA</v>
      </c>
      <c r="T7" s="10" t="n">
        <v>8.5</v>
      </c>
    </row>
    <row r="8" customFormat="false" ht="15.65" hidden="false" customHeight="false" outlineLevel="0" collapsed="false">
      <c r="A8" s="1" t="n">
        <v>6</v>
      </c>
      <c r="B8" s="1" t="s">
        <v>31</v>
      </c>
      <c r="C8" s="1" t="s">
        <v>32</v>
      </c>
      <c r="D8" s="1" t="n">
        <v>1</v>
      </c>
      <c r="E8" s="1" t="n">
        <v>10</v>
      </c>
      <c r="F8" s="10" t="n">
        <v>9</v>
      </c>
      <c r="G8" s="4" t="n">
        <v>9</v>
      </c>
      <c r="H8" s="4"/>
      <c r="I8" s="1" t="n">
        <v>8</v>
      </c>
      <c r="K8" s="1" t="n">
        <v>6</v>
      </c>
      <c r="L8" s="3" t="n">
        <v>46129</v>
      </c>
      <c r="M8" s="1" t="n">
        <v>8</v>
      </c>
      <c r="O8" s="1" t="n">
        <v>9</v>
      </c>
      <c r="P8" s="4" t="n">
        <f aca="false">ROUND(AVERAGE(E8,F8,G8,I8,K8,M8,O8),0)</f>
        <v>8</v>
      </c>
      <c r="Q8" s="4" t="str">
        <f aca="false">IF(P8&gt;6,"TEA",IF(P8&gt;3,"TEP","TED"))</f>
        <v>TEA</v>
      </c>
      <c r="R8" s="1" t="n">
        <v>1</v>
      </c>
      <c r="T8" s="10" t="n">
        <v>9.5</v>
      </c>
    </row>
    <row r="9" customFormat="false" ht="15.65" hidden="false" customHeight="false" outlineLevel="0" collapsed="false">
      <c r="A9" s="1" t="n">
        <v>7</v>
      </c>
      <c r="B9" s="1" t="s">
        <v>34</v>
      </c>
      <c r="C9" s="1" t="s">
        <v>35</v>
      </c>
      <c r="D9" s="1" t="n">
        <v>4</v>
      </c>
      <c r="E9" s="1" t="n">
        <v>5</v>
      </c>
      <c r="G9" s="4" t="n">
        <v>8</v>
      </c>
      <c r="H9" s="3" t="n">
        <v>46204</v>
      </c>
      <c r="I9" s="1" t="n">
        <v>7</v>
      </c>
      <c r="J9" s="3" t="n">
        <v>46205</v>
      </c>
      <c r="K9" s="1" t="n">
        <v>1</v>
      </c>
      <c r="M9" s="1" t="n">
        <v>7</v>
      </c>
      <c r="N9" s="3" t="n">
        <v>46275</v>
      </c>
      <c r="O9" s="1" t="n">
        <v>8</v>
      </c>
      <c r="P9" s="4" t="n">
        <f aca="false">ROUND(AVERAGE(E9,F9,G9,I9,K9,M9,O9),0)</f>
        <v>6</v>
      </c>
      <c r="Q9" s="4" t="str">
        <f aca="false">IF(P9&gt;6,"TEA",IF(P9&gt;3,"TEP","TED"))</f>
        <v>TEP</v>
      </c>
      <c r="T9" s="10" t="n">
        <v>8</v>
      </c>
    </row>
    <row r="10" customFormat="false" ht="15.65" hidden="false" customHeight="false" outlineLevel="0" collapsed="false">
      <c r="A10" s="1" t="n">
        <v>8</v>
      </c>
      <c r="B10" s="1" t="s">
        <v>37</v>
      </c>
      <c r="C10" s="1" t="s">
        <v>38</v>
      </c>
      <c r="D10" s="1" t="n">
        <v>2</v>
      </c>
      <c r="E10" s="1" t="n">
        <v>10</v>
      </c>
      <c r="F10" s="1" t="n">
        <v>7.5</v>
      </c>
      <c r="G10" s="4" t="n">
        <v>10</v>
      </c>
      <c r="H10" s="4"/>
      <c r="I10" s="1" t="n">
        <v>10</v>
      </c>
      <c r="K10" s="1" t="n">
        <v>1</v>
      </c>
      <c r="M10" s="1" t="n">
        <v>6</v>
      </c>
      <c r="O10" s="1" t="n">
        <v>9</v>
      </c>
      <c r="P10" s="4" t="n">
        <f aca="false">ROUND(AVERAGE(E10,F10,G10,I10,K10,M10,O10),0)</f>
        <v>8</v>
      </c>
      <c r="Q10" s="4" t="str">
        <f aca="false">IF(P10&gt;6,"TEA",IF(P10&gt;3,"TEP","TED"))</f>
        <v>TEA</v>
      </c>
      <c r="T10" s="10" t="n">
        <v>9</v>
      </c>
    </row>
    <row r="11" customFormat="false" ht="15.65" hidden="false" customHeight="false" outlineLevel="0" collapsed="false">
      <c r="A11" s="1" t="n">
        <v>9</v>
      </c>
      <c r="B11" s="1" t="s">
        <v>40</v>
      </c>
      <c r="C11" s="11" t="s">
        <v>41</v>
      </c>
      <c r="D11" s="1" t="n">
        <v>4</v>
      </c>
      <c r="E11" s="1" t="n">
        <v>4</v>
      </c>
      <c r="F11" s="10" t="n">
        <v>1</v>
      </c>
      <c r="G11" s="4" t="n">
        <v>8</v>
      </c>
      <c r="H11" s="3" t="n">
        <v>46204</v>
      </c>
      <c r="I11" s="1" t="n">
        <v>1</v>
      </c>
      <c r="K11" s="1" t="n">
        <v>1</v>
      </c>
      <c r="M11" s="1" t="n">
        <v>1</v>
      </c>
      <c r="O11" s="1" t="n">
        <v>10</v>
      </c>
      <c r="P11" s="4" t="n">
        <f aca="false">ROUND(AVERAGE(E11,F11,G11,I11,K11,M11,O11),0)</f>
        <v>4</v>
      </c>
      <c r="Q11" s="4" t="str">
        <f aca="false">IF(P11&gt;6,"TEA",IF(P11&gt;3,"TEP","TED"))</f>
        <v>TEP</v>
      </c>
      <c r="T11" s="1" t="n">
        <v>0.5</v>
      </c>
    </row>
    <row r="12" s="1" customFormat="true" ht="15.65" hidden="false" customHeight="false" outlineLevel="0" collapsed="false">
      <c r="A12" s="1" t="n">
        <v>10</v>
      </c>
      <c r="B12" s="1" t="s">
        <v>43</v>
      </c>
      <c r="C12" s="1" t="s">
        <v>44</v>
      </c>
      <c r="D12" s="1" t="n">
        <v>4</v>
      </c>
      <c r="E12" s="1" t="n">
        <v>3</v>
      </c>
      <c r="F12" s="10" t="n">
        <v>1</v>
      </c>
      <c r="G12" s="4" t="n">
        <v>6</v>
      </c>
      <c r="H12" s="4"/>
      <c r="I12" s="1" t="n">
        <v>1</v>
      </c>
      <c r="K12" s="1" t="n">
        <v>1</v>
      </c>
      <c r="M12" s="1" t="n">
        <v>1</v>
      </c>
      <c r="O12" s="1" t="n">
        <v>9</v>
      </c>
      <c r="P12" s="4" t="n">
        <f aca="false">ROUND(AVERAGE(E12,F12,G12,I12,K12,M12,O12),0)</f>
        <v>3</v>
      </c>
      <c r="Q12" s="4" t="str">
        <f aca="false">IF(P12&gt;6,"TEA",IF(P12&gt;3,"TEP","TED"))</f>
        <v>TED</v>
      </c>
      <c r="T12" s="1" t="n">
        <v>0.5</v>
      </c>
    </row>
    <row r="13" customFormat="false" ht="15.65" hidden="false" customHeight="false" outlineLevel="0" collapsed="false">
      <c r="A13" s="1" t="n">
        <v>11</v>
      </c>
      <c r="B13" s="1" t="s">
        <v>46</v>
      </c>
      <c r="C13" s="1" t="s">
        <v>47</v>
      </c>
      <c r="D13" s="1" t="n">
        <v>2</v>
      </c>
      <c r="E13" s="1" t="n">
        <v>8</v>
      </c>
      <c r="G13" s="2" t="n">
        <v>10</v>
      </c>
      <c r="H13" s="2"/>
      <c r="I13" s="1" t="n">
        <v>10</v>
      </c>
      <c r="K13" s="1" t="n">
        <v>8</v>
      </c>
      <c r="L13" s="3" t="n">
        <v>46127</v>
      </c>
      <c r="M13" s="1" t="n">
        <v>10</v>
      </c>
      <c r="O13" s="1" t="n">
        <v>9</v>
      </c>
      <c r="P13" s="4" t="n">
        <f aca="false">ROUND(AVERAGE(E13,F13,G13,I13,K13,M13,O13),0)</f>
        <v>9</v>
      </c>
      <c r="Q13" s="4" t="str">
        <f aca="false">IF(P13&gt;6,"TEA",IF(P13&gt;3,"TEP","TED"))</f>
        <v>TEA</v>
      </c>
      <c r="T13" s="10" t="n">
        <v>10</v>
      </c>
    </row>
    <row r="14" customFormat="false" ht="15.65" hidden="false" customHeight="false" outlineLevel="0" collapsed="false">
      <c r="A14" s="1" t="n">
        <v>12</v>
      </c>
      <c r="B14" s="1" t="s">
        <v>49</v>
      </c>
      <c r="C14" s="1" t="s">
        <v>50</v>
      </c>
      <c r="D14" s="1" t="n">
        <v>3</v>
      </c>
      <c r="F14" s="1" t="n">
        <v>10</v>
      </c>
      <c r="G14" s="4" t="n">
        <v>10</v>
      </c>
      <c r="H14" s="4"/>
      <c r="I14" s="1" t="n">
        <v>8</v>
      </c>
      <c r="J14" s="3" t="n">
        <v>46205</v>
      </c>
      <c r="K14" s="1" t="n">
        <v>1</v>
      </c>
      <c r="M14" s="2" t="n">
        <v>10</v>
      </c>
      <c r="N14" s="2"/>
      <c r="O14" s="1" t="n">
        <v>8</v>
      </c>
      <c r="P14" s="4" t="n">
        <f aca="false">ROUND(AVERAGE(E14,F14,G14,I14,K14,M14,O14),0)</f>
        <v>8</v>
      </c>
      <c r="Q14" s="4" t="str">
        <f aca="false">IF(P14&gt;6,"TEA",IF(P14&gt;3,"TEP","TED"))</f>
        <v>TEA</v>
      </c>
      <c r="T14" s="10" t="n">
        <v>8.5</v>
      </c>
    </row>
    <row r="15" s="2" customFormat="true" ht="15.65" hidden="false" customHeight="false" outlineLevel="0" collapsed="false">
      <c r="A15" s="1" t="n">
        <v>13</v>
      </c>
      <c r="B15" s="1" t="s">
        <v>53</v>
      </c>
      <c r="C15" s="1" t="s">
        <v>54</v>
      </c>
      <c r="D15" s="1" t="n">
        <v>2</v>
      </c>
      <c r="E15" s="2" t="n">
        <v>10</v>
      </c>
      <c r="F15" s="12" t="n">
        <v>7.5</v>
      </c>
      <c r="G15" s="4" t="n">
        <v>10</v>
      </c>
      <c r="H15" s="4"/>
      <c r="I15" s="2" t="n">
        <v>6</v>
      </c>
      <c r="K15" s="1" t="n">
        <v>6</v>
      </c>
      <c r="L15" s="3" t="n">
        <v>46137</v>
      </c>
      <c r="M15" s="1" t="n">
        <v>8</v>
      </c>
      <c r="N15" s="1"/>
      <c r="O15" s="2" t="n">
        <v>10</v>
      </c>
      <c r="P15" s="4" t="n">
        <f aca="false">ROUND(AVERAGE(E15,F15,G15,I15,K15,M15,O15),0)</f>
        <v>8</v>
      </c>
      <c r="Q15" s="4" t="str">
        <f aca="false">IF(P15&gt;6,"TEA",IF(P15&gt;3,"TEP","TED"))</f>
        <v>TEA</v>
      </c>
      <c r="T15" s="10" t="n">
        <v>8</v>
      </c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="1" customFormat="true" ht="15.65" hidden="false" customHeight="false" outlineLevel="0" collapsed="false">
      <c r="A16" s="1" t="n">
        <v>14</v>
      </c>
      <c r="B16" s="1" t="s">
        <v>56</v>
      </c>
      <c r="C16" s="1" t="s">
        <v>57</v>
      </c>
      <c r="D16" s="1" t="n">
        <v>3</v>
      </c>
      <c r="E16" s="1" t="n">
        <v>1</v>
      </c>
      <c r="F16" s="1" t="n">
        <v>5</v>
      </c>
      <c r="G16" s="2" t="n">
        <v>1</v>
      </c>
      <c r="H16" s="2"/>
      <c r="I16" s="2" t="n">
        <v>1</v>
      </c>
      <c r="J16" s="2"/>
      <c r="K16" s="1" t="n">
        <v>1</v>
      </c>
      <c r="M16" s="2" t="n">
        <v>1</v>
      </c>
      <c r="N16" s="2"/>
      <c r="O16" s="1" t="n">
        <v>8</v>
      </c>
      <c r="P16" s="4" t="n">
        <f aca="false">ROUND(AVERAGE(E16,F16,G16,I16,K16,M16,O16),0)</f>
        <v>3</v>
      </c>
      <c r="Q16" s="4" t="str">
        <f aca="false">IF(P16&gt;6,"TEA",IF(P16&gt;3,"TEP","TED"))</f>
        <v>TED</v>
      </c>
      <c r="T16" s="1" t="n">
        <v>1</v>
      </c>
    </row>
    <row r="17" s="1" customFormat="true" ht="15.65" hidden="false" customHeight="false" outlineLevel="0" collapsed="false">
      <c r="A17" s="1" t="n">
        <v>15</v>
      </c>
      <c r="B17" s="1" t="s">
        <v>59</v>
      </c>
      <c r="C17" s="1" t="s">
        <v>60</v>
      </c>
      <c r="D17" s="1" t="n">
        <v>4</v>
      </c>
      <c r="E17" s="1" t="n">
        <v>1</v>
      </c>
      <c r="F17" s="10" t="n">
        <v>7.5</v>
      </c>
      <c r="G17" s="2" t="n">
        <v>8</v>
      </c>
      <c r="H17" s="5" t="n">
        <v>46204</v>
      </c>
      <c r="I17" s="1" t="n">
        <v>7</v>
      </c>
      <c r="J17" s="3" t="n">
        <v>46212</v>
      </c>
      <c r="K17" s="1" t="n">
        <v>1</v>
      </c>
      <c r="M17" s="2" t="n">
        <v>7</v>
      </c>
      <c r="N17" s="5" t="n">
        <v>46274</v>
      </c>
      <c r="O17" s="1" t="n">
        <v>10</v>
      </c>
      <c r="P17" s="4" t="n">
        <f aca="false">ROUND(AVERAGE(E17,F17,G17,I17,K17,M17,O17),0)</f>
        <v>6</v>
      </c>
      <c r="Q17" s="4" t="str">
        <f aca="false">IF(P17&gt;6,"TEA",IF(P17&gt;3,"TEP","TED"))</f>
        <v>TEP</v>
      </c>
      <c r="T17" s="10" t="n">
        <v>10</v>
      </c>
    </row>
    <row r="18" s="2" customFormat="true" ht="15.65" hidden="false" customHeight="false" outlineLevel="0" collapsed="false">
      <c r="A18" s="1" t="n">
        <v>16</v>
      </c>
      <c r="B18" s="1" t="s">
        <v>62</v>
      </c>
      <c r="C18" s="1" t="s">
        <v>63</v>
      </c>
      <c r="D18" s="1" t="n">
        <v>1</v>
      </c>
      <c r="E18" s="2" t="n">
        <v>10</v>
      </c>
      <c r="F18" s="12" t="n">
        <v>7.5</v>
      </c>
      <c r="G18" s="4" t="n">
        <v>10</v>
      </c>
      <c r="H18" s="4"/>
      <c r="I18" s="1" t="n">
        <v>10</v>
      </c>
      <c r="J18" s="1"/>
      <c r="K18" s="1" t="n">
        <v>8</v>
      </c>
      <c r="L18" s="3" t="n">
        <v>46137</v>
      </c>
      <c r="M18" s="1" t="n">
        <v>7</v>
      </c>
      <c r="N18" s="1"/>
      <c r="O18" s="2" t="n">
        <v>10</v>
      </c>
      <c r="P18" s="4" t="n">
        <f aca="false">ROUND(AVERAGE(E18,F18,G18,I18,K18,M18,O18),0)</f>
        <v>9</v>
      </c>
      <c r="Q18" s="4" t="str">
        <f aca="false">IF(P18&gt;6,"TEA",IF(P18&gt;3,"TEP","TED"))</f>
        <v>TEA</v>
      </c>
      <c r="T18" s="10" t="n">
        <v>10</v>
      </c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1"/>
      <c r="XEU18" s="1"/>
      <c r="XEV18" s="1"/>
      <c r="XEW18" s="1"/>
      <c r="XEX18" s="1"/>
      <c r="XEY18" s="1"/>
      <c r="XEZ18" s="1"/>
      <c r="XFA18" s="1"/>
      <c r="XFB18" s="1"/>
      <c r="XFC18" s="1"/>
      <c r="XFD18" s="1"/>
    </row>
    <row r="19" s="2" customFormat="true" ht="15.65" hidden="false" customHeight="false" outlineLevel="0" collapsed="false">
      <c r="A19" s="1" t="n">
        <v>17</v>
      </c>
      <c r="B19" s="1" t="s">
        <v>65</v>
      </c>
      <c r="C19" s="1" t="s">
        <v>66</v>
      </c>
      <c r="D19" s="1" t="n">
        <v>1</v>
      </c>
      <c r="E19" s="2" t="n">
        <v>10</v>
      </c>
      <c r="F19" s="12" t="n">
        <v>10</v>
      </c>
      <c r="G19" s="4" t="n">
        <v>8</v>
      </c>
      <c r="H19" s="3" t="n">
        <v>46130</v>
      </c>
      <c r="I19" s="1" t="n">
        <v>7</v>
      </c>
      <c r="J19" s="1"/>
      <c r="K19" s="1" t="n">
        <v>8</v>
      </c>
      <c r="L19" s="3" t="n">
        <v>46137</v>
      </c>
      <c r="M19" s="1" t="n">
        <v>6</v>
      </c>
      <c r="N19" s="3" t="n">
        <v>46273</v>
      </c>
      <c r="O19" s="2" t="n">
        <v>9</v>
      </c>
      <c r="P19" s="4" t="n">
        <f aca="false">ROUND(AVERAGE(E19,F19,G19,I19,K19,M19,O19),0)</f>
        <v>8</v>
      </c>
      <c r="Q19" s="4" t="str">
        <f aca="false">IF(P19&gt;6,"TEA",IF(P19&gt;3,"TEP","TED"))</f>
        <v>TEA</v>
      </c>
      <c r="T19" s="1" t="n">
        <v>9</v>
      </c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  <c r="XEM19" s="1"/>
      <c r="XEN19" s="1"/>
      <c r="XEO19" s="1"/>
      <c r="XEP19" s="1"/>
      <c r="XEQ19" s="1"/>
      <c r="XER19" s="1"/>
      <c r="XES19" s="1"/>
      <c r="XET19" s="1"/>
      <c r="XEU19" s="1"/>
      <c r="XEV19" s="1"/>
      <c r="XEW19" s="1"/>
      <c r="XEX19" s="1"/>
      <c r="XEY19" s="1"/>
      <c r="XEZ19" s="1"/>
      <c r="XFA19" s="1"/>
      <c r="XFB19" s="1"/>
      <c r="XFC19" s="1"/>
      <c r="XFD19" s="1"/>
    </row>
    <row r="20" s="1" customFormat="true" ht="15.65" hidden="false" customHeight="false" outlineLevel="0" collapsed="false">
      <c r="A20" s="1" t="n">
        <v>18</v>
      </c>
      <c r="B20" s="1" t="s">
        <v>68</v>
      </c>
      <c r="C20" s="1" t="s">
        <v>69</v>
      </c>
      <c r="D20" s="1" t="n">
        <v>3</v>
      </c>
      <c r="E20" s="1" t="n">
        <v>8</v>
      </c>
      <c r="G20" s="4" t="n">
        <v>10</v>
      </c>
      <c r="H20" s="4"/>
      <c r="I20" s="2" t="n">
        <v>8</v>
      </c>
      <c r="J20" s="2"/>
      <c r="K20" s="1" t="n">
        <v>2</v>
      </c>
      <c r="L20" s="3" t="n">
        <v>46137</v>
      </c>
      <c r="M20" s="2" t="n">
        <v>10</v>
      </c>
      <c r="N20" s="2"/>
      <c r="O20" s="1" t="n">
        <v>9</v>
      </c>
      <c r="P20" s="4" t="n">
        <f aca="false">ROUND(AVERAGE(E20,F20,G20,I20,K20,M20,O20),0)</f>
        <v>8</v>
      </c>
      <c r="Q20" s="4" t="str">
        <f aca="false">IF(P20&gt;6,"TEA",IF(P20&gt;3,"TEP","TED"))</f>
        <v>TEA</v>
      </c>
      <c r="T20" s="10" t="n">
        <v>9.5</v>
      </c>
    </row>
    <row r="21" s="1" customFormat="true" ht="15.65" hidden="false" customHeight="false" outlineLevel="0" collapsed="false">
      <c r="A21" s="1" t="n">
        <v>19</v>
      </c>
      <c r="B21" s="1" t="s">
        <v>71</v>
      </c>
      <c r="C21" s="1" t="s">
        <v>72</v>
      </c>
      <c r="D21" s="1" t="n">
        <v>4</v>
      </c>
      <c r="E21" s="1" t="n">
        <v>1</v>
      </c>
      <c r="F21" s="1" t="n">
        <v>7.5</v>
      </c>
      <c r="G21" s="4" t="n">
        <v>1</v>
      </c>
      <c r="H21" s="4"/>
      <c r="I21" s="1" t="n">
        <v>8</v>
      </c>
      <c r="J21" s="3" t="n">
        <v>46206</v>
      </c>
      <c r="K21" s="1" t="n">
        <v>1</v>
      </c>
      <c r="M21" s="1" t="n">
        <v>1</v>
      </c>
      <c r="O21" s="1" t="n">
        <v>8</v>
      </c>
      <c r="P21" s="4" t="n">
        <f aca="false">ROUND(AVERAGE(E21,F21,G21,I21,K21,M21,O21),0)</f>
        <v>4</v>
      </c>
      <c r="Q21" s="4" t="str">
        <f aca="false">IF(P21&gt;6,"TEA",IF(P21&gt;3,"TEP","TED"))</f>
        <v>TEP</v>
      </c>
      <c r="T21" s="10" t="n">
        <v>8</v>
      </c>
    </row>
    <row r="22" s="1" customFormat="true" ht="15.65" hidden="false" customHeight="false" outlineLevel="0" collapsed="false">
      <c r="A22" s="1" t="n">
        <v>20</v>
      </c>
      <c r="B22" s="1" t="s">
        <v>74</v>
      </c>
      <c r="C22" s="1" t="s">
        <v>75</v>
      </c>
      <c r="D22" s="1" t="n">
        <v>2</v>
      </c>
      <c r="E22" s="1" t="n">
        <v>1</v>
      </c>
      <c r="F22" s="1" t="n">
        <v>2.5</v>
      </c>
      <c r="G22" s="2" t="n">
        <v>1</v>
      </c>
      <c r="H22" s="2"/>
      <c r="I22" s="1" t="n">
        <v>1</v>
      </c>
      <c r="K22" s="1" t="n">
        <v>1</v>
      </c>
      <c r="M22" s="1" t="n">
        <v>1</v>
      </c>
      <c r="O22" s="1" t="n">
        <v>10</v>
      </c>
      <c r="P22" s="4" t="n">
        <f aca="false">ROUND(AVERAGE(E22,F22,G22,I22,K22,M22,O22),0)</f>
        <v>3</v>
      </c>
      <c r="Q22" s="4" t="str">
        <f aca="false">IF(P22&gt;6,"TEA",IF(P22&gt;3,"TEP","TED"))</f>
        <v>TED</v>
      </c>
      <c r="T22" s="1" t="n">
        <v>1</v>
      </c>
    </row>
    <row r="23" s="1" customFormat="true" ht="15.65" hidden="false" customHeight="false" outlineLevel="0" collapsed="false">
      <c r="A23" s="1" t="n">
        <v>21</v>
      </c>
      <c r="B23" s="1" t="s">
        <v>77</v>
      </c>
      <c r="C23" s="1" t="s">
        <v>78</v>
      </c>
      <c r="D23" s="1" t="n">
        <v>2</v>
      </c>
      <c r="E23" s="1" t="n">
        <v>10</v>
      </c>
      <c r="F23" s="10" t="n">
        <v>7</v>
      </c>
      <c r="G23" s="4" t="n">
        <v>10</v>
      </c>
      <c r="H23" s="4"/>
      <c r="I23" s="1" t="n">
        <v>9</v>
      </c>
      <c r="J23" s="3" t="n">
        <v>46127</v>
      </c>
      <c r="K23" s="1" t="n">
        <v>8</v>
      </c>
      <c r="M23" s="1" t="n">
        <v>10</v>
      </c>
      <c r="O23" s="1" t="n">
        <v>10</v>
      </c>
      <c r="P23" s="4" t="n">
        <f aca="false">ROUND(AVERAGE(E23,F23,G23,I23,K23,M23,O23),0)</f>
        <v>9</v>
      </c>
      <c r="Q23" s="4" t="str">
        <f aca="false">IF(P23&gt;6,"TEA",IF(P23&gt;3,"TEP","TED"))</f>
        <v>TEA</v>
      </c>
      <c r="T23" s="10" t="n">
        <v>8</v>
      </c>
    </row>
    <row r="24" s="2" customFormat="true" ht="15.65" hidden="false" customHeight="false" outlineLevel="0" collapsed="false">
      <c r="A24" s="1" t="n">
        <v>22</v>
      </c>
      <c r="B24" s="1" t="s">
        <v>80</v>
      </c>
      <c r="C24" s="1" t="s">
        <v>81</v>
      </c>
      <c r="D24" s="1" t="n">
        <v>3</v>
      </c>
      <c r="E24" s="2" t="n">
        <v>10</v>
      </c>
      <c r="F24" s="2" t="n">
        <v>2.5</v>
      </c>
      <c r="G24" s="4" t="n">
        <v>7</v>
      </c>
      <c r="H24" s="3" t="n">
        <v>46169</v>
      </c>
      <c r="I24" s="1" t="n">
        <v>8</v>
      </c>
      <c r="J24" s="3" t="n">
        <v>46204</v>
      </c>
      <c r="K24" s="1" t="n">
        <v>8</v>
      </c>
      <c r="L24" s="1"/>
      <c r="M24" s="1" t="n">
        <v>6</v>
      </c>
      <c r="N24" s="3" t="n">
        <v>46273</v>
      </c>
      <c r="O24" s="2" t="n">
        <v>10</v>
      </c>
      <c r="P24" s="4" t="n">
        <f aca="false">ROUND(AVERAGE(E24,F24,G24,I24,K24,M24,O24),0)</f>
        <v>7</v>
      </c>
      <c r="Q24" s="4" t="str">
        <f aca="false">IF(P24&gt;6,"TEA",IF(P24&gt;3,"TEP","TED"))</f>
        <v>TEA</v>
      </c>
      <c r="T24" s="10" t="n">
        <v>9</v>
      </c>
      <c r="XDP24" s="1"/>
      <c r="XDQ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  <c r="XEL24" s="1"/>
      <c r="XEM24" s="1"/>
      <c r="XEN24" s="1"/>
      <c r="XEO24" s="1"/>
      <c r="XEP24" s="1"/>
      <c r="XEQ24" s="1"/>
      <c r="XER24" s="1"/>
      <c r="XES24" s="1"/>
      <c r="XET24" s="1"/>
      <c r="XEU24" s="1"/>
      <c r="XEV24" s="1"/>
      <c r="XEW24" s="1"/>
      <c r="XEX24" s="1"/>
      <c r="XEY24" s="1"/>
      <c r="XEZ24" s="1"/>
      <c r="XFA24" s="1"/>
      <c r="XFB24" s="1"/>
      <c r="XFC24" s="1"/>
      <c r="XFD24" s="1"/>
    </row>
    <row r="25" customFormat="false" ht="15" hidden="false" customHeight="false" outlineLevel="0" collapsed="false">
      <c r="A25" s="1" t="n">
        <v>23</v>
      </c>
      <c r="B25" s="1" t="s">
        <v>83</v>
      </c>
      <c r="C25" s="1" t="s">
        <v>84</v>
      </c>
      <c r="D25" s="1" t="n">
        <v>1</v>
      </c>
      <c r="E25" s="1" t="n">
        <v>6</v>
      </c>
      <c r="F25" s="1" t="n">
        <v>5</v>
      </c>
      <c r="G25" s="4" t="n">
        <v>10</v>
      </c>
      <c r="H25" s="4"/>
      <c r="I25" s="1" t="n">
        <v>7</v>
      </c>
      <c r="J25" s="3" t="n">
        <v>46214</v>
      </c>
      <c r="K25" s="1" t="n">
        <v>1</v>
      </c>
      <c r="M25" s="1" t="n">
        <v>7</v>
      </c>
      <c r="N25" s="3" t="n">
        <v>46273</v>
      </c>
      <c r="O25" s="1" t="n">
        <v>9</v>
      </c>
      <c r="P25" s="4" t="n">
        <f aca="false">ROUND(AVERAGE(E25,F25,G25,I25,K25,M25,O25),0)</f>
        <v>6</v>
      </c>
      <c r="Q25" s="4" t="str">
        <f aca="false">IF(P25&gt;6,"TEA",IF(P25&gt;3,"TEP","TED"))</f>
        <v>TEP</v>
      </c>
      <c r="T25" s="10" t="n">
        <v>9.5</v>
      </c>
    </row>
  </sheetData>
  <conditionalFormatting sqref="G3:H25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equal" aboveAverage="0" equalAverage="0" bottom="0" percent="0" rank="0" text="" dxfId="3">
      <formula>0</formula>
    </cfRule>
    <cfRule type="cellIs" priority="5" operator="lessThan" aboveAverage="0" equalAverage="0" bottom="0" percent="0" rank="0" text="" dxfId="2">
      <formula>4</formula>
    </cfRule>
  </conditionalFormatting>
  <conditionalFormatting sqref="I3:J25">
    <cfRule type="cellIs" priority="6" operator="greaterThan" aboveAverage="0" equalAverage="0" bottom="0" percent="0" rank="0" text="" dxfId="0">
      <formula>6</formula>
    </cfRule>
    <cfRule type="cellIs" priority="7" operator="between" aboveAverage="0" equalAverage="0" bottom="0" percent="0" rank="0" text="" dxfId="1">
      <formula>4</formula>
      <formula>6</formula>
    </cfRule>
    <cfRule type="cellIs" priority="8" operator="equal" aboveAverage="0" equalAverage="0" bottom="0" percent="0" rank="0" text="" dxfId="3">
      <formula>0</formula>
    </cfRule>
    <cfRule type="cellIs" priority="9" operator="lessThan" aboveAverage="0" equalAverage="0" bottom="0" percent="0" rank="0" text="" dxfId="2">
      <formula>4</formula>
    </cfRule>
  </conditionalFormatting>
  <conditionalFormatting sqref="K3:L25">
    <cfRule type="cellIs" priority="10" operator="greaterThan" aboveAverage="0" equalAverage="0" bottom="0" percent="0" rank="0" text="" dxfId="0">
      <formula>6</formula>
    </cfRule>
    <cfRule type="cellIs" priority="11" operator="between" aboveAverage="0" equalAverage="0" bottom="0" percent="0" rank="0" text="" dxfId="1">
      <formula>4</formula>
      <formula>6</formula>
    </cfRule>
    <cfRule type="cellIs" priority="12" operator="lessThan" aboveAverage="0" equalAverage="0" bottom="0" percent="0" rank="0" text="" dxfId="2">
      <formula>4</formula>
    </cfRule>
  </conditionalFormatting>
  <conditionalFormatting sqref="M3:N25">
    <cfRule type="cellIs" priority="13" operator="greaterThan" aboveAverage="0" equalAverage="0" bottom="0" percent="0" rank="0" text="" dxfId="0">
      <formula>6</formula>
    </cfRule>
    <cfRule type="cellIs" priority="14" operator="equal" aboveAverage="0" equalAverage="0" bottom="0" percent="0" rank="0" text="" dxfId="3">
      <formula>0</formula>
    </cfRule>
    <cfRule type="cellIs" priority="15" operator="between" aboveAverage="0" equalAverage="0" bottom="0" percent="0" rank="0" text="" dxfId="1">
      <formula>4</formula>
      <formula>6</formula>
    </cfRule>
    <cfRule type="cellIs" priority="16" operator="lessThan" aboveAverage="0" equalAverage="0" bottom="0" percent="0" rank="0" text="" dxfId="2">
      <formula>4</formula>
    </cfRule>
  </conditionalFormatting>
  <conditionalFormatting sqref="O3:O25">
    <cfRule type="cellIs" priority="17" operator="greaterThan" aboveAverage="0" equalAverage="0" bottom="0" percent="0" rank="0" text="" dxfId="0">
      <formula>6</formula>
    </cfRule>
    <cfRule type="cellIs" priority="18" operator="between" aboveAverage="0" equalAverage="0" bottom="0" percent="0" rank="0" text="" dxfId="1">
      <formula>4</formula>
      <formula>6</formula>
    </cfRule>
    <cfRule type="cellIs" priority="19" operator="lessThan" aboveAverage="0" equalAverage="0" bottom="0" percent="0" rank="0" text="" dxfId="2">
      <formula>4</formula>
    </cfRule>
  </conditionalFormatting>
  <conditionalFormatting sqref="P3:P25">
    <cfRule type="cellIs" priority="20" operator="greaterThan" aboveAverage="0" equalAverage="0" bottom="0" percent="0" rank="0" text="" dxfId="0">
      <formula>6</formula>
    </cfRule>
    <cfRule type="cellIs" priority="21" operator="between" aboveAverage="0" equalAverage="0" bottom="0" percent="0" rank="0" text="" dxfId="1">
      <formula>4</formula>
      <formula>6</formula>
    </cfRule>
    <cfRule type="cellIs" priority="22" operator="lessThan" aboveAverage="0" equalAverage="0" bottom="0" percent="0" rank="0" text="" dxfId="2">
      <formula>4</formula>
    </cfRule>
  </conditionalFormatting>
  <conditionalFormatting sqref="Q3:Q25">
    <cfRule type="cellIs" priority="23" operator="equal" aboveAverage="0" equalAverage="0" bottom="0" percent="0" rank="0" text="" dxfId="0">
      <formula>"TEA"</formula>
    </cfRule>
    <cfRule type="cellIs" priority="24" operator="equal" aboveAverage="0" equalAverage="0" bottom="0" percent="0" rank="0" text="" dxfId="1">
      <formula>"TEP"</formula>
    </cfRule>
    <cfRule type="cellIs" priority="25" operator="equal" aboveAverage="0" equalAverage="0" bottom="0" percent="0" rank="0" text="" dxfId="2">
      <formula>"TED"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0.58203125" defaultRowHeight="15" zeroHeight="false" outlineLevelRow="0" outlineLevelCol="0"/>
  <cols>
    <col collapsed="false" customWidth="true" hidden="false" outlineLevel="0" max="3" min="1" style="1" width="20.07"/>
  </cols>
  <sheetData>
    <row r="2" customFormat="false" ht="15" hidden="false" customHeight="false" outlineLevel="0" collapsed="false">
      <c r="C2" s="1" t="s">
        <v>3</v>
      </c>
      <c r="D2" s="1" t="s">
        <v>2</v>
      </c>
      <c r="E2" s="1" t="s">
        <v>100</v>
      </c>
      <c r="F2" s="2" t="s">
        <v>101</v>
      </c>
      <c r="G2" s="2" t="s">
        <v>102</v>
      </c>
      <c r="H2" s="2" t="s">
        <v>103</v>
      </c>
      <c r="I2" s="2" t="s">
        <v>104</v>
      </c>
    </row>
    <row r="3" customFormat="false" ht="15" hidden="false" customHeight="false" outlineLevel="0" collapsed="false">
      <c r="A3" s="1" t="n">
        <v>1</v>
      </c>
      <c r="B3" s="1" t="s">
        <v>11</v>
      </c>
      <c r="C3" s="1" t="s">
        <v>11</v>
      </c>
      <c r="D3" s="1" t="s">
        <v>10</v>
      </c>
      <c r="E3" s="1" t="n">
        <v>7.78</v>
      </c>
      <c r="H3" s="1" t="n">
        <v>7.78</v>
      </c>
      <c r="I3" s="4" t="n">
        <f aca="false">ROUND(H3,0)</f>
        <v>8</v>
      </c>
    </row>
    <row r="4" customFormat="false" ht="15" hidden="false" customHeight="false" outlineLevel="0" collapsed="false">
      <c r="A4" s="1" t="n">
        <v>2</v>
      </c>
      <c r="B4" s="1" t="s">
        <v>17</v>
      </c>
      <c r="C4" s="1" t="s">
        <v>17</v>
      </c>
      <c r="D4" s="1" t="s">
        <v>16</v>
      </c>
      <c r="E4" s="1" t="n">
        <v>8.89</v>
      </c>
      <c r="H4" s="1" t="n">
        <v>8.89</v>
      </c>
      <c r="I4" s="4" t="n">
        <f aca="false">ROUND(H4,0)</f>
        <v>9</v>
      </c>
    </row>
    <row r="5" s="7" customFormat="true" ht="15" hidden="false" customHeight="false" outlineLevel="0" collapsed="false">
      <c r="A5" s="7" t="n">
        <v>3</v>
      </c>
      <c r="B5" s="7" t="s">
        <v>99</v>
      </c>
      <c r="E5" s="7" t="n">
        <v>1</v>
      </c>
      <c r="H5" s="7" t="n">
        <v>1</v>
      </c>
      <c r="I5" s="4" t="n">
        <f aca="false">ROUND(H5,0)</f>
        <v>1</v>
      </c>
    </row>
    <row r="6" customFormat="false" ht="15" hidden="false" customHeight="false" outlineLevel="0" collapsed="false">
      <c r="A6" s="1" t="n">
        <v>4</v>
      </c>
      <c r="B6" s="1" t="s">
        <v>25</v>
      </c>
      <c r="E6" s="1" t="n">
        <v>1</v>
      </c>
      <c r="H6" s="1" t="n">
        <v>1</v>
      </c>
      <c r="I6" s="4" t="n">
        <f aca="false">ROUND(H6,0)</f>
        <v>1</v>
      </c>
    </row>
    <row r="7" customFormat="false" ht="15" hidden="false" customHeight="false" outlineLevel="0" collapsed="false">
      <c r="A7" s="1" t="n">
        <v>5</v>
      </c>
      <c r="B7" s="1" t="s">
        <v>28</v>
      </c>
      <c r="C7" s="1" t="s">
        <v>28</v>
      </c>
      <c r="D7" s="1" t="s">
        <v>27</v>
      </c>
      <c r="E7" s="1" t="n">
        <v>10</v>
      </c>
      <c r="H7" s="1" t="n">
        <v>10</v>
      </c>
      <c r="I7" s="4" t="n">
        <f aca="false">ROUND(H7,0)</f>
        <v>10</v>
      </c>
    </row>
    <row r="8" customFormat="false" ht="15" hidden="false" customHeight="false" outlineLevel="0" collapsed="false">
      <c r="A8" s="1" t="n">
        <v>6</v>
      </c>
      <c r="B8" s="1" t="s">
        <v>32</v>
      </c>
      <c r="C8" s="1" t="s">
        <v>32</v>
      </c>
      <c r="D8" s="1" t="s">
        <v>31</v>
      </c>
      <c r="E8" s="1" t="n">
        <v>5.56</v>
      </c>
      <c r="F8" s="2" t="n">
        <f aca="false">ROUND(AVERAGE(E8:E10),0)</f>
        <v>9</v>
      </c>
      <c r="G8" s="1" t="n">
        <v>6</v>
      </c>
      <c r="H8" s="2" t="n">
        <f aca="false">MAX(F8,G8)</f>
        <v>9</v>
      </c>
      <c r="I8" s="4" t="n">
        <f aca="false">ROUND(H8,0)</f>
        <v>9</v>
      </c>
    </row>
    <row r="9" customFormat="false" ht="15" hidden="false" customHeight="false" outlineLevel="0" collapsed="false">
      <c r="C9" s="1" t="s">
        <v>32</v>
      </c>
      <c r="D9" s="1" t="s">
        <v>31</v>
      </c>
      <c r="E9" s="1" t="n">
        <v>10</v>
      </c>
      <c r="I9" s="4"/>
    </row>
    <row r="10" customFormat="false" ht="15" hidden="false" customHeight="false" outlineLevel="0" collapsed="false">
      <c r="C10" s="1" t="s">
        <v>32</v>
      </c>
      <c r="D10" s="1" t="s">
        <v>31</v>
      </c>
      <c r="E10" s="1" t="n">
        <v>10</v>
      </c>
      <c r="I10" s="4"/>
    </row>
    <row r="11" customFormat="false" ht="15" hidden="false" customHeight="false" outlineLevel="0" collapsed="false">
      <c r="A11" s="1" t="n">
        <v>7</v>
      </c>
      <c r="B11" s="1" t="s">
        <v>35</v>
      </c>
      <c r="C11" s="1" t="s">
        <v>35</v>
      </c>
      <c r="D11" s="1" t="s">
        <v>34</v>
      </c>
      <c r="E11" s="1" t="n">
        <v>1</v>
      </c>
      <c r="H11" s="1" t="n">
        <v>1</v>
      </c>
      <c r="I11" s="4" t="n">
        <f aca="false">ROUND(H11,0)</f>
        <v>1</v>
      </c>
    </row>
    <row r="12" customFormat="false" ht="15" hidden="false" customHeight="false" outlineLevel="0" collapsed="false">
      <c r="A12" s="1" t="n">
        <v>8</v>
      </c>
      <c r="B12" s="1" t="s">
        <v>38</v>
      </c>
      <c r="C12" s="1" t="s">
        <v>38</v>
      </c>
      <c r="D12" s="1" t="s">
        <v>37</v>
      </c>
      <c r="E12" s="1" t="n">
        <v>10</v>
      </c>
      <c r="H12" s="1" t="n">
        <v>10</v>
      </c>
      <c r="I12" s="4" t="n">
        <f aca="false">ROUND(H12,0)</f>
        <v>10</v>
      </c>
    </row>
    <row r="13" customFormat="false" ht="15" hidden="false" customHeight="false" outlineLevel="0" collapsed="false">
      <c r="A13" s="1" t="n">
        <v>9</v>
      </c>
      <c r="B13" s="1" t="s">
        <v>41</v>
      </c>
      <c r="C13" s="1" t="s">
        <v>41</v>
      </c>
      <c r="D13" s="1" t="s">
        <v>40</v>
      </c>
      <c r="E13" s="1" t="n">
        <v>1</v>
      </c>
      <c r="H13" s="1" t="n">
        <v>1</v>
      </c>
      <c r="I13" s="4" t="n">
        <f aca="false">ROUND(H13,0)</f>
        <v>1</v>
      </c>
    </row>
    <row r="14" customFormat="false" ht="15" hidden="false" customHeight="false" outlineLevel="0" collapsed="false">
      <c r="A14" s="1" t="n">
        <v>10</v>
      </c>
      <c r="B14" s="1" t="s">
        <v>44</v>
      </c>
      <c r="C14" s="1" t="s">
        <v>44</v>
      </c>
      <c r="D14" s="1" t="s">
        <v>43</v>
      </c>
      <c r="E14" s="1" t="n">
        <v>5.56</v>
      </c>
      <c r="H14" s="1" t="n">
        <v>5.56</v>
      </c>
      <c r="I14" s="4" t="n">
        <f aca="false">ROUND(H14,0)</f>
        <v>6</v>
      </c>
    </row>
    <row r="15" customFormat="false" ht="15" hidden="false" customHeight="false" outlineLevel="0" collapsed="false">
      <c r="A15" s="1" t="n">
        <v>11</v>
      </c>
      <c r="B15" s="1" t="s">
        <v>47</v>
      </c>
      <c r="C15" s="1" t="s">
        <v>47</v>
      </c>
      <c r="D15" s="1" t="s">
        <v>46</v>
      </c>
      <c r="E15" s="1" t="n">
        <v>10</v>
      </c>
      <c r="H15" s="1" t="n">
        <v>10</v>
      </c>
      <c r="I15" s="4" t="n">
        <f aca="false">ROUND(H15,0)</f>
        <v>10</v>
      </c>
    </row>
    <row r="16" customFormat="false" ht="15" hidden="false" customHeight="false" outlineLevel="0" collapsed="false">
      <c r="A16" s="1" t="n">
        <v>12</v>
      </c>
      <c r="B16" s="1" t="s">
        <v>50</v>
      </c>
      <c r="C16" s="1" t="s">
        <v>50</v>
      </c>
      <c r="D16" s="1" t="s">
        <v>49</v>
      </c>
      <c r="E16" s="1" t="n">
        <v>10</v>
      </c>
      <c r="H16" s="1" t="n">
        <v>10</v>
      </c>
      <c r="I16" s="4" t="n">
        <f aca="false">ROUND(H16,0)</f>
        <v>10</v>
      </c>
    </row>
    <row r="17" customFormat="false" ht="15" hidden="false" customHeight="false" outlineLevel="0" collapsed="false">
      <c r="A17" s="1" t="n">
        <v>13</v>
      </c>
      <c r="B17" s="1" t="s">
        <v>54</v>
      </c>
      <c r="C17" s="1" t="s">
        <v>54</v>
      </c>
      <c r="D17" s="1" t="s">
        <v>53</v>
      </c>
      <c r="E17" s="1" t="n">
        <v>10</v>
      </c>
      <c r="H17" s="1" t="n">
        <v>10</v>
      </c>
      <c r="I17" s="4" t="n">
        <f aca="false">ROUND(H17,0)</f>
        <v>10</v>
      </c>
    </row>
    <row r="18" customFormat="false" ht="15" hidden="false" customHeight="false" outlineLevel="0" collapsed="false">
      <c r="A18" s="1" t="n">
        <v>14</v>
      </c>
      <c r="B18" s="1" t="s">
        <v>57</v>
      </c>
      <c r="E18" s="1" t="n">
        <v>1</v>
      </c>
      <c r="H18" s="1" t="n">
        <v>1</v>
      </c>
      <c r="I18" s="4" t="n">
        <f aca="false">ROUND(H18,0)</f>
        <v>1</v>
      </c>
    </row>
    <row r="19" customFormat="false" ht="15" hidden="false" customHeight="false" outlineLevel="0" collapsed="false">
      <c r="A19" s="1" t="n">
        <v>15</v>
      </c>
      <c r="B19" s="1" t="s">
        <v>60</v>
      </c>
      <c r="C19" s="1" t="s">
        <v>60</v>
      </c>
      <c r="D19" s="1" t="s">
        <v>59</v>
      </c>
      <c r="E19" s="1" t="n">
        <v>1</v>
      </c>
      <c r="H19" s="1" t="n">
        <v>1</v>
      </c>
      <c r="I19" s="4" t="n">
        <f aca="false">ROUND(H19,0)</f>
        <v>1</v>
      </c>
    </row>
    <row r="20" customFormat="false" ht="15" hidden="false" customHeight="false" outlineLevel="0" collapsed="false">
      <c r="A20" s="1" t="n">
        <v>16</v>
      </c>
      <c r="B20" s="1" t="s">
        <v>63</v>
      </c>
      <c r="C20" s="1" t="s">
        <v>63</v>
      </c>
      <c r="D20" s="1" t="s">
        <v>62</v>
      </c>
      <c r="E20" s="1" t="n">
        <v>10</v>
      </c>
      <c r="H20" s="1" t="n">
        <v>10</v>
      </c>
      <c r="I20" s="4" t="n">
        <f aca="false">ROUND(H20,0)</f>
        <v>10</v>
      </c>
    </row>
    <row r="21" customFormat="false" ht="15" hidden="false" customHeight="false" outlineLevel="0" collapsed="false">
      <c r="A21" s="1" t="n">
        <v>17</v>
      </c>
      <c r="B21" s="1" t="s">
        <v>66</v>
      </c>
      <c r="C21" s="1" t="s">
        <v>66</v>
      </c>
      <c r="D21" s="1" t="s">
        <v>65</v>
      </c>
      <c r="E21" s="1" t="n">
        <v>0</v>
      </c>
      <c r="H21" s="1" t="n">
        <v>1</v>
      </c>
      <c r="I21" s="4" t="n">
        <f aca="false">ROUND(H21,0)</f>
        <v>1</v>
      </c>
    </row>
    <row r="22" customFormat="false" ht="15" hidden="false" customHeight="false" outlineLevel="0" collapsed="false">
      <c r="A22" s="1" t="n">
        <v>18</v>
      </c>
      <c r="B22" s="1" t="s">
        <v>69</v>
      </c>
      <c r="C22" s="1" t="s">
        <v>69</v>
      </c>
      <c r="D22" s="1" t="s">
        <v>68</v>
      </c>
      <c r="E22" s="1" t="n">
        <v>10</v>
      </c>
      <c r="H22" s="1" t="n">
        <v>10</v>
      </c>
      <c r="I22" s="4" t="n">
        <f aca="false">ROUND(H22,0)</f>
        <v>10</v>
      </c>
    </row>
    <row r="23" customFormat="false" ht="15" hidden="false" customHeight="false" outlineLevel="0" collapsed="false">
      <c r="A23" s="1" t="n">
        <v>19</v>
      </c>
      <c r="B23" s="1" t="s">
        <v>72</v>
      </c>
      <c r="C23" s="1" t="s">
        <v>72</v>
      </c>
      <c r="D23" s="1" t="s">
        <v>71</v>
      </c>
      <c r="E23" s="1" t="n">
        <v>0</v>
      </c>
      <c r="H23" s="1" t="n">
        <v>1</v>
      </c>
      <c r="I23" s="4" t="n">
        <f aca="false">ROUND(H23,0)</f>
        <v>1</v>
      </c>
    </row>
    <row r="24" customFormat="false" ht="15" hidden="false" customHeight="false" outlineLevel="0" collapsed="false">
      <c r="A24" s="1" t="n">
        <v>20</v>
      </c>
      <c r="B24" s="1" t="s">
        <v>75</v>
      </c>
      <c r="E24" s="1" t="n">
        <v>1</v>
      </c>
      <c r="H24" s="1" t="n">
        <v>1</v>
      </c>
      <c r="I24" s="4" t="n">
        <f aca="false">ROUND(H24,0)</f>
        <v>1</v>
      </c>
    </row>
    <row r="25" customFormat="false" ht="15" hidden="false" customHeight="false" outlineLevel="0" collapsed="false">
      <c r="A25" s="1" t="n">
        <v>21</v>
      </c>
      <c r="B25" s="1" t="s">
        <v>78</v>
      </c>
      <c r="C25" s="1" t="s">
        <v>78</v>
      </c>
      <c r="D25" s="1" t="s">
        <v>77</v>
      </c>
      <c r="E25" s="1" t="n">
        <v>10</v>
      </c>
      <c r="H25" s="1" t="n">
        <v>10</v>
      </c>
      <c r="I25" s="4" t="n">
        <f aca="false">ROUND(H25,0)</f>
        <v>10</v>
      </c>
    </row>
    <row r="26" customFormat="false" ht="15" hidden="false" customHeight="false" outlineLevel="0" collapsed="false">
      <c r="A26" s="1" t="n">
        <v>22</v>
      </c>
      <c r="B26" s="1" t="s">
        <v>81</v>
      </c>
      <c r="C26" s="1" t="s">
        <v>81</v>
      </c>
      <c r="D26" s="1" t="s">
        <v>80</v>
      </c>
      <c r="E26" s="1" t="n">
        <v>0</v>
      </c>
      <c r="H26" s="1" t="n">
        <v>1</v>
      </c>
      <c r="I26" s="4" t="n">
        <f aca="false">ROUND(H26,0)</f>
        <v>1</v>
      </c>
    </row>
    <row r="27" customFormat="false" ht="15" hidden="false" customHeight="false" outlineLevel="0" collapsed="false">
      <c r="A27" s="1" t="n">
        <v>23</v>
      </c>
      <c r="B27" s="1" t="s">
        <v>84</v>
      </c>
      <c r="C27" s="1" t="s">
        <v>84</v>
      </c>
      <c r="D27" s="1" t="s">
        <v>83</v>
      </c>
      <c r="E27" s="1" t="n">
        <v>10</v>
      </c>
      <c r="H27" s="1" t="n">
        <v>10</v>
      </c>
      <c r="I27" s="4" t="n">
        <f aca="false">ROUND(H27,0)</f>
        <v>10</v>
      </c>
    </row>
    <row r="28" customFormat="false" ht="15" hidden="false" customHeight="false" outlineLevel="0" collapsed="false">
      <c r="G28" s="2" t="s">
        <v>105</v>
      </c>
      <c r="H28" s="2" t="n">
        <f aca="false">COUNTIF(H3:H27,"&gt;0")</f>
        <v>23</v>
      </c>
    </row>
  </sheetData>
  <conditionalFormatting sqref="I3:I27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G2" activeCellId="0" sqref="G2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25"/>
    <col collapsed="false" customWidth="true" hidden="false" outlineLevel="0" max="3" min="2" style="1" width="20.07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1</v>
      </c>
      <c r="B1" s="2" t="s">
        <v>3</v>
      </c>
      <c r="C1" s="1" t="s">
        <v>3</v>
      </c>
      <c r="D1" s="1" t="s">
        <v>100</v>
      </c>
      <c r="E1" s="1" t="s">
        <v>101</v>
      </c>
      <c r="F1" s="1" t="s">
        <v>102</v>
      </c>
      <c r="G1" s="1" t="s">
        <v>103</v>
      </c>
    </row>
    <row r="2" customFormat="false" ht="15" hidden="false" customHeight="false" outlineLevel="0" collapsed="false">
      <c r="A2" s="1" t="n">
        <v>1</v>
      </c>
      <c r="B2" s="1" t="s">
        <v>11</v>
      </c>
      <c r="D2" s="1" t="n">
        <v>1</v>
      </c>
      <c r="G2" s="1" t="n">
        <v>1</v>
      </c>
    </row>
    <row r="3" customFormat="false" ht="15" hidden="false" customHeight="false" outlineLevel="0" collapsed="false">
      <c r="A3" s="1" t="n">
        <v>2</v>
      </c>
      <c r="B3" s="1" t="s">
        <v>17</v>
      </c>
      <c r="C3" s="1" t="s">
        <v>17</v>
      </c>
      <c r="D3" s="1" t="n">
        <v>1</v>
      </c>
      <c r="G3" s="1" t="n">
        <v>1</v>
      </c>
    </row>
    <row r="4" customFormat="false" ht="15" hidden="false" customHeight="false" outlineLevel="0" collapsed="false">
      <c r="A4" s="7" t="n">
        <v>3</v>
      </c>
      <c r="B4" s="7" t="s">
        <v>99</v>
      </c>
      <c r="D4" s="1" t="n">
        <v>1</v>
      </c>
      <c r="G4" s="1" t="n">
        <v>1</v>
      </c>
    </row>
    <row r="5" customFormat="false" ht="15" hidden="false" customHeight="false" outlineLevel="0" collapsed="false">
      <c r="A5" s="1" t="n">
        <v>4</v>
      </c>
      <c r="B5" s="1" t="s">
        <v>25</v>
      </c>
      <c r="D5" s="1" t="n">
        <v>1</v>
      </c>
      <c r="G5" s="1" t="n">
        <v>1</v>
      </c>
    </row>
    <row r="6" customFormat="false" ht="15" hidden="false" customHeight="false" outlineLevel="0" collapsed="false">
      <c r="A6" s="1" t="n">
        <v>5</v>
      </c>
      <c r="B6" s="1" t="s">
        <v>28</v>
      </c>
      <c r="C6" s="1" t="s">
        <v>28</v>
      </c>
      <c r="D6" s="1" t="n">
        <v>10</v>
      </c>
      <c r="G6" s="1" t="n">
        <v>10</v>
      </c>
    </row>
    <row r="7" customFormat="false" ht="15" hidden="false" customHeight="false" outlineLevel="0" collapsed="false">
      <c r="A7" s="1" t="n">
        <v>6</v>
      </c>
      <c r="B7" s="1" t="s">
        <v>32</v>
      </c>
      <c r="C7" s="1" t="s">
        <v>32</v>
      </c>
      <c r="D7" s="1" t="n">
        <v>8</v>
      </c>
      <c r="G7" s="1" t="n">
        <v>8</v>
      </c>
    </row>
    <row r="8" customFormat="false" ht="15" hidden="false" customHeight="false" outlineLevel="0" collapsed="false">
      <c r="A8" s="1" t="n">
        <v>7</v>
      </c>
      <c r="B8" s="1" t="s">
        <v>35</v>
      </c>
      <c r="D8" s="1" t="n">
        <v>1</v>
      </c>
      <c r="G8" s="1" t="n">
        <v>1</v>
      </c>
    </row>
    <row r="9" customFormat="false" ht="15" hidden="false" customHeight="false" outlineLevel="0" collapsed="false">
      <c r="A9" s="1" t="n">
        <v>8</v>
      </c>
      <c r="B9" s="1" t="s">
        <v>38</v>
      </c>
      <c r="C9" s="1" t="s">
        <v>38</v>
      </c>
      <c r="D9" s="1" t="n">
        <v>10</v>
      </c>
      <c r="G9" s="1" t="n">
        <v>10</v>
      </c>
    </row>
    <row r="10" customFormat="false" ht="15" hidden="false" customHeight="false" outlineLevel="0" collapsed="false">
      <c r="A10" s="1" t="n">
        <v>9</v>
      </c>
      <c r="B10" s="1" t="s">
        <v>41</v>
      </c>
      <c r="D10" s="1" t="n">
        <v>1</v>
      </c>
      <c r="G10" s="1" t="n">
        <v>1</v>
      </c>
    </row>
    <row r="11" customFormat="false" ht="15" hidden="false" customHeight="false" outlineLevel="0" collapsed="false">
      <c r="A11" s="1" t="n">
        <v>10</v>
      </c>
      <c r="B11" s="1" t="s">
        <v>44</v>
      </c>
      <c r="D11" s="1" t="n">
        <v>1</v>
      </c>
      <c r="G11" s="1" t="n">
        <v>1</v>
      </c>
    </row>
    <row r="12" customFormat="false" ht="15" hidden="false" customHeight="false" outlineLevel="0" collapsed="false">
      <c r="A12" s="1" t="n">
        <v>11</v>
      </c>
      <c r="B12" s="1" t="s">
        <v>47</v>
      </c>
      <c r="C12" s="1" t="s">
        <v>47</v>
      </c>
      <c r="D12" s="1" t="n">
        <v>10</v>
      </c>
      <c r="G12" s="1" t="n">
        <v>10</v>
      </c>
    </row>
    <row r="13" customFormat="false" ht="15" hidden="false" customHeight="false" outlineLevel="0" collapsed="false">
      <c r="A13" s="1" t="n">
        <v>12</v>
      </c>
      <c r="B13" s="1" t="s">
        <v>50</v>
      </c>
      <c r="D13" s="1" t="n">
        <v>1</v>
      </c>
      <c r="G13" s="1" t="n">
        <v>1</v>
      </c>
    </row>
    <row r="14" customFormat="false" ht="15" hidden="false" customHeight="false" outlineLevel="0" collapsed="false">
      <c r="A14" s="1" t="n">
        <v>13</v>
      </c>
      <c r="B14" s="1" t="s">
        <v>54</v>
      </c>
      <c r="C14" s="1" t="s">
        <v>54</v>
      </c>
      <c r="D14" s="1" t="n">
        <v>6</v>
      </c>
      <c r="E14" s="1" t="n">
        <f aca="false">ROUND(AVERAGE(D14:D17),0)</f>
        <v>6</v>
      </c>
      <c r="F14" s="1" t="n">
        <v>4</v>
      </c>
      <c r="G14" s="1" t="n">
        <f aca="false">MAX(F14,E14)</f>
        <v>6</v>
      </c>
    </row>
    <row r="15" customFormat="false" ht="15" hidden="false" customHeight="false" outlineLevel="0" collapsed="false">
      <c r="C15" s="1" t="s">
        <v>54</v>
      </c>
      <c r="D15" s="1" t="n">
        <v>6</v>
      </c>
    </row>
    <row r="16" customFormat="false" ht="15" hidden="false" customHeight="false" outlineLevel="0" collapsed="false">
      <c r="C16" s="1" t="s">
        <v>54</v>
      </c>
      <c r="D16" s="1" t="n">
        <v>6</v>
      </c>
    </row>
    <row r="17" customFormat="false" ht="15" hidden="false" customHeight="false" outlineLevel="0" collapsed="false">
      <c r="C17" s="1" t="s">
        <v>54</v>
      </c>
      <c r="D17" s="1" t="n">
        <v>4</v>
      </c>
    </row>
    <row r="18" customFormat="false" ht="15" hidden="false" customHeight="false" outlineLevel="0" collapsed="false">
      <c r="A18" s="1" t="n">
        <v>14</v>
      </c>
      <c r="B18" s="1" t="s">
        <v>57</v>
      </c>
      <c r="D18" s="1" t="n">
        <v>1</v>
      </c>
      <c r="G18" s="1" t="n">
        <v>1</v>
      </c>
    </row>
    <row r="19" customFormat="false" ht="15" hidden="false" customHeight="false" outlineLevel="0" collapsed="false">
      <c r="A19" s="1" t="n">
        <v>15</v>
      </c>
      <c r="B19" s="1" t="s">
        <v>60</v>
      </c>
      <c r="D19" s="1" t="n">
        <v>1</v>
      </c>
      <c r="G19" s="1" t="n">
        <v>1</v>
      </c>
    </row>
    <row r="20" customFormat="false" ht="15" hidden="false" customHeight="false" outlineLevel="0" collapsed="false">
      <c r="A20" s="1" t="n">
        <v>16</v>
      </c>
      <c r="B20" s="1" t="s">
        <v>63</v>
      </c>
      <c r="C20" s="1" t="s">
        <v>63</v>
      </c>
      <c r="D20" s="1" t="n">
        <v>10</v>
      </c>
      <c r="G20" s="1" t="n">
        <v>10</v>
      </c>
    </row>
    <row r="21" customFormat="false" ht="15" hidden="false" customHeight="false" outlineLevel="0" collapsed="false">
      <c r="A21" s="1" t="n">
        <v>17</v>
      </c>
      <c r="B21" s="1" t="s">
        <v>66</v>
      </c>
      <c r="C21" s="1" t="s">
        <v>66</v>
      </c>
      <c r="D21" s="1" t="n">
        <v>8</v>
      </c>
      <c r="E21" s="1" t="n">
        <f aca="false">ROUND(AVERAGE(D21:D22),0)</f>
        <v>7</v>
      </c>
      <c r="F21" s="1" t="n">
        <v>6</v>
      </c>
      <c r="G21" s="1" t="n">
        <f aca="false">MAX(F21,E21)</f>
        <v>7</v>
      </c>
    </row>
    <row r="22" customFormat="false" ht="15" hidden="false" customHeight="false" outlineLevel="0" collapsed="false">
      <c r="C22" s="1" t="s">
        <v>66</v>
      </c>
      <c r="D22" s="1" t="n">
        <v>6</v>
      </c>
    </row>
    <row r="23" customFormat="false" ht="15" hidden="false" customHeight="false" outlineLevel="0" collapsed="false">
      <c r="A23" s="1" t="n">
        <v>18</v>
      </c>
      <c r="B23" s="1" t="s">
        <v>69</v>
      </c>
      <c r="C23" s="1" t="s">
        <v>69</v>
      </c>
      <c r="D23" s="1" t="n">
        <v>8</v>
      </c>
      <c r="G23" s="1" t="n">
        <v>8</v>
      </c>
    </row>
    <row r="24" customFormat="false" ht="15" hidden="false" customHeight="false" outlineLevel="0" collapsed="false">
      <c r="A24" s="1" t="n">
        <v>19</v>
      </c>
      <c r="B24" s="1" t="s">
        <v>72</v>
      </c>
      <c r="D24" s="1" t="n">
        <v>1</v>
      </c>
      <c r="G24" s="1" t="n">
        <v>1</v>
      </c>
    </row>
    <row r="25" customFormat="false" ht="15" hidden="false" customHeight="false" outlineLevel="0" collapsed="false">
      <c r="A25" s="1" t="n">
        <v>20</v>
      </c>
      <c r="B25" s="1" t="s">
        <v>75</v>
      </c>
      <c r="D25" s="1" t="n">
        <v>1</v>
      </c>
      <c r="G25" s="1" t="n">
        <v>1</v>
      </c>
    </row>
    <row r="26" customFormat="false" ht="15" hidden="false" customHeight="false" outlineLevel="0" collapsed="false">
      <c r="A26" s="1" t="n">
        <v>21</v>
      </c>
      <c r="B26" s="1" t="s">
        <v>78</v>
      </c>
      <c r="C26" s="1" t="s">
        <v>78</v>
      </c>
      <c r="D26" s="1" t="n">
        <v>4</v>
      </c>
      <c r="G26" s="1" t="n">
        <v>4</v>
      </c>
    </row>
    <row r="27" customFormat="false" ht="15" hidden="false" customHeight="false" outlineLevel="0" collapsed="false">
      <c r="A27" s="1" t="n">
        <v>22</v>
      </c>
      <c r="B27" s="1" t="s">
        <v>81</v>
      </c>
      <c r="D27" s="1" t="n">
        <v>1</v>
      </c>
      <c r="G27" s="1" t="n">
        <v>1</v>
      </c>
    </row>
    <row r="28" customFormat="false" ht="15" hidden="false" customHeight="false" outlineLevel="0" collapsed="false">
      <c r="A28" s="1" t="n">
        <v>23</v>
      </c>
      <c r="B28" s="1" t="s">
        <v>84</v>
      </c>
      <c r="D28" s="1" t="n">
        <v>1</v>
      </c>
      <c r="G28" s="1" t="n">
        <v>1</v>
      </c>
    </row>
    <row r="29" customFormat="false" ht="15" hidden="false" customHeight="false" outlineLevel="0" collapsed="false">
      <c r="F29" s="1" t="s">
        <v>8</v>
      </c>
      <c r="G29" s="1" t="n">
        <f aca="false">COUNTIF(G2:G28,"&gt;0")</f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D2" activeCellId="0" sqref="D2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20.07"/>
    <col collapsed="false" customWidth="true" hidden="false" outlineLevel="0" max="3" min="3" style="1" width="16.37"/>
  </cols>
  <sheetData>
    <row r="1" customFormat="false" ht="15" hidden="false" customHeight="false" outlineLevel="0" collapsed="false">
      <c r="A1" s="1" t="s">
        <v>1</v>
      </c>
      <c r="B1" s="2" t="s">
        <v>3</v>
      </c>
      <c r="C1" s="1" t="s">
        <v>3</v>
      </c>
      <c r="D1" s="1" t="s">
        <v>100</v>
      </c>
    </row>
    <row r="2" customFormat="false" ht="15" hidden="false" customHeight="false" outlineLevel="0" collapsed="false">
      <c r="A2" s="1" t="n">
        <v>1</v>
      </c>
      <c r="B2" s="1" t="s">
        <v>11</v>
      </c>
      <c r="D2" s="1" t="n">
        <v>1</v>
      </c>
    </row>
    <row r="3" customFormat="false" ht="15" hidden="false" customHeight="false" outlineLevel="0" collapsed="false">
      <c r="A3" s="1" t="n">
        <v>2</v>
      </c>
      <c r="B3" s="1" t="s">
        <v>17</v>
      </c>
      <c r="C3" s="1" t="s">
        <v>17</v>
      </c>
      <c r="D3" s="1" t="n">
        <v>1</v>
      </c>
    </row>
    <row r="4" customFormat="false" ht="15" hidden="false" customHeight="false" outlineLevel="0" collapsed="false">
      <c r="A4" s="7" t="n">
        <v>3</v>
      </c>
      <c r="B4" s="7" t="s">
        <v>99</v>
      </c>
      <c r="D4" s="1" t="n">
        <v>1</v>
      </c>
    </row>
    <row r="5" customFormat="false" ht="15" hidden="false" customHeight="false" outlineLevel="0" collapsed="false">
      <c r="A5" s="1" t="n">
        <v>4</v>
      </c>
      <c r="B5" s="1" t="s">
        <v>25</v>
      </c>
      <c r="D5" s="1" t="n">
        <v>1</v>
      </c>
    </row>
    <row r="6" customFormat="false" ht="15" hidden="false" customHeight="false" outlineLevel="0" collapsed="false">
      <c r="A6" s="1" t="n">
        <v>5</v>
      </c>
      <c r="B6" s="1" t="s">
        <v>28</v>
      </c>
      <c r="D6" s="1" t="n">
        <v>1</v>
      </c>
    </row>
    <row r="7" customFormat="false" ht="15" hidden="false" customHeight="false" outlineLevel="0" collapsed="false">
      <c r="A7" s="1" t="n">
        <v>6</v>
      </c>
      <c r="B7" s="1" t="s">
        <v>32</v>
      </c>
      <c r="C7" s="1" t="s">
        <v>32</v>
      </c>
      <c r="D7" s="1" t="n">
        <v>6</v>
      </c>
    </row>
    <row r="8" customFormat="false" ht="15" hidden="false" customHeight="false" outlineLevel="0" collapsed="false">
      <c r="A8" s="1" t="n">
        <v>7</v>
      </c>
      <c r="B8" s="1" t="s">
        <v>35</v>
      </c>
      <c r="D8" s="1" t="n">
        <v>1</v>
      </c>
    </row>
    <row r="9" customFormat="false" ht="15" hidden="false" customHeight="false" outlineLevel="0" collapsed="false">
      <c r="A9" s="1" t="n">
        <v>8</v>
      </c>
      <c r="B9" s="1" t="s">
        <v>38</v>
      </c>
      <c r="D9" s="1" t="n">
        <v>1</v>
      </c>
    </row>
    <row r="10" customFormat="false" ht="15" hidden="false" customHeight="false" outlineLevel="0" collapsed="false">
      <c r="A10" s="1" t="n">
        <v>9</v>
      </c>
      <c r="B10" s="1" t="s">
        <v>41</v>
      </c>
      <c r="D10" s="1" t="n">
        <v>1</v>
      </c>
    </row>
    <row r="11" customFormat="false" ht="15" hidden="false" customHeight="false" outlineLevel="0" collapsed="false">
      <c r="A11" s="1" t="n">
        <v>10</v>
      </c>
      <c r="B11" s="1" t="s">
        <v>44</v>
      </c>
      <c r="D11" s="1" t="n">
        <v>1</v>
      </c>
    </row>
    <row r="12" customFormat="false" ht="15" hidden="false" customHeight="false" outlineLevel="0" collapsed="false">
      <c r="A12" s="1" t="n">
        <v>11</v>
      </c>
      <c r="B12" s="1" t="s">
        <v>47</v>
      </c>
      <c r="D12" s="1" t="n">
        <v>1</v>
      </c>
    </row>
    <row r="13" customFormat="false" ht="15" hidden="false" customHeight="false" outlineLevel="0" collapsed="false">
      <c r="A13" s="1" t="n">
        <v>12</v>
      </c>
      <c r="B13" s="1" t="s">
        <v>50</v>
      </c>
      <c r="D13" s="1" t="n">
        <v>1</v>
      </c>
    </row>
    <row r="14" customFormat="false" ht="15" hidden="false" customHeight="false" outlineLevel="0" collapsed="false">
      <c r="A14" s="1" t="n">
        <v>13</v>
      </c>
      <c r="B14" s="1" t="s">
        <v>54</v>
      </c>
      <c r="D14" s="1" t="n">
        <v>1</v>
      </c>
    </row>
    <row r="15" customFormat="false" ht="15" hidden="false" customHeight="false" outlineLevel="0" collapsed="false">
      <c r="A15" s="1" t="n">
        <v>14</v>
      </c>
      <c r="B15" s="1" t="s">
        <v>57</v>
      </c>
      <c r="D15" s="1" t="n">
        <v>1</v>
      </c>
    </row>
    <row r="16" customFormat="false" ht="15" hidden="false" customHeight="false" outlineLevel="0" collapsed="false">
      <c r="A16" s="1" t="n">
        <v>15</v>
      </c>
      <c r="B16" s="1" t="s">
        <v>60</v>
      </c>
      <c r="C16" s="1" t="s">
        <v>60</v>
      </c>
      <c r="D16" s="1" t="n">
        <v>1</v>
      </c>
    </row>
    <row r="17" customFormat="false" ht="15" hidden="false" customHeight="false" outlineLevel="0" collapsed="false">
      <c r="A17" s="1" t="n">
        <v>16</v>
      </c>
      <c r="B17" s="1" t="s">
        <v>63</v>
      </c>
      <c r="D17" s="1" t="n">
        <v>1</v>
      </c>
    </row>
    <row r="18" customFormat="false" ht="15" hidden="false" customHeight="false" outlineLevel="0" collapsed="false">
      <c r="A18" s="1" t="n">
        <v>17</v>
      </c>
      <c r="B18" s="1" t="s">
        <v>66</v>
      </c>
      <c r="C18" s="1" t="s">
        <v>66</v>
      </c>
      <c r="D18" s="1" t="n">
        <v>6</v>
      </c>
    </row>
    <row r="19" customFormat="false" ht="15" hidden="false" customHeight="false" outlineLevel="0" collapsed="false">
      <c r="A19" s="1" t="n">
        <v>18</v>
      </c>
      <c r="B19" s="1" t="s">
        <v>69</v>
      </c>
      <c r="D19" s="1" t="n">
        <v>1</v>
      </c>
    </row>
    <row r="20" customFormat="false" ht="15" hidden="false" customHeight="false" outlineLevel="0" collapsed="false">
      <c r="A20" s="1" t="n">
        <v>19</v>
      </c>
      <c r="B20" s="1" t="s">
        <v>72</v>
      </c>
      <c r="D20" s="1" t="n">
        <v>1</v>
      </c>
    </row>
    <row r="21" customFormat="false" ht="15" hidden="false" customHeight="false" outlineLevel="0" collapsed="false">
      <c r="A21" s="1" t="n">
        <v>20</v>
      </c>
      <c r="B21" s="1" t="s">
        <v>75</v>
      </c>
      <c r="D21" s="1" t="n">
        <v>1</v>
      </c>
    </row>
    <row r="22" customFormat="false" ht="15" hidden="false" customHeight="false" outlineLevel="0" collapsed="false">
      <c r="A22" s="1" t="n">
        <v>21</v>
      </c>
      <c r="B22" s="1" t="s">
        <v>78</v>
      </c>
      <c r="C22" s="1" t="s">
        <v>78</v>
      </c>
      <c r="D22" s="1" t="n">
        <v>8</v>
      </c>
    </row>
    <row r="23" customFormat="false" ht="15" hidden="false" customHeight="false" outlineLevel="0" collapsed="false">
      <c r="A23" s="1" t="n">
        <v>22</v>
      </c>
      <c r="B23" s="1" t="s">
        <v>81</v>
      </c>
      <c r="C23" s="1" t="s">
        <v>81</v>
      </c>
      <c r="D23" s="1" t="n">
        <v>8</v>
      </c>
    </row>
    <row r="24" customFormat="false" ht="15" hidden="false" customHeight="false" outlineLevel="0" collapsed="false">
      <c r="A24" s="1" t="n">
        <v>23</v>
      </c>
      <c r="B24" s="1" t="s">
        <v>84</v>
      </c>
      <c r="D24" s="1" t="n">
        <v>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ColWidth="10.58203125" defaultRowHeight="15" zeroHeight="false" outlineLevelRow="0" outlineLevelCol="0"/>
  <cols>
    <col collapsed="false" customWidth="true" hidden="false" outlineLevel="0" max="3" min="2" style="1" width="20.07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1</v>
      </c>
      <c r="B1" s="2" t="s">
        <v>3</v>
      </c>
      <c r="C1" s="1" t="s">
        <v>3</v>
      </c>
      <c r="D1" s="1" t="s">
        <v>100</v>
      </c>
      <c r="E1" s="1" t="s">
        <v>101</v>
      </c>
      <c r="F1" s="1" t="s">
        <v>102</v>
      </c>
      <c r="G1" s="1" t="s">
        <v>103</v>
      </c>
    </row>
    <row r="2" customFormat="false" ht="15" hidden="false" customHeight="false" outlineLevel="0" collapsed="false">
      <c r="A2" s="1" t="n">
        <v>1</v>
      </c>
      <c r="B2" s="1" t="s">
        <v>11</v>
      </c>
      <c r="C2" s="1" t="s">
        <v>11</v>
      </c>
      <c r="D2" s="1" t="n">
        <v>10</v>
      </c>
      <c r="G2" s="1" t="n">
        <v>10</v>
      </c>
    </row>
    <row r="3" customFormat="false" ht="15" hidden="false" customHeight="false" outlineLevel="0" collapsed="false">
      <c r="A3" s="1" t="n">
        <v>2</v>
      </c>
      <c r="B3" s="1" t="s">
        <v>17</v>
      </c>
      <c r="C3" s="1" t="s">
        <v>17</v>
      </c>
      <c r="D3" s="1" t="n">
        <v>8</v>
      </c>
      <c r="G3" s="1" t="n">
        <v>8</v>
      </c>
    </row>
    <row r="4" customFormat="false" ht="15" hidden="false" customHeight="false" outlineLevel="0" collapsed="false">
      <c r="A4" s="7" t="n">
        <v>3</v>
      </c>
      <c r="B4" s="7" t="s">
        <v>99</v>
      </c>
      <c r="D4" s="1" t="n">
        <v>1</v>
      </c>
      <c r="G4" s="1" t="n">
        <v>1</v>
      </c>
    </row>
    <row r="5" customFormat="false" ht="15" hidden="false" customHeight="false" outlineLevel="0" collapsed="false">
      <c r="A5" s="1" t="n">
        <v>4</v>
      </c>
      <c r="B5" s="1" t="s">
        <v>25</v>
      </c>
      <c r="D5" s="1" t="n">
        <v>1</v>
      </c>
      <c r="G5" s="1" t="n">
        <v>1</v>
      </c>
    </row>
    <row r="6" customFormat="false" ht="15" hidden="false" customHeight="false" outlineLevel="0" collapsed="false">
      <c r="A6" s="1" t="n">
        <v>5</v>
      </c>
      <c r="B6" s="1" t="s">
        <v>28</v>
      </c>
      <c r="C6" s="1" t="s">
        <v>28</v>
      </c>
      <c r="D6" s="1" t="n">
        <v>8</v>
      </c>
      <c r="G6" s="1" t="n">
        <v>8</v>
      </c>
    </row>
    <row r="7" customFormat="false" ht="15" hidden="false" customHeight="false" outlineLevel="0" collapsed="false">
      <c r="A7" s="1" t="n">
        <v>6</v>
      </c>
      <c r="B7" s="1" t="s">
        <v>32</v>
      </c>
      <c r="C7" s="1" t="s">
        <v>32</v>
      </c>
      <c r="D7" s="1" t="n">
        <v>8</v>
      </c>
      <c r="G7" s="1" t="n">
        <v>8</v>
      </c>
    </row>
    <row r="8" customFormat="false" ht="15" hidden="false" customHeight="false" outlineLevel="0" collapsed="false">
      <c r="A8" s="1" t="n">
        <v>7</v>
      </c>
      <c r="B8" s="1" t="s">
        <v>35</v>
      </c>
      <c r="D8" s="1" t="n">
        <v>1</v>
      </c>
      <c r="G8" s="1" t="n">
        <v>1</v>
      </c>
    </row>
    <row r="9" customFormat="false" ht="15" hidden="false" customHeight="false" outlineLevel="0" collapsed="false">
      <c r="A9" s="1" t="n">
        <v>8</v>
      </c>
      <c r="B9" s="1" t="s">
        <v>38</v>
      </c>
      <c r="C9" s="1" t="s">
        <v>38</v>
      </c>
      <c r="D9" s="1" t="n">
        <v>6</v>
      </c>
      <c r="E9" s="1" t="n">
        <f aca="false">ROUND(AVERAGE(D9:D10),0)</f>
        <v>6</v>
      </c>
      <c r="F9" s="1" t="n">
        <v>6</v>
      </c>
      <c r="G9" s="1" t="n">
        <f aca="false">MAX(F9,E9)</f>
        <v>6</v>
      </c>
    </row>
    <row r="10" customFormat="false" ht="15" hidden="false" customHeight="false" outlineLevel="0" collapsed="false">
      <c r="C10" s="1" t="s">
        <v>38</v>
      </c>
      <c r="D10" s="1" t="n">
        <v>6</v>
      </c>
    </row>
    <row r="11" customFormat="false" ht="15" hidden="false" customHeight="false" outlineLevel="0" collapsed="false">
      <c r="A11" s="1" t="n">
        <v>9</v>
      </c>
      <c r="B11" s="1" t="s">
        <v>41</v>
      </c>
      <c r="D11" s="1" t="n">
        <v>1</v>
      </c>
      <c r="G11" s="1" t="n">
        <v>1</v>
      </c>
    </row>
    <row r="12" customFormat="false" ht="15" hidden="false" customHeight="false" outlineLevel="0" collapsed="false">
      <c r="A12" s="1" t="n">
        <v>10</v>
      </c>
      <c r="B12" s="1" t="s">
        <v>44</v>
      </c>
      <c r="D12" s="1" t="n">
        <v>1</v>
      </c>
      <c r="G12" s="1" t="n">
        <v>1</v>
      </c>
    </row>
    <row r="13" customFormat="false" ht="15" hidden="false" customHeight="false" outlineLevel="0" collapsed="false">
      <c r="A13" s="1" t="n">
        <v>11</v>
      </c>
      <c r="B13" s="1" t="s">
        <v>47</v>
      </c>
      <c r="C13" s="1" t="s">
        <v>47</v>
      </c>
      <c r="D13" s="1" t="n">
        <v>10</v>
      </c>
      <c r="G13" s="1" t="n">
        <v>10</v>
      </c>
    </row>
    <row r="14" customFormat="false" ht="15" hidden="false" customHeight="false" outlineLevel="0" collapsed="false">
      <c r="A14" s="1" t="n">
        <v>12</v>
      </c>
      <c r="B14" s="1" t="s">
        <v>50</v>
      </c>
      <c r="C14" s="1" t="s">
        <v>50</v>
      </c>
      <c r="D14" s="1" t="n">
        <v>10</v>
      </c>
      <c r="G14" s="1" t="n">
        <v>10</v>
      </c>
    </row>
    <row r="15" customFormat="false" ht="15" hidden="false" customHeight="false" outlineLevel="0" collapsed="false">
      <c r="A15" s="1" t="n">
        <v>13</v>
      </c>
      <c r="B15" s="1" t="s">
        <v>54</v>
      </c>
      <c r="C15" s="1" t="s">
        <v>54</v>
      </c>
      <c r="D15" s="1" t="n">
        <v>10</v>
      </c>
      <c r="E15" s="1" t="n">
        <f aca="false">ROUND(AVERAGE(D15:D16),0)</f>
        <v>8</v>
      </c>
      <c r="F15" s="1" t="n">
        <v>6</v>
      </c>
      <c r="G15" s="1" t="n">
        <f aca="false">MAX(F15,E15)</f>
        <v>8</v>
      </c>
    </row>
    <row r="16" customFormat="false" ht="15" hidden="false" customHeight="false" outlineLevel="0" collapsed="false">
      <c r="C16" s="1" t="s">
        <v>54</v>
      </c>
      <c r="D16" s="1" t="n">
        <v>6</v>
      </c>
    </row>
    <row r="17" customFormat="false" ht="15" hidden="false" customHeight="false" outlineLevel="0" collapsed="false">
      <c r="A17" s="1" t="n">
        <v>14</v>
      </c>
      <c r="B17" s="1" t="s">
        <v>57</v>
      </c>
      <c r="D17" s="1" t="n">
        <v>1</v>
      </c>
      <c r="G17" s="1" t="n">
        <v>1</v>
      </c>
    </row>
    <row r="18" customFormat="false" ht="15" hidden="false" customHeight="false" outlineLevel="0" collapsed="false">
      <c r="A18" s="1" t="n">
        <v>15</v>
      </c>
      <c r="B18" s="1" t="s">
        <v>60</v>
      </c>
      <c r="D18" s="1" t="n">
        <v>1</v>
      </c>
      <c r="G18" s="1" t="n">
        <v>1</v>
      </c>
    </row>
    <row r="19" customFormat="false" ht="15" hidden="false" customHeight="false" outlineLevel="0" collapsed="false">
      <c r="A19" s="1" t="n">
        <v>16</v>
      </c>
      <c r="B19" s="1" t="s">
        <v>63</v>
      </c>
      <c r="C19" s="1" t="s">
        <v>63</v>
      </c>
      <c r="D19" s="1" t="n">
        <v>10</v>
      </c>
      <c r="E19" s="1" t="n">
        <f aca="false">ROUND(AVERAGE(D19:D21),0)</f>
        <v>7</v>
      </c>
      <c r="F19" s="1" t="n">
        <v>6</v>
      </c>
      <c r="G19" s="1" t="n">
        <f aca="false">MAX(F19,E19)</f>
        <v>7</v>
      </c>
    </row>
    <row r="20" customFormat="false" ht="15" hidden="false" customHeight="false" outlineLevel="0" collapsed="false">
      <c r="C20" s="1" t="s">
        <v>63</v>
      </c>
      <c r="D20" s="1" t="n">
        <v>6</v>
      </c>
    </row>
    <row r="21" customFormat="false" ht="15" hidden="false" customHeight="false" outlineLevel="0" collapsed="false">
      <c r="C21" s="1" t="s">
        <v>63</v>
      </c>
      <c r="D21" s="1" t="n">
        <v>4</v>
      </c>
    </row>
    <row r="22" customFormat="false" ht="15" hidden="false" customHeight="false" outlineLevel="0" collapsed="false">
      <c r="A22" s="1" t="n">
        <v>17</v>
      </c>
      <c r="B22" s="1" t="s">
        <v>66</v>
      </c>
      <c r="D22" s="1" t="n">
        <v>1</v>
      </c>
      <c r="G22" s="1" t="n">
        <v>1</v>
      </c>
    </row>
    <row r="23" customFormat="false" ht="15" hidden="false" customHeight="false" outlineLevel="0" collapsed="false">
      <c r="A23" s="1" t="n">
        <v>18</v>
      </c>
      <c r="B23" s="1" t="s">
        <v>69</v>
      </c>
      <c r="C23" s="1" t="s">
        <v>69</v>
      </c>
      <c r="D23" s="1" t="n">
        <v>10</v>
      </c>
      <c r="G23" s="1" t="n">
        <v>10</v>
      </c>
    </row>
    <row r="24" customFormat="false" ht="15" hidden="false" customHeight="false" outlineLevel="0" collapsed="false">
      <c r="A24" s="1" t="n">
        <v>19</v>
      </c>
      <c r="B24" s="1" t="s">
        <v>72</v>
      </c>
      <c r="D24" s="1" t="n">
        <v>1</v>
      </c>
      <c r="G24" s="1" t="n">
        <v>1</v>
      </c>
    </row>
    <row r="25" customFormat="false" ht="15" hidden="false" customHeight="false" outlineLevel="0" collapsed="false">
      <c r="A25" s="1" t="n">
        <v>20</v>
      </c>
      <c r="B25" s="1" t="s">
        <v>75</v>
      </c>
      <c r="D25" s="1" t="n">
        <v>1</v>
      </c>
      <c r="G25" s="1" t="n">
        <v>1</v>
      </c>
    </row>
    <row r="26" customFormat="false" ht="15" hidden="false" customHeight="false" outlineLevel="0" collapsed="false">
      <c r="A26" s="1" t="n">
        <v>21</v>
      </c>
      <c r="B26" s="1" t="s">
        <v>78</v>
      </c>
      <c r="C26" s="1" t="s">
        <v>78</v>
      </c>
      <c r="D26" s="1" t="n">
        <v>10</v>
      </c>
      <c r="G26" s="1" t="n">
        <v>10</v>
      </c>
    </row>
    <row r="27" customFormat="false" ht="15" hidden="false" customHeight="false" outlineLevel="0" collapsed="false">
      <c r="A27" s="1" t="n">
        <v>22</v>
      </c>
      <c r="B27" s="1" t="s">
        <v>81</v>
      </c>
      <c r="C27" s="1" t="s">
        <v>81</v>
      </c>
      <c r="D27" s="1" t="n">
        <v>2</v>
      </c>
      <c r="G27" s="1" t="n">
        <v>2</v>
      </c>
    </row>
    <row r="28" customFormat="false" ht="15" hidden="false" customHeight="false" outlineLevel="0" collapsed="false">
      <c r="A28" s="1" t="n">
        <v>23</v>
      </c>
      <c r="B28" s="1" t="s">
        <v>84</v>
      </c>
      <c r="D28" s="1" t="n">
        <v>1</v>
      </c>
      <c r="G28" s="1" t="n">
        <v>1</v>
      </c>
    </row>
    <row r="29" customFormat="false" ht="15" hidden="false" customHeight="false" outlineLevel="0" collapsed="false">
      <c r="F29" s="1" t="s">
        <v>8</v>
      </c>
      <c r="G29" s="1" t="n">
        <f aca="false">COUNTIF(G2:G28,"&gt;0")</f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0.58203125" defaultRowHeight="12.8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20.2"/>
    <col collapsed="false" customWidth="true" hidden="false" outlineLevel="0" max="3" min="3" style="1" width="20.07"/>
  </cols>
  <sheetData>
    <row r="1" customFormat="false" ht="15" hidden="false" customHeight="false" outlineLevel="0" collapsed="false">
      <c r="A1" s="1" t="s">
        <v>1</v>
      </c>
      <c r="B1" s="2" t="s">
        <v>2</v>
      </c>
      <c r="C1" s="2" t="s">
        <v>3</v>
      </c>
    </row>
    <row r="2" customFormat="false" ht="15" hidden="false" customHeight="false" outlineLevel="0" collapsed="false">
      <c r="A2" s="1" t="n">
        <v>1</v>
      </c>
      <c r="B2" s="1" t="s">
        <v>10</v>
      </c>
      <c r="C2" s="1" t="s">
        <v>11</v>
      </c>
    </row>
    <row r="3" customFormat="false" ht="15" hidden="false" customHeight="false" outlineLevel="0" collapsed="false">
      <c r="A3" s="1" t="n">
        <v>2</v>
      </c>
      <c r="B3" s="1" t="s">
        <v>16</v>
      </c>
      <c r="C3" s="1" t="s">
        <v>17</v>
      </c>
    </row>
    <row r="4" customFormat="false" ht="15" hidden="false" customHeight="false" outlineLevel="0" collapsed="false">
      <c r="A4" s="7" t="n">
        <v>3</v>
      </c>
      <c r="B4" s="7" t="s">
        <v>19</v>
      </c>
      <c r="C4" s="7" t="s">
        <v>99</v>
      </c>
    </row>
    <row r="5" customFormat="false" ht="15" hidden="false" customHeight="false" outlineLevel="0" collapsed="false">
      <c r="A5" s="1" t="n">
        <v>4</v>
      </c>
      <c r="B5" s="1" t="s">
        <v>24</v>
      </c>
      <c r="C5" s="1" t="s">
        <v>25</v>
      </c>
    </row>
    <row r="6" customFormat="false" ht="15" hidden="false" customHeight="false" outlineLevel="0" collapsed="false">
      <c r="A6" s="1" t="n">
        <v>5</v>
      </c>
      <c r="B6" s="1" t="s">
        <v>27</v>
      </c>
      <c r="C6" s="1" t="s">
        <v>28</v>
      </c>
    </row>
    <row r="7" customFormat="false" ht="15" hidden="false" customHeight="false" outlineLevel="0" collapsed="false">
      <c r="A7" s="1" t="n">
        <v>6</v>
      </c>
      <c r="B7" s="1" t="s">
        <v>31</v>
      </c>
      <c r="C7" s="1" t="s">
        <v>32</v>
      </c>
    </row>
    <row r="8" customFormat="false" ht="15" hidden="false" customHeight="false" outlineLevel="0" collapsed="false">
      <c r="A8" s="1" t="n">
        <v>7</v>
      </c>
      <c r="B8" s="1" t="s">
        <v>34</v>
      </c>
      <c r="C8" s="1" t="s">
        <v>35</v>
      </c>
    </row>
    <row r="9" customFormat="false" ht="15" hidden="false" customHeight="false" outlineLevel="0" collapsed="false">
      <c r="A9" s="1" t="n">
        <v>8</v>
      </c>
      <c r="B9" s="1" t="s">
        <v>37</v>
      </c>
      <c r="C9" s="1" t="s">
        <v>38</v>
      </c>
    </row>
    <row r="10" customFormat="false" ht="15" hidden="false" customHeight="false" outlineLevel="0" collapsed="false">
      <c r="A10" s="1" t="n">
        <v>9</v>
      </c>
      <c r="B10" s="1" t="s">
        <v>40</v>
      </c>
      <c r="C10" s="1" t="s">
        <v>41</v>
      </c>
    </row>
    <row r="11" customFormat="false" ht="15" hidden="false" customHeight="false" outlineLevel="0" collapsed="false">
      <c r="A11" s="1" t="n">
        <v>10</v>
      </c>
      <c r="B11" s="1" t="s">
        <v>43</v>
      </c>
      <c r="C11" s="1" t="s">
        <v>44</v>
      </c>
    </row>
    <row r="12" customFormat="false" ht="15" hidden="false" customHeight="false" outlineLevel="0" collapsed="false">
      <c r="A12" s="1" t="n">
        <v>11</v>
      </c>
      <c r="B12" s="1" t="s">
        <v>46</v>
      </c>
      <c r="C12" s="1" t="s">
        <v>47</v>
      </c>
    </row>
    <row r="13" customFormat="false" ht="15" hidden="false" customHeight="false" outlineLevel="0" collapsed="false">
      <c r="A13" s="1" t="n">
        <v>12</v>
      </c>
      <c r="B13" s="1" t="s">
        <v>49</v>
      </c>
      <c r="C13" s="1" t="s">
        <v>50</v>
      </c>
    </row>
    <row r="14" customFormat="false" ht="15" hidden="false" customHeight="false" outlineLevel="0" collapsed="false">
      <c r="A14" s="1" t="n">
        <v>13</v>
      </c>
      <c r="B14" s="1" t="s">
        <v>53</v>
      </c>
      <c r="C14" s="1" t="s">
        <v>54</v>
      </c>
    </row>
    <row r="15" customFormat="false" ht="15" hidden="false" customHeight="false" outlineLevel="0" collapsed="false">
      <c r="A15" s="1" t="n">
        <v>14</v>
      </c>
      <c r="B15" s="1" t="s">
        <v>56</v>
      </c>
      <c r="C15" s="1" t="s">
        <v>57</v>
      </c>
    </row>
    <row r="16" customFormat="false" ht="15" hidden="false" customHeight="false" outlineLevel="0" collapsed="false">
      <c r="A16" s="1" t="n">
        <v>15</v>
      </c>
      <c r="B16" s="1" t="s">
        <v>59</v>
      </c>
      <c r="C16" s="1" t="s">
        <v>60</v>
      </c>
    </row>
    <row r="17" customFormat="false" ht="15" hidden="false" customHeight="false" outlineLevel="0" collapsed="false">
      <c r="A17" s="1" t="n">
        <v>16</v>
      </c>
      <c r="B17" s="1" t="s">
        <v>62</v>
      </c>
      <c r="C17" s="1" t="s">
        <v>63</v>
      </c>
    </row>
    <row r="18" customFormat="false" ht="15" hidden="false" customHeight="false" outlineLevel="0" collapsed="false">
      <c r="A18" s="1" t="n">
        <v>17</v>
      </c>
      <c r="B18" s="1" t="s">
        <v>65</v>
      </c>
      <c r="C18" s="1" t="s">
        <v>66</v>
      </c>
    </row>
    <row r="19" customFormat="false" ht="15" hidden="false" customHeight="false" outlineLevel="0" collapsed="false">
      <c r="A19" s="1" t="n">
        <v>18</v>
      </c>
      <c r="B19" s="1" t="s">
        <v>68</v>
      </c>
      <c r="C19" s="1" t="s">
        <v>69</v>
      </c>
    </row>
    <row r="20" customFormat="false" ht="15" hidden="false" customHeight="false" outlineLevel="0" collapsed="false">
      <c r="A20" s="1" t="n">
        <v>19</v>
      </c>
      <c r="B20" s="1" t="s">
        <v>71</v>
      </c>
      <c r="C20" s="1" t="s">
        <v>72</v>
      </c>
    </row>
    <row r="21" customFormat="false" ht="15" hidden="false" customHeight="false" outlineLevel="0" collapsed="false">
      <c r="A21" s="1" t="n">
        <v>20</v>
      </c>
      <c r="B21" s="1" t="s">
        <v>74</v>
      </c>
      <c r="C21" s="1" t="s">
        <v>75</v>
      </c>
    </row>
    <row r="22" customFormat="false" ht="15" hidden="false" customHeight="false" outlineLevel="0" collapsed="false">
      <c r="A22" s="1" t="n">
        <v>21</v>
      </c>
      <c r="B22" s="1" t="s">
        <v>77</v>
      </c>
      <c r="C22" s="1" t="s">
        <v>78</v>
      </c>
    </row>
    <row r="23" customFormat="false" ht="15" hidden="false" customHeight="false" outlineLevel="0" collapsed="false">
      <c r="A23" s="1" t="n">
        <v>22</v>
      </c>
      <c r="B23" s="1" t="s">
        <v>80</v>
      </c>
      <c r="C23" s="1" t="s">
        <v>81</v>
      </c>
    </row>
    <row r="24" customFormat="false" ht="15" hidden="false" customHeight="false" outlineLevel="0" collapsed="false">
      <c r="A24" s="1" t="n">
        <v>23</v>
      </c>
      <c r="B24" s="1" t="s">
        <v>83</v>
      </c>
      <c r="C24" s="1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B16" activeCellId="0" sqref="B16"/>
    </sheetView>
  </sheetViews>
  <sheetFormatPr defaultColWidth="10.58203125" defaultRowHeight="12.8" zeroHeight="false" outlineLevelRow="0" outlineLevelCol="0"/>
  <cols>
    <col collapsed="false" customWidth="true" hidden="false" outlineLevel="0" max="2" min="2" style="1" width="52.07"/>
  </cols>
  <sheetData>
    <row r="1" customFormat="false" ht="1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1" t="s">
        <v>107</v>
      </c>
    </row>
    <row r="3" customFormat="false" ht="15" hidden="false" customHeight="false" outlineLevel="0" collapsed="false">
      <c r="B3" s="1" t="s">
        <v>108</v>
      </c>
    </row>
    <row r="4" customFormat="false" ht="15" hidden="false" customHeight="false" outlineLevel="0" collapsed="false">
      <c r="B4" s="1" t="s">
        <v>109</v>
      </c>
    </row>
    <row r="5" customFormat="false" ht="15" hidden="false" customHeight="false" outlineLevel="0" collapsed="false">
      <c r="B5" s="1" t="s">
        <v>110</v>
      </c>
    </row>
    <row r="6" customFormat="false" ht="15" hidden="false" customHeight="false" outlineLevel="0" collapsed="false">
      <c r="B6" s="1" t="s">
        <v>111</v>
      </c>
    </row>
    <row r="7" customFormat="false" ht="15" hidden="false" customHeight="false" outlineLevel="0" collapsed="false">
      <c r="A7" s="1" t="s">
        <v>112</v>
      </c>
    </row>
    <row r="8" customFormat="false" ht="15" hidden="false" customHeight="false" outlineLevel="0" collapsed="false">
      <c r="B8" s="1" t="s">
        <v>113</v>
      </c>
    </row>
    <row r="9" customFormat="false" ht="15" hidden="false" customHeight="false" outlineLevel="0" collapsed="false">
      <c r="B9" s="1" t="s">
        <v>114</v>
      </c>
    </row>
    <row r="10" customFormat="false" ht="15" hidden="false" customHeight="false" outlineLevel="0" collapsed="false">
      <c r="B10" s="1" t="s">
        <v>115</v>
      </c>
    </row>
    <row r="11" customFormat="false" ht="15" hidden="false" customHeight="false" outlineLevel="0" collapsed="false">
      <c r="B11" s="1" t="s">
        <v>116</v>
      </c>
    </row>
    <row r="12" customFormat="false" ht="15" hidden="false" customHeight="false" outlineLevel="0" collapsed="false">
      <c r="A12" s="1" t="s">
        <v>117</v>
      </c>
    </row>
    <row r="13" customFormat="false" ht="15" hidden="false" customHeight="false" outlineLevel="0" collapsed="false">
      <c r="B13" s="1" t="s">
        <v>118</v>
      </c>
    </row>
    <row r="14" customFormat="false" ht="15" hidden="false" customHeight="false" outlineLevel="0" collapsed="false">
      <c r="B14" s="1" t="s">
        <v>119</v>
      </c>
    </row>
    <row r="15" customFormat="false" ht="15" hidden="false" customHeight="false" outlineLevel="0" collapsed="false">
      <c r="B15" s="1" t="s">
        <v>120</v>
      </c>
    </row>
    <row r="16" customFormat="false" ht="15" hidden="false" customHeight="false" outlineLevel="0" collapsed="false">
      <c r="B16" s="1" t="s">
        <v>121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E2" activeCellId="0" sqref="E2"/>
    </sheetView>
  </sheetViews>
  <sheetFormatPr defaultColWidth="10.58203125" defaultRowHeight="15" zeroHeight="false" outlineLevelRow="0" outlineLevelCol="0"/>
  <cols>
    <col collapsed="false" customWidth="true" hidden="false" outlineLevel="0" max="2" min="2" style="1" width="20.07"/>
  </cols>
  <sheetData>
    <row r="1" customFormat="false" ht="15" hidden="false" customHeight="false" outlineLevel="0" collapsed="false">
      <c r="A1" s="1" t="s">
        <v>1</v>
      </c>
      <c r="B1" s="2" t="s">
        <v>3</v>
      </c>
      <c r="C1" s="1" t="s">
        <v>3</v>
      </c>
      <c r="D1" s="1" t="s">
        <v>2</v>
      </c>
      <c r="E1" s="1" t="s">
        <v>100</v>
      </c>
    </row>
    <row r="2" customFormat="false" ht="15" hidden="false" customHeight="false" outlineLevel="0" collapsed="false">
      <c r="A2" s="1" t="n">
        <v>1</v>
      </c>
      <c r="B2" s="1" t="s">
        <v>11</v>
      </c>
      <c r="C2" s="1" t="s">
        <v>11</v>
      </c>
      <c r="D2" s="1" t="s">
        <v>10</v>
      </c>
      <c r="E2" s="1" t="n">
        <v>7</v>
      </c>
    </row>
    <row r="3" customFormat="false" ht="15" hidden="false" customHeight="false" outlineLevel="0" collapsed="false">
      <c r="A3" s="1" t="n">
        <v>2</v>
      </c>
      <c r="B3" s="1" t="s">
        <v>17</v>
      </c>
      <c r="C3" s="1" t="s">
        <v>17</v>
      </c>
      <c r="D3" s="1" t="s">
        <v>16</v>
      </c>
      <c r="E3" s="1" t="n">
        <v>8</v>
      </c>
    </row>
    <row r="4" customFormat="false" ht="15" hidden="false" customHeight="false" outlineLevel="0" collapsed="false">
      <c r="A4" s="7" t="n">
        <v>3</v>
      </c>
      <c r="B4" s="7" t="s">
        <v>20</v>
      </c>
      <c r="E4" s="1" t="n">
        <v>1</v>
      </c>
    </row>
    <row r="5" customFormat="false" ht="15" hidden="false" customHeight="false" outlineLevel="0" collapsed="false">
      <c r="A5" s="1" t="n">
        <v>4</v>
      </c>
      <c r="B5" s="1" t="s">
        <v>25</v>
      </c>
      <c r="C5" s="1" t="s">
        <v>25</v>
      </c>
      <c r="D5" s="1" t="s">
        <v>24</v>
      </c>
      <c r="E5" s="1" t="n">
        <v>6.5</v>
      </c>
    </row>
    <row r="6" customFormat="false" ht="15" hidden="false" customHeight="false" outlineLevel="0" collapsed="false">
      <c r="A6" s="1" t="n">
        <v>5</v>
      </c>
      <c r="B6" s="1" t="s">
        <v>28</v>
      </c>
      <c r="C6" s="1" t="s">
        <v>28</v>
      </c>
      <c r="D6" s="1" t="s">
        <v>27</v>
      </c>
      <c r="E6" s="1" t="n">
        <v>8</v>
      </c>
    </row>
    <row r="7" customFormat="false" ht="15" hidden="false" customHeight="false" outlineLevel="0" collapsed="false">
      <c r="A7" s="1" t="n">
        <v>6</v>
      </c>
      <c r="B7" s="1" t="s">
        <v>32</v>
      </c>
      <c r="C7" s="1" t="s">
        <v>32</v>
      </c>
      <c r="D7" s="1" t="s">
        <v>31</v>
      </c>
      <c r="E7" s="1" t="n">
        <v>9.5</v>
      </c>
    </row>
    <row r="8" customFormat="false" ht="15" hidden="false" customHeight="false" outlineLevel="0" collapsed="false">
      <c r="A8" s="1" t="n">
        <v>7</v>
      </c>
      <c r="B8" s="1" t="s">
        <v>35</v>
      </c>
      <c r="C8" s="1" t="s">
        <v>35</v>
      </c>
      <c r="D8" s="1" t="s">
        <v>34</v>
      </c>
      <c r="E8" s="1" t="n">
        <v>8</v>
      </c>
    </row>
    <row r="9" customFormat="false" ht="15" hidden="false" customHeight="false" outlineLevel="0" collapsed="false">
      <c r="A9" s="1" t="n">
        <v>8</v>
      </c>
      <c r="B9" s="1" t="s">
        <v>38</v>
      </c>
      <c r="C9" s="1" t="s">
        <v>38</v>
      </c>
      <c r="D9" s="1" t="s">
        <v>37</v>
      </c>
      <c r="E9" s="1" t="n">
        <v>8</v>
      </c>
    </row>
    <row r="10" customFormat="false" ht="15" hidden="false" customHeight="false" outlineLevel="0" collapsed="false">
      <c r="A10" s="1" t="n">
        <v>9</v>
      </c>
      <c r="B10" s="1" t="s">
        <v>41</v>
      </c>
      <c r="C10" s="1" t="s">
        <v>41</v>
      </c>
      <c r="D10" s="1" t="s">
        <v>40</v>
      </c>
      <c r="E10" s="1" t="n">
        <v>0.5</v>
      </c>
    </row>
    <row r="11" customFormat="false" ht="15" hidden="false" customHeight="false" outlineLevel="0" collapsed="false">
      <c r="A11" s="1" t="n">
        <v>10</v>
      </c>
      <c r="B11" s="1" t="s">
        <v>44</v>
      </c>
      <c r="C11" s="1" t="s">
        <v>44</v>
      </c>
      <c r="D11" s="1" t="s">
        <v>43</v>
      </c>
      <c r="E11" s="1" t="n">
        <v>0.5</v>
      </c>
    </row>
    <row r="12" customFormat="false" ht="15" hidden="false" customHeight="false" outlineLevel="0" collapsed="false">
      <c r="A12" s="1" t="n">
        <v>11</v>
      </c>
      <c r="B12" s="1" t="s">
        <v>47</v>
      </c>
      <c r="C12" s="1" t="s">
        <v>47</v>
      </c>
      <c r="D12" s="1" t="s">
        <v>46</v>
      </c>
      <c r="E12" s="1" t="n">
        <v>10</v>
      </c>
    </row>
    <row r="13" customFormat="false" ht="15" hidden="false" customHeight="false" outlineLevel="0" collapsed="false">
      <c r="A13" s="1" t="n">
        <v>12</v>
      </c>
      <c r="B13" s="1" t="s">
        <v>50</v>
      </c>
      <c r="C13" s="1" t="s">
        <v>50</v>
      </c>
      <c r="D13" s="1" t="s">
        <v>49</v>
      </c>
      <c r="E13" s="1" t="n">
        <v>7.5</v>
      </c>
    </row>
    <row r="14" customFormat="false" ht="15" hidden="false" customHeight="false" outlineLevel="0" collapsed="false">
      <c r="A14" s="1" t="n">
        <v>13</v>
      </c>
      <c r="B14" s="1" t="s">
        <v>54</v>
      </c>
      <c r="C14" s="1" t="s">
        <v>54</v>
      </c>
      <c r="D14" s="1" t="s">
        <v>53</v>
      </c>
      <c r="E14" s="1" t="n">
        <v>5</v>
      </c>
    </row>
    <row r="15" customFormat="false" ht="15" hidden="false" customHeight="false" outlineLevel="0" collapsed="false">
      <c r="A15" s="1" t="n">
        <v>14</v>
      </c>
      <c r="B15" s="1" t="s">
        <v>57</v>
      </c>
      <c r="E15" s="1" t="n">
        <v>1</v>
      </c>
    </row>
    <row r="16" customFormat="false" ht="15" hidden="false" customHeight="false" outlineLevel="0" collapsed="false">
      <c r="A16" s="1" t="n">
        <v>15</v>
      </c>
      <c r="B16" s="1" t="s">
        <v>60</v>
      </c>
      <c r="C16" s="1" t="s">
        <v>60</v>
      </c>
      <c r="D16" s="1" t="s">
        <v>59</v>
      </c>
      <c r="E16" s="1" t="n">
        <v>10</v>
      </c>
    </row>
    <row r="17" customFormat="false" ht="15" hidden="false" customHeight="false" outlineLevel="0" collapsed="false">
      <c r="A17" s="1" t="n">
        <v>16</v>
      </c>
      <c r="B17" s="1" t="s">
        <v>63</v>
      </c>
      <c r="C17" s="1" t="s">
        <v>63</v>
      </c>
      <c r="D17" s="1" t="s">
        <v>62</v>
      </c>
      <c r="E17" s="1" t="n">
        <v>10</v>
      </c>
    </row>
    <row r="18" customFormat="false" ht="15" hidden="false" customHeight="false" outlineLevel="0" collapsed="false">
      <c r="A18" s="1" t="n">
        <v>17</v>
      </c>
      <c r="B18" s="1" t="s">
        <v>66</v>
      </c>
      <c r="C18" s="1" t="s">
        <v>66</v>
      </c>
      <c r="D18" s="1" t="s">
        <v>65</v>
      </c>
      <c r="E18" s="1" t="n">
        <v>9</v>
      </c>
    </row>
    <row r="19" customFormat="false" ht="15" hidden="false" customHeight="false" outlineLevel="0" collapsed="false">
      <c r="A19" s="1" t="n">
        <v>18</v>
      </c>
      <c r="B19" s="1" t="s">
        <v>69</v>
      </c>
      <c r="C19" s="1" t="s">
        <v>69</v>
      </c>
      <c r="D19" s="1" t="s">
        <v>68</v>
      </c>
      <c r="E19" s="1" t="n">
        <v>9.5</v>
      </c>
    </row>
    <row r="20" customFormat="false" ht="15" hidden="false" customHeight="false" outlineLevel="0" collapsed="false">
      <c r="A20" s="1" t="n">
        <v>19</v>
      </c>
      <c r="B20" s="1" t="s">
        <v>72</v>
      </c>
      <c r="C20" s="1" t="s">
        <v>72</v>
      </c>
      <c r="D20" s="1" t="s">
        <v>71</v>
      </c>
      <c r="E20" s="1" t="n">
        <v>7</v>
      </c>
    </row>
    <row r="21" customFormat="false" ht="15" hidden="false" customHeight="false" outlineLevel="0" collapsed="false">
      <c r="A21" s="1" t="n">
        <v>20</v>
      </c>
      <c r="B21" s="1" t="s">
        <v>75</v>
      </c>
      <c r="E21" s="1" t="n">
        <v>1</v>
      </c>
    </row>
    <row r="22" customFormat="false" ht="15" hidden="false" customHeight="false" outlineLevel="0" collapsed="false">
      <c r="A22" s="1" t="n">
        <v>21</v>
      </c>
      <c r="B22" s="1" t="s">
        <v>78</v>
      </c>
      <c r="C22" s="1" t="s">
        <v>78</v>
      </c>
      <c r="D22" s="1" t="s">
        <v>77</v>
      </c>
      <c r="E22" s="1" t="n">
        <v>8</v>
      </c>
    </row>
    <row r="23" customFormat="false" ht="15" hidden="false" customHeight="false" outlineLevel="0" collapsed="false">
      <c r="A23" s="1" t="n">
        <v>22</v>
      </c>
      <c r="B23" s="1" t="s">
        <v>81</v>
      </c>
      <c r="C23" s="1" t="s">
        <v>81</v>
      </c>
      <c r="D23" s="1" t="s">
        <v>80</v>
      </c>
      <c r="E23" s="1" t="n">
        <v>9</v>
      </c>
    </row>
    <row r="24" customFormat="false" ht="15" hidden="false" customHeight="false" outlineLevel="0" collapsed="false">
      <c r="A24" s="1" t="n">
        <v>23</v>
      </c>
      <c r="B24" s="1" t="s">
        <v>84</v>
      </c>
      <c r="C24" s="1" t="s">
        <v>84</v>
      </c>
      <c r="D24" s="1" t="s">
        <v>83</v>
      </c>
      <c r="E24" s="1" t="n">
        <v>9.5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2025-05-05T16:17:36Z</dcterms:created>
  <dc:creator/>
  <dc:description/>
  <dc:language>es-AR</dc:language>
  <cp:lastModifiedBy/>
  <dcterms:modified xsi:type="dcterms:W3CDTF">2026-09-30T17:39:54Z</dcterms:modified>
  <cp:revision>126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