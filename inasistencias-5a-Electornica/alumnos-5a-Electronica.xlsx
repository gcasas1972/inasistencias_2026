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dos fuentes" sheetId="3" state="visible" r:id="rId5"/>
    <sheet name="7-2c-Recup" sheetId="4" state="visible" r:id="rId6"/>
    <sheet name="a-Evaluar" sheetId="5" state="visible" r:id="rId7"/>
    <sheet name="positivos" sheetId="6" state="visible" r:id="rId8"/>
    <sheet name="2C-6-puenteH" sheetId="7" state="visible" r:id="rId9"/>
    <sheet name="4-Recup" sheetId="8" state="visible" r:id="rId10"/>
    <sheet name="5-parDarlington" sheetId="9" state="visible" r:id="rId11"/>
    <sheet name="Evaluacion" sheetId="10" state="visible" r:id="rId12"/>
    <sheet name="Recuperacoin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<sst xmlns="http://schemas.openxmlformats.org/spreadsheetml/2006/main" count="961" uniqueCount="278">
  <si>
    <t xml:space="preserve">nota carpeta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</si>
  <si>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</si>
  <si>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</si>
  <si>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</si>
  <si>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</si>
  <si>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</si>
  <si>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Joaquin Leandro David</t>
  </si>
  <si>
    <t xml:space="preserve">ALCARAZ</t>
  </si>
  <si>
    <t xml:space="preserve">49810411@gmail.com</t>
  </si>
  <si>
    <t xml:space="preserve">P</t>
  </si>
  <si>
    <t xml:space="preserve">A</t>
  </si>
  <si>
    <t xml:space="preserve">se retiro 17:25</t>
  </si>
  <si>
    <t xml:space="preserve">Facundo Gonzalo</t>
  </si>
  <si>
    <t xml:space="preserve">ARREDONDO</t>
  </si>
  <si>
    <t xml:space="preserve">arredondofacundo406@gmail.com</t>
  </si>
  <si>
    <t xml:space="preserve">Damian Agustin</t>
  </si>
  <si>
    <t xml:space="preserve">Coronel</t>
  </si>
  <si>
    <t xml:space="preserve">50094499@faa.mil.ar</t>
  </si>
  <si>
    <t xml:space="preserve">Recursante</t>
  </si>
  <si>
    <t xml:space="preserve">recuersante</t>
  </si>
  <si>
    <t xml:space="preserve">Santiago Gael</t>
  </si>
  <si>
    <t xml:space="preserve">DIAZ</t>
  </si>
  <si>
    <t xml:space="preserve">50157134@gmail.com</t>
  </si>
  <si>
    <t xml:space="preserve">Candelaria Luisana</t>
  </si>
  <si>
    <t xml:space="preserve">FARIAS RUIZ</t>
  </si>
  <si>
    <t xml:space="preserve">49960662@gmail.com</t>
  </si>
  <si>
    <t xml:space="preserve">Oriana Berenice</t>
  </si>
  <si>
    <t xml:space="preserve">FRANCOLINO</t>
  </si>
  <si>
    <t xml:space="preserve">50096602@gmail.com</t>
  </si>
  <si>
    <t xml:space="preserve">Juan Diego</t>
  </si>
  <si>
    <t xml:space="preserve">GIRALDO GONZALEZ</t>
  </si>
  <si>
    <t xml:space="preserve">95622238@gmail.com</t>
  </si>
  <si>
    <t xml:space="preserve">Demian Ignacio</t>
  </si>
  <si>
    <t xml:space="preserve">JUNCAL</t>
  </si>
  <si>
    <t xml:space="preserve">50142917@gmail.com</t>
  </si>
  <si>
    <t xml:space="preserve">Jeremias Luciano</t>
  </si>
  <si>
    <t xml:space="preserve">LESME</t>
  </si>
  <si>
    <t xml:space="preserve">jeremiaslesme9@gmail.com</t>
  </si>
  <si>
    <t xml:space="preserve">Laionel Dylan</t>
  </si>
  <si>
    <t xml:space="preserve">LOAIZA</t>
  </si>
  <si>
    <t xml:space="preserve">50395668@gmail.com</t>
  </si>
  <si>
    <t xml:space="preserve">Thiago Valentin</t>
  </si>
  <si>
    <t xml:space="preserve">LUCERO</t>
  </si>
  <si>
    <t xml:space="preserve">49602531@gmail.com</t>
  </si>
  <si>
    <t xml:space="preserve">Thiago Gabriel</t>
  </si>
  <si>
    <t xml:space="preserve">LUJAN</t>
  </si>
  <si>
    <t xml:space="preserve">49927919@gmail.com</t>
  </si>
  <si>
    <t xml:space="preserve">se retiro</t>
  </si>
  <si>
    <t xml:space="preserve">Tahiel Eliseo</t>
  </si>
  <si>
    <t xml:space="preserve">MANRIQUE DI FLORIO</t>
  </si>
  <si>
    <t xml:space="preserve">50276004@gmail.com</t>
  </si>
  <si>
    <t xml:space="preserve">Fabrizio Juan</t>
  </si>
  <si>
    <t xml:space="preserve">MARTINEZ RUIZ DIAZ</t>
  </si>
  <si>
    <t xml:space="preserve">martnezfabrizio84@gmail.com</t>
  </si>
  <si>
    <t xml:space="preserve">Franco Ezequiel</t>
  </si>
  <si>
    <t xml:space="preserve">MELIN</t>
  </si>
  <si>
    <t xml:space="preserve">50353508@gmail.com</t>
  </si>
  <si>
    <t xml:space="preserve">Uma Bianca</t>
  </si>
  <si>
    <t xml:space="preserve">OLIVERA</t>
  </si>
  <si>
    <t xml:space="preserve">49679317@gmail.com</t>
  </si>
  <si>
    <t xml:space="preserve">Delfina Elizabeth</t>
  </si>
  <si>
    <t xml:space="preserve">ORTEGA</t>
  </si>
  <si>
    <t xml:space="preserve">49988641@gmail.com</t>
  </si>
  <si>
    <t xml:space="preserve">Alejo Julián</t>
  </si>
  <si>
    <t xml:space="preserve">PALERMO TEJADA</t>
  </si>
  <si>
    <t xml:space="preserve">palermoalejo@gmail.com</t>
  </si>
  <si>
    <t xml:space="preserve">Mateo Leonel</t>
  </si>
  <si>
    <t xml:space="preserve">PRADO</t>
  </si>
  <si>
    <t xml:space="preserve">49880530@gmail.com</t>
  </si>
  <si>
    <t xml:space="preserve">Ivan Manuel</t>
  </si>
  <si>
    <t xml:space="preserve">RAVANELLI</t>
  </si>
  <si>
    <t xml:space="preserve">49521904@gmail.com</t>
  </si>
  <si>
    <t xml:space="preserve">Agustin</t>
  </si>
  <si>
    <t xml:space="preserve">Romero</t>
  </si>
  <si>
    <t xml:space="preserve">ajolote47356@gmail.com</t>
  </si>
  <si>
    <t xml:space="preserve">Matias Lionel</t>
  </si>
  <si>
    <t xml:space="preserve">SAIGUA FRANCO</t>
  </si>
  <si>
    <t xml:space="preserve">49547928@gmail.com</t>
  </si>
  <si>
    <t xml:space="preserve">Giuliana Abril</t>
  </si>
  <si>
    <t xml:space="preserve">VIDELA</t>
  </si>
  <si>
    <t xml:space="preserve">49676632@gmail.com</t>
  </si>
  <si>
    <t xml:space="preserve">presentes</t>
  </si>
  <si>
    <t xml:space="preserve">carpeta nota</t>
  </si>
  <si>
    <t xml:space="preserve">Evaluacion</t>
  </si>
  <si>
    <t xml:space="preserve">Calificación/10,00</t>
  </si>
  <si>
    <t xml:space="preserve">Tiempo requerido</t>
  </si>
  <si>
    <t xml:space="preserve">Calificación/8,00</t>
  </si>
  <si>
    <t xml:space="preserve">prom</t>
  </si>
  <si>
    <t xml:space="preserve">segundo</t>
  </si>
  <si>
    <t xml:space="preserve">final</t>
  </si>
  <si>
    <t xml:space="preserve">AMIGO</t>
  </si>
  <si>
    <t xml:space="preserve">Lucila Yanel</t>
  </si>
  <si>
    <t xml:space="preserve">3 minutos 7 segundos</t>
  </si>
  <si>
    <t xml:space="preserve">3 minutos 50 segundos</t>
  </si>
  <si>
    <t xml:space="preserve">3 minutos 4 segundos</t>
  </si>
  <si>
    <t xml:space="preserve">5 minutos 18 segundos</t>
  </si>
  <si>
    <t xml:space="preserve">4 minutos 46 segundos</t>
  </si>
  <si>
    <t xml:space="preserve">8 minutos</t>
  </si>
  <si>
    <t xml:space="preserve">7 minutos 40 segundos</t>
  </si>
  <si>
    <t xml:space="preserve">DI FEBO</t>
  </si>
  <si>
    <t xml:space="preserve">Liam Yoel</t>
  </si>
  <si>
    <t xml:space="preserve">6 minutos 47 segundos</t>
  </si>
  <si>
    <t xml:space="preserve">SUAREZ</t>
  </si>
  <si>
    <t xml:space="preserve">Matías</t>
  </si>
  <si>
    <t xml:space="preserve">5 minutos 3 segundos</t>
  </si>
  <si>
    <t xml:space="preserve">3 minutos 20 segundos</t>
  </si>
  <si>
    <t xml:space="preserve">6 minutos 43 segundos</t>
  </si>
  <si>
    <t xml:space="preserve">5 minutos 53 segundos</t>
  </si>
  <si>
    <t xml:space="preserve">4 minutos 8 segundos</t>
  </si>
  <si>
    <t xml:space="preserve">8 minutos 1 segundos</t>
  </si>
  <si>
    <t xml:space="preserve">4 minutos 44 segundos</t>
  </si>
  <si>
    <t xml:space="preserve">8-par dar</t>
  </si>
  <si>
    <t xml:space="preserve">Lourdes Elizabeth</t>
  </si>
  <si>
    <t xml:space="preserve">ANDRADA BASCOPE</t>
  </si>
  <si>
    <t xml:space="preserve">Germán Ezequiel</t>
  </si>
  <si>
    <t xml:space="preserve">APURIL</t>
  </si>
  <si>
    <t xml:space="preserve">Lautaro Francisco</t>
  </si>
  <si>
    <t xml:space="preserve">AYBAR</t>
  </si>
  <si>
    <t xml:space="preserve">Sathya</t>
  </si>
  <si>
    <t xml:space="preserve">bertola galizzi</t>
  </si>
  <si>
    <t xml:space="preserve">Santiago</t>
  </si>
  <si>
    <t xml:space="preserve">BIROCCO FRETES</t>
  </si>
  <si>
    <t xml:space="preserve">Mateo Ignacio</t>
  </si>
  <si>
    <t xml:space="preserve">BRUNO</t>
  </si>
  <si>
    <t xml:space="preserve">Mirko</t>
  </si>
  <si>
    <t xml:space="preserve">Dellana</t>
  </si>
  <si>
    <t xml:space="preserve">Francisco Gael</t>
  </si>
  <si>
    <t xml:space="preserve">Dimeo</t>
  </si>
  <si>
    <t xml:space="preserve">Facundo Agustin</t>
  </si>
  <si>
    <t xml:space="preserve">ENGERS GONZALEZ</t>
  </si>
  <si>
    <t xml:space="preserve">Pedro Gabriel</t>
  </si>
  <si>
    <t xml:space="preserve">GERAGHTY</t>
  </si>
  <si>
    <t xml:space="preserve">Miqueas Ariel</t>
  </si>
  <si>
    <t xml:space="preserve">Hoyos</t>
  </si>
  <si>
    <t xml:space="preserve">Tobias</t>
  </si>
  <si>
    <t xml:space="preserve">Ibarra Yegro</t>
  </si>
  <si>
    <t xml:space="preserve">Zoe Antonella</t>
  </si>
  <si>
    <t xml:space="preserve">LOPEZ BERZA</t>
  </si>
  <si>
    <t xml:space="preserve">Gabriel Lautaro</t>
  </si>
  <si>
    <t xml:space="preserve">MARTINEZ DEL PINO</t>
  </si>
  <si>
    <t xml:space="preserve">Facundo Ariel</t>
  </si>
  <si>
    <t xml:space="preserve">MEDINA</t>
  </si>
  <si>
    <t xml:space="preserve">Avril</t>
  </si>
  <si>
    <t xml:space="preserve">RODRIGUEZ MIÑO</t>
  </si>
  <si>
    <t xml:space="preserve">Araceli Rosario Abigail</t>
  </si>
  <si>
    <t xml:space="preserve">SANTIBAÑEZ RAMÍREZ</t>
  </si>
  <si>
    <t xml:space="preserve">Franco Joaquín</t>
  </si>
  <si>
    <t xml:space="preserve">VILLCA</t>
  </si>
  <si>
    <t xml:space="preserve">Ramiro Demian</t>
  </si>
  <si>
    <t xml:space="preserve">ZARRAGA</t>
  </si>
  <si>
    <t xml:space="preserve">Nro</t>
  </si>
  <si>
    <t xml:space="preserve">positivos</t>
  </si>
  <si>
    <t xml:space="preserve">PROMEDIO</t>
  </si>
  <si>
    <t xml:space="preserve">SEGUNDO</t>
  </si>
  <si>
    <t xml:space="preserve">FINAL</t>
  </si>
  <si>
    <t xml:space="preserve">14 minutos 58 segundos</t>
  </si>
  <si>
    <t xml:space="preserve">44 minutos 2 segundos</t>
  </si>
  <si>
    <t xml:space="preserve">19 minutos 9 segundos</t>
  </si>
  <si>
    <t xml:space="preserve">8 minutos 26 segundos</t>
  </si>
  <si>
    <t xml:space="preserve">8 minutos 58 segundos</t>
  </si>
  <si>
    <t xml:space="preserve">9 minutos 3 segundos</t>
  </si>
  <si>
    <t xml:space="preserve">13 minutos 2 segundos</t>
  </si>
  <si>
    <t xml:space="preserve">7 minutos 19 segundos</t>
  </si>
  <si>
    <t xml:space="preserve">6 minutos 35 segundos</t>
  </si>
  <si>
    <t xml:space="preserve">5 minutos 32 segundos</t>
  </si>
  <si>
    <t xml:space="preserve">7 minutos 56 segundos</t>
  </si>
  <si>
    <t xml:space="preserve">18 minutos 28 segundos</t>
  </si>
  <si>
    <t xml:space="preserve">14 minutos 51 segundos</t>
  </si>
  <si>
    <t xml:space="preserve">9 minutos 34 segundos</t>
  </si>
  <si>
    <t xml:space="preserve">3 minutos 54 segundos</t>
  </si>
  <si>
    <t xml:space="preserve">4 minutos 54 segundos</t>
  </si>
  <si>
    <t xml:space="preserve">12 minutos 48 segundos</t>
  </si>
  <si>
    <t xml:space="preserve">7 minutos 32 segundos</t>
  </si>
  <si>
    <t xml:space="preserve">2 minutos 23 segundos</t>
  </si>
  <si>
    <t xml:space="preserve">15 minutos 47 segundos</t>
  </si>
  <si>
    <t xml:space="preserve">12 minutos 34 segundos</t>
  </si>
  <si>
    <t xml:space="preserve">9 minutos 1 segundos</t>
  </si>
  <si>
    <t xml:space="preserve">13 minutos 32 segundos</t>
  </si>
  <si>
    <t xml:space="preserve">cant</t>
  </si>
  <si>
    <t xml:space="preserve">Finalizado</t>
  </si>
  <si>
    <t xml:space="preserve">Calificación/9,00</t>
  </si>
  <si>
    <t xml:space="preserve">promedio</t>
  </si>
  <si>
    <t xml:space="preserve">7 de mayo de 2025  18:29</t>
  </si>
  <si>
    <t xml:space="preserve">5 minutos 25 segundos</t>
  </si>
  <si>
    <t xml:space="preserve">7 de mayo de 2025  18:24</t>
  </si>
  <si>
    <t xml:space="preserve">6 minutos 31 segundos</t>
  </si>
  <si>
    <t xml:space="preserve">7 de mayo de 2025  23:21</t>
  </si>
  <si>
    <t xml:space="preserve">9 minutos 11 segundos</t>
  </si>
  <si>
    <t xml:space="preserve">7 de mayo de 2025  15:15</t>
  </si>
  <si>
    <t xml:space="preserve">4 minutos 33 segundos</t>
  </si>
  <si>
    <t xml:space="preserve">6 de mayo de 2025  15:09</t>
  </si>
  <si>
    <t xml:space="preserve">3 minutos 58 segundos</t>
  </si>
  <si>
    <t xml:space="preserve">5 de mayo de 2025  22:50</t>
  </si>
  <si>
    <t xml:space="preserve">44 minutos 38 segundos</t>
  </si>
  <si>
    <t xml:space="preserve">7 de mayo de 2025  10:38</t>
  </si>
  <si>
    <t xml:space="preserve">21 minutos 27 segundos</t>
  </si>
  <si>
    <t xml:space="preserve">7 de mayo de 2025  10:08</t>
  </si>
  <si>
    <t xml:space="preserve">34 minutos 12 segundos</t>
  </si>
  <si>
    <t xml:space="preserve">7 de mayo de 2025  23:39</t>
  </si>
  <si>
    <t xml:space="preserve">3 minutos 43 segundos</t>
  </si>
  <si>
    <t xml:space="preserve">7 de mayo de 2025  18:51</t>
  </si>
  <si>
    <t xml:space="preserve">1 hora 27 minutos</t>
  </si>
  <si>
    <t xml:space="preserve">7 de mayo de 2025  18:55</t>
  </si>
  <si>
    <t xml:space="preserve">3 minutos 28 segundos</t>
  </si>
  <si>
    <t xml:space="preserve">6 de mayo de 2025  23:13</t>
  </si>
  <si>
    <t xml:space="preserve">33 minutos 41 segundos</t>
  </si>
  <si>
    <t xml:space="preserve">10 minutos 23 segundos</t>
  </si>
  <si>
    <t xml:space="preserve">7 de mayo de 2025  23:10</t>
  </si>
  <si>
    <t xml:space="preserve">6 horas 8 minutos</t>
  </si>
  <si>
    <t xml:space="preserve">3 minutos 47 segundos</t>
  </si>
  <si>
    <t xml:space="preserve">10 minutos 1 segundos</t>
  </si>
  <si>
    <t xml:space="preserve">9 minutos 59 segundos</t>
  </si>
  <si>
    <t xml:space="preserve">4 minutos 53 segundos</t>
  </si>
  <si>
    <t xml:space="preserve">4 minutos 55 segundos</t>
  </si>
  <si>
    <t xml:space="preserve">4 minutos 31 segundos</t>
  </si>
  <si>
    <t xml:space="preserve">4 minutos 56 segundos</t>
  </si>
  <si>
    <t xml:space="preserve">4 minutos 23 segundos</t>
  </si>
  <si>
    <t xml:space="preserve">3 minutos 57 segundos</t>
  </si>
  <si>
    <t xml:space="preserve">10 minutos</t>
  </si>
  <si>
    <t xml:space="preserve">1 minutos 42 segundos</t>
  </si>
  <si>
    <t xml:space="preserve">6 minutos 29 segundos</t>
  </si>
  <si>
    <t xml:space="preserve">8 minutos 10 segundos</t>
  </si>
  <si>
    <t xml:space="preserve">5 minutos 24 segundos</t>
  </si>
  <si>
    <t xml:space="preserve">5 minutos 57 segundos</t>
  </si>
  <si>
    <t xml:space="preserve">9 minutos 39 segundos</t>
  </si>
  <si>
    <t xml:space="preserve">9 minutos 17 segundos</t>
  </si>
  <si>
    <t xml:space="preserve">9 minutos 57 segundos</t>
  </si>
  <si>
    <t xml:space="preserve">5 minutos 45 segundos</t>
  </si>
  <si>
    <t xml:space="preserve">5 minutos 46 segundos</t>
  </si>
  <si>
    <t xml:space="preserve">7 minutos 38 segundos</t>
  </si>
  <si>
    <t xml:space="preserve">8 minutos 31 segundos</t>
  </si>
  <si>
    <t xml:space="preserve">7 minutos</t>
  </si>
  <si>
    <t xml:space="preserve">3 minutos 23 segundos</t>
  </si>
  <si>
    <t xml:space="preserve">5 minutos 58 segundos</t>
  </si>
  <si>
    <t xml:space="preserve">7 minutos 5 segundos</t>
  </si>
  <si>
    <t xml:space="preserve">6 minutos 53 segundos</t>
  </si>
  <si>
    <t xml:space="preserve">9 minutos 52 segundos</t>
  </si>
  <si>
    <t xml:space="preserve">9 minutos 22 segundos</t>
  </si>
  <si>
    <t xml:space="preserve">3 minutos 42 segundos</t>
  </si>
  <si>
    <t xml:space="preserve">3 minutos 18 segundos</t>
  </si>
  <si>
    <t xml:space="preserve">7 minutos 23 segundos</t>
  </si>
  <si>
    <t xml:space="preserve">6 minutos 59 segundos</t>
  </si>
  <si>
    <t xml:space="preserve">6 minutos 44 segundos</t>
  </si>
  <si>
    <t xml:space="preserve">7 minutos 31 segundos</t>
  </si>
  <si>
    <t xml:space="preserve">7 minutos 36 segundos</t>
  </si>
  <si>
    <t xml:space="preserve">8 minutos 55 segundos</t>
  </si>
  <si>
    <t xml:space="preserve">9 minutos 31 segundos</t>
  </si>
  <si>
    <t xml:space="preserve">8 minutos 12 segundos</t>
  </si>
  <si>
    <t xml:space="preserve">6 minutos 3 segundos</t>
  </si>
  <si>
    <t xml:space="preserve">6 minutos 5 segundos</t>
  </si>
  <si>
    <t xml:space="preserve">7 minutos 3 segundos</t>
  </si>
  <si>
    <t xml:space="preserve">total</t>
  </si>
  <si>
    <t xml:space="preserve">44 minutos 36 segundos</t>
  </si>
  <si>
    <t xml:space="preserve">46 minutos 42 segundos</t>
  </si>
  <si>
    <t xml:space="preserve">47 minutos 22 segundos</t>
  </si>
  <si>
    <t xml:space="preserve">50 minutos 7 segundos</t>
  </si>
  <si>
    <t xml:space="preserve">43 minutos 13 segundos</t>
  </si>
  <si>
    <t xml:space="preserve">55 minutos 32 segundos</t>
  </si>
  <si>
    <t xml:space="preserve">29 minutos 56 segundos</t>
  </si>
  <si>
    <t xml:space="preserve">36 minutos 22 segundos</t>
  </si>
  <si>
    <t xml:space="preserve">43 minutos 5 segundos</t>
  </si>
  <si>
    <t xml:space="preserve">51 minutos 10 segundos</t>
  </si>
  <si>
    <t xml:space="preserve">48 minutos</t>
  </si>
  <si>
    <t xml:space="preserve">37 minutos 17 segundos</t>
  </si>
  <si>
    <t xml:space="preserve">1 hora 5 minutos</t>
  </si>
  <si>
    <t xml:space="preserve">43 minutos 18 segundos</t>
  </si>
  <si>
    <t xml:space="preserve">53 minutos 17 segundos</t>
  </si>
  <si>
    <t xml:space="preserve">57 minutos 7 segundos</t>
  </si>
  <si>
    <t xml:space="preserve">59 minutos 10 segundos</t>
  </si>
  <si>
    <t xml:space="preserve">42 minutos 54 segundos</t>
  </si>
  <si>
    <t xml:space="preserve">51 minutos 42 segundos</t>
  </si>
  <si>
    <t xml:space="preserve">33 minutos 50 segundos</t>
  </si>
  <si>
    <t xml:space="preserve">40 minutos 9 segundos</t>
  </si>
  <si>
    <t xml:space="preserve">51 minutos 29 segundos</t>
  </si>
  <si>
    <t xml:space="preserve">Apellido</t>
  </si>
  <si>
    <t xml:space="preserve">Diaz</t>
  </si>
  <si>
    <t xml:space="preserve">1-Act fij polariz</t>
  </si>
  <si>
    <t xml:space="preserve">2- par darlington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</si>
</sst>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Q26" activeCellId="0" sqref="Q26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10.46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false" hidden="true" outlineLevel="0" max="6" min="5" style="1" width="8.86"/>
    <col collapsed="false" customWidth="true" hidden="true" outlineLevel="0" max="7" min="7" style="1" width="10.76"/>
    <col collapsed="false" customWidth="false" hidden="true" outlineLevel="0" max="11" min="8" style="1" width="8.86"/>
    <col collapsed="false" customWidth="true" hidden="false" outlineLevel="0" max="13" min="13" style="1" width="13.56"/>
    <col collapsed="false" customWidth="true" hidden="false" outlineLevel="0" max="983" min="983" style="1" width="9.33"/>
    <col collapsed="false" customWidth="true" hidden="false" outlineLevel="0" max="16384" min="16344" style="1" width="10.58"/>
  </cols>
  <sheetData>
    <row r="1" customFormat="false" ht="15" hidden="false" customHeight="false" outlineLevel="0" collapsed="false">
      <c r="B1" s="2"/>
      <c r="C1" s="2"/>
      <c r="D1" s="2"/>
      <c r="N1" s="2" t="s">
        <v>0</v>
      </c>
      <c r="O1" s="2"/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46092</v>
      </c>
      <c r="F2" s="3" t="n">
        <v>46099</v>
      </c>
      <c r="G2" s="2" t="s">
        <v>5</v>
      </c>
      <c r="H2" s="3" t="n">
        <v>46106</v>
      </c>
      <c r="I2" s="3" t="s">
        <v>5</v>
      </c>
      <c r="J2" s="3" t="n">
        <v>46113</v>
      </c>
      <c r="K2" s="3" t="n">
        <v>46120</v>
      </c>
      <c r="L2" s="3" t="n">
        <v>46127</v>
      </c>
      <c r="M2" s="3" t="s">
        <v>5</v>
      </c>
      <c r="N2" s="3" t="n">
        <v>46134</v>
      </c>
      <c r="O2" s="3" t="s">
        <v>5</v>
      </c>
      <c r="P2" s="3" t="n">
        <v>46141</v>
      </c>
      <c r="Q2" s="3" t="n">
        <v>46148</v>
      </c>
      <c r="R2" s="3" t="n">
        <v>46155</v>
      </c>
      <c r="S2" s="3" t="n">
        <v>46162</v>
      </c>
      <c r="T2" s="3" t="n">
        <v>46169</v>
      </c>
      <c r="U2" s="3" t="n">
        <v>46176</v>
      </c>
      <c r="V2" s="3" t="n">
        <v>46183</v>
      </c>
      <c r="W2" s="3" t="n">
        <v>46190</v>
      </c>
      <c r="X2" s="3" t="n">
        <v>46197</v>
      </c>
      <c r="Y2" s="3" t="n">
        <v>46204</v>
      </c>
      <c r="Z2" s="3" t="n">
        <v>46211</v>
      </c>
      <c r="AA2" s="3" t="n">
        <v>46218</v>
      </c>
      <c r="AB2" s="3" t="n">
        <v>46225</v>
      </c>
      <c r="AC2" s="3" t="n">
        <v>46232</v>
      </c>
      <c r="AD2" s="3" t="n">
        <v>46239</v>
      </c>
      <c r="AE2" s="3" t="n">
        <v>46246</v>
      </c>
      <c r="AF2" s="3" t="n">
        <v>46253</v>
      </c>
      <c r="AG2" s="3" t="n">
        <v>46260</v>
      </c>
      <c r="AH2" s="3" t="n">
        <v>46267</v>
      </c>
      <c r="AI2" s="3" t="n">
        <v>46274</v>
      </c>
      <c r="AJ2" s="3" t="n">
        <v>46281</v>
      </c>
      <c r="AK2" s="3" t="n">
        <v>46288</v>
      </c>
      <c r="AL2" s="3" t="n">
        <v>46295</v>
      </c>
      <c r="AM2" s="3" t="n">
        <v>46302</v>
      </c>
      <c r="AN2" s="3" t="n">
        <v>46309</v>
      </c>
      <c r="AO2" s="3" t="n">
        <v>46316</v>
      </c>
      <c r="AP2" s="3" t="n">
        <v>46323</v>
      </c>
      <c r="AQ2" s="3" t="n">
        <v>46330</v>
      </c>
      <c r="AR2" s="3" t="n">
        <v>46337</v>
      </c>
      <c r="AS2" s="3" t="n">
        <v>46344</v>
      </c>
      <c r="AT2" s="3" t="n">
        <v>46351</v>
      </c>
      <c r="AU2" s="3" t="n">
        <v>46358</v>
      </c>
      <c r="AV2" s="3" t="n">
        <v>46365</v>
      </c>
      <c r="AW2" s="3" t="n">
        <v>46372</v>
      </c>
      <c r="AX2" s="3" t="n">
        <v>46379</v>
      </c>
      <c r="AY2" s="3" t="n">
        <v>46386</v>
      </c>
      <c r="AZ2" s="3"/>
      <c r="BA2" s="3"/>
      <c r="BB2" s="3"/>
      <c r="BC2" s="3"/>
      <c r="BD2" s="3"/>
      <c r="BE2" s="3"/>
      <c r="BF2" s="3"/>
      <c r="BG2" s="3"/>
      <c r="BH2" s="3"/>
      <c r="BI2" s="3"/>
    </row>
    <row r="3" customFormat="false" ht="15" hidden="false" customHeight="false" outlineLevel="0" collapsed="false">
      <c r="A3" s="1" t="n">
        <v>1</v>
      </c>
      <c r="B3" s="1" t="s">
        <v>6</v>
      </c>
      <c r="C3" s="1" t="s">
        <v>7</v>
      </c>
      <c r="D3" s="1" t="s">
        <v>8</v>
      </c>
      <c r="E3" s="2" t="s">
        <v>9</v>
      </c>
      <c r="F3" s="2" t="s">
        <v>9</v>
      </c>
      <c r="H3" s="2" t="s">
        <v>9</v>
      </c>
      <c r="J3" s="2" t="s">
        <v>9</v>
      </c>
      <c r="K3" s="2" t="s">
        <v>9</v>
      </c>
      <c r="L3" s="2" t="s">
        <v>10</v>
      </c>
      <c r="M3" s="2" t="s">
        <v>11</v>
      </c>
      <c r="N3" s="2" t="s">
        <v>9</v>
      </c>
      <c r="P3" s="2" t="s">
        <v>9</v>
      </c>
      <c r="Q3" s="4" t="s">
        <v>9</v>
      </c>
    </row>
    <row r="4" customFormat="false" ht="15" hidden="false" customHeight="false" outlineLevel="0" collapsed="false">
      <c r="A4" s="1" t="n">
        <v>2</v>
      </c>
      <c r="B4" s="1" t="s">
        <v>12</v>
      </c>
      <c r="C4" s="1" t="s">
        <v>13</v>
      </c>
      <c r="D4" s="1" t="s">
        <v>14</v>
      </c>
      <c r="E4" s="2" t="s">
        <v>9</v>
      </c>
      <c r="F4" s="2" t="s">
        <v>9</v>
      </c>
      <c r="H4" s="2" t="s">
        <v>9</v>
      </c>
      <c r="J4" s="2" t="s">
        <v>9</v>
      </c>
      <c r="K4" s="2" t="s">
        <v>9</v>
      </c>
      <c r="L4" s="2" t="s">
        <v>9</v>
      </c>
      <c r="N4" s="2" t="s">
        <v>9</v>
      </c>
      <c r="P4" s="2" t="s">
        <v>9</v>
      </c>
      <c r="Q4" s="4" t="s">
        <v>9</v>
      </c>
    </row>
    <row r="5" customFormat="false" ht="15" hidden="false" customHeight="false" outlineLevel="0" collapsed="false">
      <c r="A5" s="1" t="n">
        <v>3</v>
      </c>
      <c r="B5" s="1" t="s">
        <v>15</v>
      </c>
      <c r="C5" s="1" t="s">
        <v>16</v>
      </c>
      <c r="D5" s="1" t="s">
        <v>17</v>
      </c>
      <c r="E5" s="2" t="s">
        <v>9</v>
      </c>
      <c r="F5" s="2" t="s">
        <v>10</v>
      </c>
      <c r="G5" s="2" t="s">
        <v>18</v>
      </c>
      <c r="H5" s="2" t="s">
        <v>10</v>
      </c>
      <c r="I5" s="2" t="s">
        <v>18</v>
      </c>
      <c r="J5" s="2" t="s">
        <v>9</v>
      </c>
      <c r="K5" s="2" t="s">
        <v>10</v>
      </c>
      <c r="L5" s="2" t="s">
        <v>10</v>
      </c>
      <c r="M5" s="2" t="s">
        <v>19</v>
      </c>
      <c r="N5" s="2" t="s">
        <v>10</v>
      </c>
      <c r="P5" s="2" t="s">
        <v>10</v>
      </c>
      <c r="Q5" s="4" t="s">
        <v>10</v>
      </c>
    </row>
    <row r="6" customFormat="false" ht="15" hidden="false" customHeight="false" outlineLevel="0" collapsed="false">
      <c r="A6" s="1" t="n">
        <v>4</v>
      </c>
      <c r="B6" s="1" t="s">
        <v>20</v>
      </c>
      <c r="C6" s="1" t="s">
        <v>21</v>
      </c>
      <c r="D6" s="1" t="s">
        <v>22</v>
      </c>
      <c r="E6" s="2" t="s">
        <v>9</v>
      </c>
      <c r="F6" s="2" t="s">
        <v>9</v>
      </c>
      <c r="H6" s="2" t="s">
        <v>9</v>
      </c>
      <c r="J6" s="2" t="s">
        <v>9</v>
      </c>
      <c r="K6" s="2" t="s">
        <v>9</v>
      </c>
      <c r="L6" s="2" t="s">
        <v>9</v>
      </c>
      <c r="N6" s="2" t="s">
        <v>9</v>
      </c>
      <c r="P6" s="2" t="s">
        <v>9</v>
      </c>
      <c r="Q6" s="4" t="s">
        <v>9</v>
      </c>
    </row>
    <row r="7" customFormat="false" ht="15" hidden="false" customHeight="false" outlineLevel="0" collapsed="false">
      <c r="A7" s="1" t="n">
        <v>5</v>
      </c>
      <c r="B7" s="1" t="s">
        <v>23</v>
      </c>
      <c r="C7" s="1" t="s">
        <v>24</v>
      </c>
      <c r="D7" s="1" t="s">
        <v>25</v>
      </c>
      <c r="E7" s="2" t="s">
        <v>9</v>
      </c>
      <c r="F7" s="2" t="s">
        <v>9</v>
      </c>
      <c r="H7" s="2" t="s">
        <v>9</v>
      </c>
      <c r="J7" s="2" t="s">
        <v>9</v>
      </c>
      <c r="K7" s="2" t="s">
        <v>9</v>
      </c>
      <c r="L7" s="2" t="s">
        <v>9</v>
      </c>
      <c r="N7" s="2" t="s">
        <v>9</v>
      </c>
      <c r="P7" s="2" t="s">
        <v>9</v>
      </c>
      <c r="Q7" s="4" t="s">
        <v>9</v>
      </c>
    </row>
    <row r="8" customFormat="false" ht="15" hidden="false" customHeight="false" outlineLevel="0" collapsed="false">
      <c r="A8" s="1" t="n">
        <v>6</v>
      </c>
      <c r="B8" s="1" t="s">
        <v>26</v>
      </c>
      <c r="C8" s="1" t="s">
        <v>27</v>
      </c>
      <c r="D8" s="1" t="s">
        <v>28</v>
      </c>
      <c r="E8" s="2" t="s">
        <v>9</v>
      </c>
      <c r="F8" s="2" t="s">
        <v>9</v>
      </c>
      <c r="H8" s="2" t="s">
        <v>9</v>
      </c>
      <c r="J8" s="2" t="s">
        <v>9</v>
      </c>
      <c r="K8" s="2" t="s">
        <v>9</v>
      </c>
      <c r="L8" s="2" t="s">
        <v>9</v>
      </c>
      <c r="N8" s="2" t="s">
        <v>10</v>
      </c>
      <c r="P8" s="2" t="s">
        <v>9</v>
      </c>
      <c r="Q8" s="4" t="s">
        <v>9</v>
      </c>
    </row>
    <row r="9" customFormat="false" ht="15" hidden="false" customHeight="false" outlineLevel="0" collapsed="false">
      <c r="A9" s="1" t="n">
        <v>7</v>
      </c>
      <c r="B9" s="1" t="s">
        <v>29</v>
      </c>
      <c r="C9" s="1" t="s">
        <v>30</v>
      </c>
      <c r="D9" s="1" t="s">
        <v>31</v>
      </c>
      <c r="E9" s="2" t="s">
        <v>9</v>
      </c>
      <c r="F9" s="2" t="s">
        <v>9</v>
      </c>
      <c r="H9" s="2" t="s">
        <v>9</v>
      </c>
      <c r="J9" s="2" t="s">
        <v>9</v>
      </c>
      <c r="K9" s="2" t="s">
        <v>9</v>
      </c>
      <c r="L9" s="2" t="s">
        <v>9</v>
      </c>
      <c r="N9" s="2" t="s">
        <v>9</v>
      </c>
      <c r="P9" s="2" t="s">
        <v>10</v>
      </c>
      <c r="Q9" s="4" t="s">
        <v>10</v>
      </c>
    </row>
    <row r="10" customFormat="false" ht="15" hidden="false" customHeight="false" outlineLevel="0" collapsed="false">
      <c r="A10" s="1" t="n">
        <v>8</v>
      </c>
      <c r="B10" s="1" t="s">
        <v>32</v>
      </c>
      <c r="C10" s="1" t="s">
        <v>33</v>
      </c>
      <c r="D10" s="1" t="s">
        <v>34</v>
      </c>
      <c r="E10" s="2" t="s">
        <v>9</v>
      </c>
      <c r="F10" s="2" t="s">
        <v>9</v>
      </c>
      <c r="H10" s="2" t="s">
        <v>9</v>
      </c>
      <c r="J10" s="2" t="s">
        <v>9</v>
      </c>
      <c r="K10" s="2" t="s">
        <v>9</v>
      </c>
      <c r="L10" s="2" t="s">
        <v>9</v>
      </c>
      <c r="N10" s="2" t="s">
        <v>9</v>
      </c>
      <c r="P10" s="2" t="s">
        <v>9</v>
      </c>
      <c r="Q10" s="4" t="s">
        <v>10</v>
      </c>
    </row>
    <row r="11" customFormat="false" ht="15" hidden="false" customHeight="false" outlineLevel="0" collapsed="false">
      <c r="A11" s="1" t="n">
        <v>9</v>
      </c>
      <c r="B11" s="1" t="s">
        <v>35</v>
      </c>
      <c r="C11" s="1" t="s">
        <v>36</v>
      </c>
      <c r="D11" s="1" t="s">
        <v>37</v>
      </c>
      <c r="E11" s="2" t="s">
        <v>9</v>
      </c>
      <c r="F11" s="2" t="s">
        <v>9</v>
      </c>
      <c r="H11" s="2" t="s">
        <v>9</v>
      </c>
      <c r="J11" s="2" t="s">
        <v>9</v>
      </c>
      <c r="K11" s="2" t="s">
        <v>9</v>
      </c>
      <c r="L11" s="2" t="s">
        <v>9</v>
      </c>
      <c r="N11" s="2" t="s">
        <v>9</v>
      </c>
      <c r="P11" s="2" t="s">
        <v>9</v>
      </c>
      <c r="Q11" s="4" t="s">
        <v>9</v>
      </c>
    </row>
    <row r="12" customFormat="false" ht="15" hidden="false" customHeight="false" outlineLevel="0" collapsed="false">
      <c r="A12" s="1" t="n">
        <v>10</v>
      </c>
      <c r="B12" s="1" t="s">
        <v>38</v>
      </c>
      <c r="C12" s="1" t="s">
        <v>39</v>
      </c>
      <c r="D12" s="1" t="s">
        <v>40</v>
      </c>
      <c r="E12" s="2" t="s">
        <v>9</v>
      </c>
      <c r="F12" s="2" t="s">
        <v>9</v>
      </c>
      <c r="H12" s="2" t="s">
        <v>9</v>
      </c>
      <c r="J12" s="2" t="s">
        <v>9</v>
      </c>
      <c r="K12" s="2" t="s">
        <v>9</v>
      </c>
      <c r="L12" s="2" t="s">
        <v>9</v>
      </c>
      <c r="N12" s="2" t="s">
        <v>9</v>
      </c>
      <c r="P12" s="2" t="s">
        <v>9</v>
      </c>
      <c r="Q12" s="4" t="s">
        <v>9</v>
      </c>
    </row>
    <row r="13" customFormat="false" ht="15" hidden="false" customHeight="false" outlineLevel="0" collapsed="false">
      <c r="A13" s="1" t="n">
        <v>11</v>
      </c>
      <c r="B13" s="1" t="s">
        <v>41</v>
      </c>
      <c r="C13" s="1" t="s">
        <v>42</v>
      </c>
      <c r="D13" s="1" t="s">
        <v>43</v>
      </c>
      <c r="E13" s="2" t="s">
        <v>9</v>
      </c>
      <c r="F13" s="2" t="s">
        <v>9</v>
      </c>
      <c r="H13" s="2" t="s">
        <v>9</v>
      </c>
      <c r="J13" s="2" t="s">
        <v>9</v>
      </c>
      <c r="K13" s="2" t="s">
        <v>9</v>
      </c>
      <c r="L13" s="2" t="s">
        <v>9</v>
      </c>
      <c r="N13" s="2" t="s">
        <v>9</v>
      </c>
      <c r="P13" s="2" t="s">
        <v>10</v>
      </c>
      <c r="Q13" s="4" t="s">
        <v>9</v>
      </c>
    </row>
    <row r="14" customFormat="false" ht="15" hidden="false" customHeight="false" outlineLevel="0" collapsed="false">
      <c r="A14" s="1" t="n">
        <v>12</v>
      </c>
      <c r="B14" s="1" t="s">
        <v>44</v>
      </c>
      <c r="C14" s="1" t="s">
        <v>45</v>
      </c>
      <c r="D14" s="1" t="s">
        <v>46</v>
      </c>
      <c r="E14" s="2" t="s">
        <v>9</v>
      </c>
      <c r="F14" s="2" t="s">
        <v>9</v>
      </c>
      <c r="H14" s="2" t="s">
        <v>9</v>
      </c>
      <c r="J14" s="2" t="s">
        <v>9</v>
      </c>
      <c r="K14" s="2" t="s">
        <v>9</v>
      </c>
      <c r="L14" s="2" t="s">
        <v>9</v>
      </c>
      <c r="M14" s="2"/>
      <c r="N14" s="2" t="s">
        <v>10</v>
      </c>
      <c r="O14" s="2" t="s">
        <v>47</v>
      </c>
      <c r="P14" s="2" t="s">
        <v>9</v>
      </c>
      <c r="Q14" s="4" t="s">
        <v>10</v>
      </c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  <c r="XEM14" s="2"/>
      <c r="XEN14" s="2"/>
      <c r="XEO14" s="2"/>
      <c r="XEP14" s="2"/>
      <c r="XEQ14" s="2"/>
      <c r="XER14" s="2"/>
      <c r="XES14" s="2"/>
      <c r="XET14" s="2"/>
      <c r="XEU14" s="2"/>
      <c r="XEV14" s="2"/>
      <c r="XEW14" s="2"/>
      <c r="XEX14" s="2"/>
      <c r="XEY14" s="2"/>
      <c r="XEZ14" s="2"/>
      <c r="XFA14" s="2"/>
      <c r="XFB14" s="2"/>
      <c r="XFC14" s="2"/>
      <c r="XFD14" s="2"/>
    </row>
    <row r="15" s="2" customFormat="true" ht="15" hidden="false" customHeight="false" outlineLevel="0" collapsed="false">
      <c r="A15" s="1" t="n">
        <v>13</v>
      </c>
      <c r="B15" s="1" t="s">
        <v>48</v>
      </c>
      <c r="C15" s="1" t="s">
        <v>49</v>
      </c>
      <c r="D15" s="1" t="s">
        <v>50</v>
      </c>
      <c r="E15" s="2" t="s">
        <v>9</v>
      </c>
      <c r="F15" s="2" t="s">
        <v>9</v>
      </c>
      <c r="H15" s="2" t="s">
        <v>9</v>
      </c>
      <c r="I15" s="1"/>
      <c r="J15" s="1" t="s">
        <v>9</v>
      </c>
      <c r="K15" s="1" t="s">
        <v>9</v>
      </c>
      <c r="L15" s="1" t="s">
        <v>9</v>
      </c>
      <c r="M15" s="1"/>
      <c r="N15" s="2" t="s">
        <v>9</v>
      </c>
      <c r="P15" s="2" t="s">
        <v>9</v>
      </c>
      <c r="Q15" s="2" t="s">
        <v>9</v>
      </c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1" t="s">
        <v>51</v>
      </c>
      <c r="C16" s="1" t="s">
        <v>52</v>
      </c>
      <c r="D16" s="1" t="s">
        <v>53</v>
      </c>
      <c r="E16" s="1" t="s">
        <v>9</v>
      </c>
      <c r="F16" s="1" t="s">
        <v>9</v>
      </c>
      <c r="H16" s="2" t="s">
        <v>9</v>
      </c>
      <c r="J16" s="1" t="s">
        <v>10</v>
      </c>
      <c r="K16" s="1" t="s">
        <v>9</v>
      </c>
      <c r="L16" s="1" t="s">
        <v>9</v>
      </c>
      <c r="N16" s="1" t="s">
        <v>9</v>
      </c>
      <c r="P16" s="1" t="s">
        <v>9</v>
      </c>
      <c r="Q16" s="1" t="s">
        <v>9</v>
      </c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  <c r="XFD16" s="2"/>
    </row>
    <row r="17" s="1" customFormat="true" ht="15" hidden="false" customHeight="false" outlineLevel="0" collapsed="false">
      <c r="A17" s="1" t="n">
        <v>15</v>
      </c>
      <c r="B17" s="1" t="s">
        <v>54</v>
      </c>
      <c r="C17" s="1" t="s">
        <v>55</v>
      </c>
      <c r="D17" s="1" t="s">
        <v>56</v>
      </c>
      <c r="E17" s="1" t="s">
        <v>9</v>
      </c>
      <c r="F17" s="1" t="s">
        <v>9</v>
      </c>
      <c r="H17" s="2" t="s">
        <v>9</v>
      </c>
      <c r="J17" s="1" t="s">
        <v>9</v>
      </c>
      <c r="K17" s="1" t="s">
        <v>9</v>
      </c>
      <c r="L17" s="2" t="s">
        <v>9</v>
      </c>
      <c r="M17" s="2"/>
      <c r="N17" s="1" t="s">
        <v>9</v>
      </c>
      <c r="P17" s="1" t="s">
        <v>9</v>
      </c>
      <c r="Q17" s="1" t="s">
        <v>9</v>
      </c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  <c r="XFD17" s="2"/>
    </row>
    <row r="18" s="2" customFormat="true" ht="15" hidden="false" customHeight="false" outlineLevel="0" collapsed="false">
      <c r="A18" s="1" t="n">
        <v>16</v>
      </c>
      <c r="B18" s="1" t="s">
        <v>57</v>
      </c>
      <c r="C18" s="1" t="s">
        <v>58</v>
      </c>
      <c r="D18" s="1" t="s">
        <v>59</v>
      </c>
      <c r="E18" s="2" t="s">
        <v>9</v>
      </c>
      <c r="F18" s="2" t="s">
        <v>9</v>
      </c>
      <c r="H18" s="2" t="s">
        <v>9</v>
      </c>
      <c r="I18" s="1"/>
      <c r="J18" s="1" t="s">
        <v>9</v>
      </c>
      <c r="K18" s="1" t="s">
        <v>9</v>
      </c>
      <c r="L18" s="2" t="s">
        <v>9</v>
      </c>
      <c r="N18" s="2" t="s">
        <v>9</v>
      </c>
      <c r="P18" s="2" t="s">
        <v>9</v>
      </c>
      <c r="Q18" s="2" t="s">
        <v>9</v>
      </c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1" t="s">
        <v>60</v>
      </c>
      <c r="C19" s="1" t="s">
        <v>61</v>
      </c>
      <c r="D19" s="1" t="s">
        <v>62</v>
      </c>
      <c r="E19" s="2" t="s">
        <v>9</v>
      </c>
      <c r="F19" s="2" t="s">
        <v>9</v>
      </c>
      <c r="H19" s="2" t="s">
        <v>9</v>
      </c>
      <c r="I19" s="1"/>
      <c r="J19" s="1" t="s">
        <v>9</v>
      </c>
      <c r="K19" s="1" t="s">
        <v>9</v>
      </c>
      <c r="L19" s="1" t="s">
        <v>9</v>
      </c>
      <c r="M19" s="1"/>
      <c r="N19" s="2" t="s">
        <v>9</v>
      </c>
      <c r="P19" s="2" t="s">
        <v>9</v>
      </c>
      <c r="Q19" s="2" t="s">
        <v>9</v>
      </c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1" t="s">
        <v>63</v>
      </c>
      <c r="C20" s="1" t="s">
        <v>64</v>
      </c>
      <c r="D20" s="1" t="s">
        <v>65</v>
      </c>
      <c r="E20" s="1" t="s">
        <v>9</v>
      </c>
      <c r="F20" s="1" t="s">
        <v>9</v>
      </c>
      <c r="H20" s="2" t="s">
        <v>9</v>
      </c>
      <c r="J20" s="1" t="s">
        <v>9</v>
      </c>
      <c r="K20" s="1" t="s">
        <v>9</v>
      </c>
      <c r="L20" s="1" t="s">
        <v>9</v>
      </c>
      <c r="N20" s="1" t="s">
        <v>9</v>
      </c>
      <c r="P20" s="1" t="s">
        <v>9</v>
      </c>
      <c r="Q20" s="1" t="s">
        <v>10</v>
      </c>
    </row>
    <row r="21" customFormat="false" ht="15" hidden="false" customHeight="false" outlineLevel="0" collapsed="false">
      <c r="A21" s="1" t="n">
        <v>19</v>
      </c>
      <c r="B21" s="1" t="s">
        <v>66</v>
      </c>
      <c r="C21" s="1" t="s">
        <v>67</v>
      </c>
      <c r="D21" s="1" t="s">
        <v>68</v>
      </c>
      <c r="E21" s="2" t="s">
        <v>9</v>
      </c>
      <c r="F21" s="2" t="s">
        <v>9</v>
      </c>
      <c r="H21" s="2" t="s">
        <v>9</v>
      </c>
      <c r="J21" s="2" t="s">
        <v>10</v>
      </c>
      <c r="K21" s="2" t="s">
        <v>9</v>
      </c>
      <c r="L21" s="2" t="s">
        <v>9</v>
      </c>
      <c r="N21" s="2" t="s">
        <v>9</v>
      </c>
      <c r="P21" s="2" t="s">
        <v>9</v>
      </c>
      <c r="Q21" s="4" t="s">
        <v>10</v>
      </c>
    </row>
    <row r="22" customFormat="false" ht="15" hidden="false" customHeight="false" outlineLevel="0" collapsed="false">
      <c r="A22" s="1" t="n">
        <v>20</v>
      </c>
      <c r="B22" s="1" t="s">
        <v>69</v>
      </c>
      <c r="C22" s="1" t="s">
        <v>70</v>
      </c>
      <c r="D22" s="1" t="s">
        <v>71</v>
      </c>
      <c r="E22" s="2" t="s">
        <v>9</v>
      </c>
      <c r="F22" s="2" t="s">
        <v>9</v>
      </c>
      <c r="H22" s="2" t="s">
        <v>9</v>
      </c>
      <c r="J22" s="2" t="s">
        <v>9</v>
      </c>
      <c r="K22" s="2" t="s">
        <v>9</v>
      </c>
      <c r="L22" s="2" t="s">
        <v>9</v>
      </c>
      <c r="N22" s="2" t="s">
        <v>9</v>
      </c>
      <c r="P22" s="2" t="s">
        <v>9</v>
      </c>
      <c r="Q22" s="4" t="s">
        <v>9</v>
      </c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customFormat="false" ht="15" hidden="false" customHeight="false" outlineLevel="0" collapsed="false">
      <c r="A23" s="1" t="n">
        <v>21</v>
      </c>
      <c r="B23" s="1" t="s">
        <v>72</v>
      </c>
      <c r="C23" s="1" t="s">
        <v>73</v>
      </c>
      <c r="D23" s="1" t="s">
        <v>74</v>
      </c>
      <c r="E23" s="2" t="s">
        <v>9</v>
      </c>
      <c r="F23" s="2" t="s">
        <v>9</v>
      </c>
      <c r="H23" s="2" t="s">
        <v>9</v>
      </c>
      <c r="J23" s="2" t="s">
        <v>9</v>
      </c>
      <c r="K23" s="2" t="s">
        <v>9</v>
      </c>
      <c r="L23" s="2" t="s">
        <v>9</v>
      </c>
      <c r="M23" s="2"/>
      <c r="N23" s="2" t="s">
        <v>9</v>
      </c>
      <c r="P23" s="2" t="s">
        <v>9</v>
      </c>
      <c r="Q23" s="4" t="s">
        <v>9</v>
      </c>
    </row>
    <row r="24" s="2" customFormat="true" ht="15" hidden="false" customHeight="false" outlineLevel="0" collapsed="false">
      <c r="A24" s="1" t="n">
        <v>22</v>
      </c>
      <c r="B24" s="1" t="s">
        <v>75</v>
      </c>
      <c r="C24" s="1" t="s">
        <v>76</v>
      </c>
      <c r="D24" s="1" t="s">
        <v>77</v>
      </c>
      <c r="E24" s="2" t="s">
        <v>9</v>
      </c>
      <c r="F24" s="2" t="s">
        <v>9</v>
      </c>
      <c r="H24" s="2" t="s">
        <v>9</v>
      </c>
      <c r="I24" s="1"/>
      <c r="J24" s="1" t="s">
        <v>9</v>
      </c>
      <c r="K24" s="1" t="s">
        <v>9</v>
      </c>
      <c r="L24" s="1" t="s">
        <v>9</v>
      </c>
      <c r="M24" s="1"/>
      <c r="N24" s="2" t="s">
        <v>9</v>
      </c>
      <c r="P24" s="2" t="s">
        <v>9</v>
      </c>
      <c r="Q24" s="2" t="s">
        <v>9</v>
      </c>
      <c r="AKU24" s="1"/>
      <c r="AKV24" s="1"/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78</v>
      </c>
      <c r="C25" s="1" t="s">
        <v>79</v>
      </c>
      <c r="D25" s="1" t="s">
        <v>80</v>
      </c>
      <c r="E25" s="2" t="s">
        <v>9</v>
      </c>
      <c r="F25" s="2" t="s">
        <v>9</v>
      </c>
      <c r="H25" s="2" t="s">
        <v>9</v>
      </c>
      <c r="J25" s="2" t="s">
        <v>9</v>
      </c>
      <c r="K25" s="2" t="s">
        <v>9</v>
      </c>
      <c r="L25" s="2" t="s">
        <v>9</v>
      </c>
      <c r="N25" s="2" t="s">
        <v>9</v>
      </c>
      <c r="P25" s="2" t="s">
        <v>9</v>
      </c>
      <c r="Q25" s="4" t="s">
        <v>9</v>
      </c>
    </row>
    <row r="26" customFormat="false" ht="15" hidden="false" customHeight="false" outlineLevel="0" collapsed="false">
      <c r="C26" s="1" t="s">
        <v>81</v>
      </c>
      <c r="E26" s="2" t="n">
        <f aca="false">COUNTIF(E3:E25,"P")</f>
        <v>23</v>
      </c>
      <c r="F26" s="2" t="n">
        <f aca="false">COUNTIF(F3:F25,"P")</f>
        <v>22</v>
      </c>
      <c r="H26" s="2" t="n">
        <f aca="false">COUNTIF(H3:H25,"P")</f>
        <v>22</v>
      </c>
      <c r="J26" s="2" t="n">
        <f aca="false">COUNTIF(J3:J25,"P")</f>
        <v>21</v>
      </c>
      <c r="K26" s="2" t="n">
        <f aca="false">COUNTIF(K3:K25,"P")</f>
        <v>22</v>
      </c>
      <c r="L26" s="2" t="n">
        <f aca="false">COUNTIF(L3:L25,"P")</f>
        <v>21</v>
      </c>
      <c r="N26" s="2" t="n">
        <f aca="false">COUNTIF(N3:N25,"P")</f>
        <v>20</v>
      </c>
      <c r="P26" s="2" t="n">
        <f aca="false">COUNTIF(P3:P25,"P")</f>
        <v>20</v>
      </c>
      <c r="Q26" s="2" t="n">
        <f aca="false">COUNTIF(Q3:Q25,"P")</f>
        <v>17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5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E9" activeCellId="0" sqref="E9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false" outlineLevel="0" max="16384" min="16343" style="1" width="10.58"/>
  </cols>
  <sheetData>
    <row r="1" customFormat="false" ht="15" hidden="false" customHeight="false" outlineLevel="0" collapsed="false">
      <c r="B1" s="2"/>
      <c r="C1" s="2"/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1" t="s">
        <v>82</v>
      </c>
      <c r="E2" s="4" t="s">
        <v>83</v>
      </c>
    </row>
    <row r="3" customFormat="false" ht="15.65" hidden="false" customHeight="false" outlineLevel="0" collapsed="false">
      <c r="A3" s="1" t="n">
        <v>1</v>
      </c>
      <c r="B3" s="1" t="s">
        <v>6</v>
      </c>
      <c r="C3" s="1" t="s">
        <v>7</v>
      </c>
      <c r="D3" s="1" t="n">
        <v>7</v>
      </c>
      <c r="E3" s="5" t="n">
        <v>7.5</v>
      </c>
    </row>
    <row r="4" customFormat="false" ht="15.65" hidden="false" customHeight="false" outlineLevel="0" collapsed="false">
      <c r="A4" s="1" t="n">
        <v>2</v>
      </c>
      <c r="B4" s="1" t="s">
        <v>12</v>
      </c>
      <c r="C4" s="1" t="s">
        <v>13</v>
      </c>
      <c r="D4" s="1" t="n">
        <v>8</v>
      </c>
      <c r="E4" s="0" t="n">
        <v>7.5</v>
      </c>
    </row>
    <row r="5" customFormat="false" ht="15.65" hidden="false" customHeight="false" outlineLevel="0" collapsed="false">
      <c r="A5" s="1" t="n">
        <v>3</v>
      </c>
      <c r="B5" s="1" t="s">
        <v>15</v>
      </c>
      <c r="C5" s="1" t="s">
        <v>16</v>
      </c>
    </row>
    <row r="6" customFormat="false" ht="15.65" hidden="false" customHeight="false" outlineLevel="0" collapsed="false">
      <c r="A6" s="1" t="n">
        <v>4</v>
      </c>
      <c r="B6" s="1" t="s">
        <v>20</v>
      </c>
      <c r="C6" s="1" t="s">
        <v>21</v>
      </c>
      <c r="D6" s="1" t="n">
        <v>1</v>
      </c>
      <c r="E6" s="0" t="n">
        <v>5</v>
      </c>
    </row>
    <row r="7" s="1" customFormat="true" ht="15.65" hidden="false" customHeight="false" outlineLevel="0" collapsed="false">
      <c r="A7" s="1" t="n">
        <v>5</v>
      </c>
      <c r="B7" s="1" t="s">
        <v>23</v>
      </c>
      <c r="C7" s="1" t="s">
        <v>24</v>
      </c>
      <c r="D7" s="1" t="n">
        <v>10</v>
      </c>
      <c r="E7" s="1" t="n">
        <v>5</v>
      </c>
    </row>
    <row r="8" customFormat="false" ht="15.65" hidden="false" customHeight="false" outlineLevel="0" collapsed="false">
      <c r="A8" s="1" t="n">
        <v>6</v>
      </c>
      <c r="B8" s="1" t="s">
        <v>26</v>
      </c>
      <c r="C8" s="1" t="s">
        <v>27</v>
      </c>
      <c r="D8" s="1" t="n">
        <v>10</v>
      </c>
      <c r="E8" s="5" t="n">
        <v>9</v>
      </c>
    </row>
    <row r="9" customFormat="false" ht="15.65" hidden="false" customHeight="false" outlineLevel="0" collapsed="false">
      <c r="A9" s="1" t="n">
        <v>7</v>
      </c>
      <c r="B9" s="1" t="s">
        <v>29</v>
      </c>
      <c r="C9" s="1" t="s">
        <v>30</v>
      </c>
      <c r="D9" s="1" t="n">
        <v>5</v>
      </c>
    </row>
    <row r="10" customFormat="false" ht="15.65" hidden="false" customHeight="false" outlineLevel="0" collapsed="false">
      <c r="A10" s="1" t="n">
        <v>8</v>
      </c>
      <c r="B10" s="1" t="s">
        <v>32</v>
      </c>
      <c r="C10" s="1" t="s">
        <v>33</v>
      </c>
      <c r="D10" s="1" t="n">
        <v>10</v>
      </c>
      <c r="E10" s="0" t="n">
        <v>7.5</v>
      </c>
    </row>
    <row r="11" customFormat="false" ht="15.65" hidden="false" customHeight="false" outlineLevel="0" collapsed="false">
      <c r="A11" s="1" t="n">
        <v>9</v>
      </c>
      <c r="B11" s="1" t="s">
        <v>35</v>
      </c>
      <c r="C11" s="1" t="s">
        <v>36</v>
      </c>
      <c r="D11" s="1" t="n">
        <v>4</v>
      </c>
      <c r="E11" s="5" t="n">
        <v>1</v>
      </c>
    </row>
    <row r="12" s="1" customFormat="true" ht="15.65" hidden="false" customHeight="false" outlineLevel="0" collapsed="false">
      <c r="A12" s="1" t="n">
        <v>10</v>
      </c>
      <c r="B12" s="1" t="s">
        <v>38</v>
      </c>
      <c r="C12" s="1" t="s">
        <v>39</v>
      </c>
      <c r="D12" s="1" t="n">
        <v>3</v>
      </c>
      <c r="E12" s="6" t="n">
        <v>1</v>
      </c>
    </row>
    <row r="13" customFormat="false" ht="15.65" hidden="false" customHeight="false" outlineLevel="0" collapsed="false">
      <c r="A13" s="1" t="n">
        <v>11</v>
      </c>
      <c r="B13" s="1" t="s">
        <v>41</v>
      </c>
      <c r="C13" s="1" t="s">
        <v>42</v>
      </c>
      <c r="D13" s="1" t="n">
        <v>8</v>
      </c>
    </row>
    <row r="14" customFormat="false" ht="15.65" hidden="false" customHeight="false" outlineLevel="0" collapsed="false">
      <c r="A14" s="1" t="n">
        <v>12</v>
      </c>
      <c r="B14" s="1" t="s">
        <v>44</v>
      </c>
      <c r="C14" s="1" t="s">
        <v>45</v>
      </c>
      <c r="E14" s="0" t="n">
        <v>10</v>
      </c>
    </row>
    <row r="15" s="2" customFormat="true" ht="15.65" hidden="false" customHeight="false" outlineLevel="0" collapsed="false">
      <c r="A15" s="1" t="n">
        <v>13</v>
      </c>
      <c r="B15" s="1" t="s">
        <v>48</v>
      </c>
      <c r="C15" s="1" t="s">
        <v>49</v>
      </c>
      <c r="E15" s="7" t="n">
        <v>7.5</v>
      </c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.65" hidden="false" customHeight="false" outlineLevel="0" collapsed="false">
      <c r="A16" s="1" t="n">
        <v>14</v>
      </c>
      <c r="B16" s="1" t="s">
        <v>51</v>
      </c>
      <c r="C16" s="1" t="s">
        <v>52</v>
      </c>
      <c r="D16" s="1" t="n">
        <v>1</v>
      </c>
      <c r="E16" s="1" t="n">
        <v>5</v>
      </c>
    </row>
    <row r="17" s="1" customFormat="true" ht="15.65" hidden="false" customHeight="false" outlineLevel="0" collapsed="false">
      <c r="A17" s="1" t="n">
        <v>15</v>
      </c>
      <c r="B17" s="1" t="s">
        <v>54</v>
      </c>
      <c r="C17" s="1" t="s">
        <v>55</v>
      </c>
      <c r="D17" s="1" t="n">
        <v>1</v>
      </c>
      <c r="E17" s="6" t="n">
        <v>7.5</v>
      </c>
    </row>
    <row r="18" s="2" customFormat="true" ht="15.65" hidden="false" customHeight="false" outlineLevel="0" collapsed="false">
      <c r="A18" s="1" t="n">
        <v>16</v>
      </c>
      <c r="B18" s="1" t="s">
        <v>57</v>
      </c>
      <c r="C18" s="1" t="s">
        <v>58</v>
      </c>
      <c r="D18" s="2" t="n">
        <v>10</v>
      </c>
      <c r="E18" s="7" t="n">
        <v>7.5</v>
      </c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.65" hidden="false" customHeight="false" outlineLevel="0" collapsed="false">
      <c r="A19" s="1" t="n">
        <v>17</v>
      </c>
      <c r="B19" s="1" t="s">
        <v>60</v>
      </c>
      <c r="C19" s="1" t="s">
        <v>61</v>
      </c>
      <c r="D19" s="2" t="n">
        <v>10</v>
      </c>
      <c r="E19" s="7" t="n">
        <v>10</v>
      </c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8"/>
      <c r="XFD19" s="8"/>
    </row>
    <row r="20" s="1" customFormat="true" ht="15.65" hidden="false" customHeight="false" outlineLevel="0" collapsed="false">
      <c r="A20" s="1" t="n">
        <v>18</v>
      </c>
      <c r="B20" s="1" t="s">
        <v>63</v>
      </c>
      <c r="C20" s="1" t="s">
        <v>64</v>
      </c>
      <c r="D20" s="1" t="n">
        <v>8</v>
      </c>
    </row>
    <row r="21" s="1" customFormat="true" ht="15.65" hidden="false" customHeight="false" outlineLevel="0" collapsed="false">
      <c r="A21" s="1" t="n">
        <v>19</v>
      </c>
      <c r="B21" s="1" t="s">
        <v>66</v>
      </c>
      <c r="C21" s="1" t="s">
        <v>67</v>
      </c>
      <c r="D21" s="1" t="n">
        <v>1</v>
      </c>
      <c r="E21" s="1" t="n">
        <v>7.5</v>
      </c>
    </row>
    <row r="22" s="1" customFormat="true" ht="15.65" hidden="false" customHeight="false" outlineLevel="0" collapsed="false">
      <c r="A22" s="1" t="n">
        <v>20</v>
      </c>
      <c r="B22" s="1" t="s">
        <v>69</v>
      </c>
      <c r="C22" s="1" t="s">
        <v>70</v>
      </c>
      <c r="D22" s="1" t="n">
        <v>1</v>
      </c>
      <c r="E22" s="1" t="n">
        <v>2.5</v>
      </c>
    </row>
    <row r="23" s="1" customFormat="true" ht="15.65" hidden="false" customHeight="false" outlineLevel="0" collapsed="false">
      <c r="A23" s="1" t="n">
        <v>21</v>
      </c>
      <c r="B23" s="1" t="s">
        <v>72</v>
      </c>
      <c r="C23" s="1" t="s">
        <v>73</v>
      </c>
      <c r="D23" s="1" t="n">
        <v>10</v>
      </c>
      <c r="E23" s="6" t="n">
        <v>7</v>
      </c>
    </row>
    <row r="24" s="2" customFormat="true" ht="15.65" hidden="false" customHeight="false" outlineLevel="0" collapsed="false">
      <c r="A24" s="1" t="n">
        <v>22</v>
      </c>
      <c r="B24" s="1" t="s">
        <v>75</v>
      </c>
      <c r="C24" s="1" t="s">
        <v>76</v>
      </c>
      <c r="D24" s="2" t="n">
        <v>10</v>
      </c>
      <c r="E24" s="2" t="n">
        <v>2.5</v>
      </c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78</v>
      </c>
      <c r="C25" s="1" t="s">
        <v>79</v>
      </c>
      <c r="D25" s="1" t="n">
        <v>6</v>
      </c>
      <c r="E25" s="0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8" activeCellId="0" sqref="D28"/>
    </sheetView>
  </sheetViews>
  <sheetFormatPr defaultColWidth="10.58203125" defaultRowHeight="15" zeroHeight="false" outlineLevelRow="0" outlineLevelCol="0"/>
  <cols>
    <col collapsed="false" customWidth="true" hidden="false" outlineLevel="0" max="2" min="1" style="1" width="20.07"/>
  </cols>
  <sheetData>
    <row r="2" customFormat="false" ht="15" hidden="false" customHeight="false" outlineLevel="0" collapsed="false">
      <c r="B2" s="1" t="s">
        <v>3</v>
      </c>
      <c r="C2" s="1" t="s">
        <v>2</v>
      </c>
      <c r="D2" s="1" t="s">
        <v>84</v>
      </c>
    </row>
    <row r="3" customFormat="false" ht="15" hidden="false" customHeight="false" outlineLevel="0" collapsed="false">
      <c r="A3" s="1" t="s">
        <v>7</v>
      </c>
      <c r="B3" s="1" t="s">
        <v>7</v>
      </c>
      <c r="C3" s="1" t="s">
        <v>6</v>
      </c>
      <c r="D3" s="1" t="n">
        <v>7.78</v>
      </c>
    </row>
    <row r="4" customFormat="false" ht="15" hidden="false" customHeight="false" outlineLevel="0" collapsed="false">
      <c r="A4" s="1" t="s">
        <v>13</v>
      </c>
      <c r="B4" s="1" t="s">
        <v>13</v>
      </c>
      <c r="C4" s="1" t="s">
        <v>12</v>
      </c>
      <c r="D4" s="1" t="n">
        <v>8.89</v>
      </c>
    </row>
    <row r="5" customFormat="false" ht="15" hidden="false" customHeight="false" outlineLevel="0" collapsed="false">
      <c r="A5" s="1" t="s">
        <v>16</v>
      </c>
      <c r="D5" s="1" t="n">
        <v>1</v>
      </c>
    </row>
    <row r="6" customFormat="false" ht="15" hidden="false" customHeight="false" outlineLevel="0" collapsed="false">
      <c r="A6" s="1" t="s">
        <v>21</v>
      </c>
      <c r="D6" s="1" t="n">
        <v>1</v>
      </c>
    </row>
    <row r="7" customFormat="false" ht="15" hidden="false" customHeight="false" outlineLevel="0" collapsed="false">
      <c r="A7" s="1" t="s">
        <v>24</v>
      </c>
      <c r="B7" s="1" t="s">
        <v>24</v>
      </c>
      <c r="C7" s="1" t="s">
        <v>23</v>
      </c>
      <c r="D7" s="1" t="n">
        <v>10</v>
      </c>
    </row>
    <row r="8" customFormat="false" ht="15" hidden="false" customHeight="false" outlineLevel="0" collapsed="false">
      <c r="A8" s="1" t="s">
        <v>27</v>
      </c>
      <c r="B8" s="1" t="s">
        <v>27</v>
      </c>
      <c r="C8" s="1" t="s">
        <v>26</v>
      </c>
      <c r="D8" s="1" t="n">
        <v>5.56</v>
      </c>
    </row>
    <row r="9" customFormat="false" ht="15" hidden="false" customHeight="false" outlineLevel="0" collapsed="false">
      <c r="B9" s="1" t="s">
        <v>27</v>
      </c>
      <c r="C9" s="1" t="s">
        <v>26</v>
      </c>
      <c r="D9" s="1" t="n">
        <v>10</v>
      </c>
    </row>
    <row r="10" customFormat="false" ht="15" hidden="false" customHeight="false" outlineLevel="0" collapsed="false">
      <c r="B10" s="1" t="s">
        <v>27</v>
      </c>
      <c r="C10" s="1" t="s">
        <v>26</v>
      </c>
      <c r="D10" s="1" t="n">
        <v>10</v>
      </c>
    </row>
    <row r="11" customFormat="false" ht="15" hidden="false" customHeight="false" outlineLevel="0" collapsed="false">
      <c r="A11" s="1" t="s">
        <v>30</v>
      </c>
      <c r="B11" s="1" t="s">
        <v>30</v>
      </c>
      <c r="C11" s="1" t="s">
        <v>29</v>
      </c>
      <c r="D11" s="1" t="n">
        <v>1</v>
      </c>
    </row>
    <row r="12" customFormat="false" ht="15" hidden="false" customHeight="false" outlineLevel="0" collapsed="false">
      <c r="A12" s="1" t="s">
        <v>33</v>
      </c>
      <c r="B12" s="1" t="s">
        <v>33</v>
      </c>
      <c r="C12" s="1" t="s">
        <v>32</v>
      </c>
      <c r="D12" s="1" t="n">
        <v>10</v>
      </c>
    </row>
    <row r="13" customFormat="false" ht="15" hidden="false" customHeight="false" outlineLevel="0" collapsed="false">
      <c r="A13" s="1" t="s">
        <v>36</v>
      </c>
      <c r="B13" s="1" t="s">
        <v>36</v>
      </c>
      <c r="C13" s="1" t="s">
        <v>35</v>
      </c>
      <c r="D13" s="1" t="n">
        <v>1</v>
      </c>
    </row>
    <row r="14" customFormat="false" ht="15" hidden="false" customHeight="false" outlineLevel="0" collapsed="false">
      <c r="A14" s="1" t="s">
        <v>39</v>
      </c>
      <c r="B14" s="1" t="s">
        <v>39</v>
      </c>
      <c r="C14" s="1" t="s">
        <v>38</v>
      </c>
      <c r="D14" s="1" t="n">
        <v>5.56</v>
      </c>
    </row>
    <row r="15" customFormat="false" ht="15" hidden="false" customHeight="false" outlineLevel="0" collapsed="false">
      <c r="A15" s="1" t="s">
        <v>42</v>
      </c>
      <c r="B15" s="1" t="s">
        <v>42</v>
      </c>
      <c r="C15" s="1" t="s">
        <v>41</v>
      </c>
      <c r="D15" s="1" t="n">
        <v>10</v>
      </c>
    </row>
    <row r="16" customFormat="false" ht="15" hidden="false" customHeight="false" outlineLevel="0" collapsed="false">
      <c r="A16" s="1" t="s">
        <v>45</v>
      </c>
      <c r="B16" s="1" t="s">
        <v>45</v>
      </c>
      <c r="C16" s="1" t="s">
        <v>44</v>
      </c>
      <c r="D16" s="1" t="n">
        <v>10</v>
      </c>
    </row>
    <row r="17" customFormat="false" ht="15" hidden="false" customHeight="false" outlineLevel="0" collapsed="false">
      <c r="A17" s="1" t="s">
        <v>49</v>
      </c>
      <c r="B17" s="1" t="s">
        <v>49</v>
      </c>
      <c r="C17" s="1" t="s">
        <v>48</v>
      </c>
      <c r="D17" s="1" t="n">
        <v>10</v>
      </c>
    </row>
    <row r="18" customFormat="false" ht="15" hidden="false" customHeight="false" outlineLevel="0" collapsed="false">
      <c r="A18" s="1" t="s">
        <v>52</v>
      </c>
      <c r="D18" s="1" t="n">
        <v>1</v>
      </c>
    </row>
    <row r="19" customFormat="false" ht="15" hidden="false" customHeight="false" outlineLevel="0" collapsed="false">
      <c r="A19" s="1" t="s">
        <v>55</v>
      </c>
      <c r="B19" s="1" t="s">
        <v>55</v>
      </c>
      <c r="C19" s="1" t="s">
        <v>54</v>
      </c>
      <c r="D19" s="1" t="n">
        <v>1</v>
      </c>
    </row>
    <row r="20" customFormat="false" ht="15" hidden="false" customHeight="false" outlineLevel="0" collapsed="false">
      <c r="A20" s="1" t="s">
        <v>58</v>
      </c>
      <c r="B20" s="1" t="s">
        <v>58</v>
      </c>
      <c r="C20" s="1" t="s">
        <v>57</v>
      </c>
      <c r="D20" s="1" t="n">
        <v>10</v>
      </c>
    </row>
    <row r="21" customFormat="false" ht="15" hidden="false" customHeight="false" outlineLevel="0" collapsed="false">
      <c r="A21" s="1" t="s">
        <v>61</v>
      </c>
      <c r="B21" s="1" t="s">
        <v>61</v>
      </c>
      <c r="C21" s="1" t="s">
        <v>60</v>
      </c>
      <c r="D21" s="1" t="n">
        <v>0</v>
      </c>
    </row>
    <row r="22" customFormat="false" ht="15" hidden="false" customHeight="false" outlineLevel="0" collapsed="false">
      <c r="A22" s="1" t="s">
        <v>64</v>
      </c>
      <c r="B22" s="1" t="s">
        <v>64</v>
      </c>
      <c r="C22" s="1" t="s">
        <v>63</v>
      </c>
      <c r="D22" s="1" t="n">
        <v>10</v>
      </c>
    </row>
    <row r="23" customFormat="false" ht="15" hidden="false" customHeight="false" outlineLevel="0" collapsed="false">
      <c r="A23" s="1" t="s">
        <v>67</v>
      </c>
      <c r="B23" s="1" t="s">
        <v>67</v>
      </c>
      <c r="C23" s="1" t="s">
        <v>66</v>
      </c>
      <c r="D23" s="1" t="n">
        <v>0</v>
      </c>
    </row>
    <row r="24" customFormat="false" ht="15" hidden="false" customHeight="false" outlineLevel="0" collapsed="false">
      <c r="A24" s="1" t="s">
        <v>70</v>
      </c>
      <c r="D24" s="1" t="n">
        <v>1</v>
      </c>
    </row>
    <row r="25" customFormat="false" ht="15" hidden="false" customHeight="false" outlineLevel="0" collapsed="false">
      <c r="A25" s="1" t="s">
        <v>73</v>
      </c>
      <c r="B25" s="1" t="s">
        <v>73</v>
      </c>
      <c r="C25" s="1" t="s">
        <v>72</v>
      </c>
      <c r="D25" s="1" t="n">
        <v>10</v>
      </c>
    </row>
    <row r="26" customFormat="false" ht="15" hidden="false" customHeight="false" outlineLevel="0" collapsed="false">
      <c r="A26" s="1" t="s">
        <v>76</v>
      </c>
      <c r="B26" s="1" t="s">
        <v>76</v>
      </c>
      <c r="C26" s="1" t="s">
        <v>75</v>
      </c>
      <c r="D26" s="1" t="n">
        <v>0</v>
      </c>
    </row>
    <row r="27" customFormat="false" ht="15" hidden="false" customHeight="false" outlineLevel="0" collapsed="false">
      <c r="A27" s="1" t="s">
        <v>79</v>
      </c>
      <c r="B27" s="1" t="s">
        <v>79</v>
      </c>
      <c r="C27" s="1" t="s">
        <v>78</v>
      </c>
      <c r="D27" s="1" t="n">
        <v>10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3" activeCellId="0" sqref="G13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11.39"/>
    <col collapsed="false" customWidth="true" hidden="false" outlineLevel="0" max="2" min="2" style="1" width="20.33"/>
    <col collapsed="false" customWidth="true" hidden="false" outlineLevel="0" max="3" min="3" style="1" width="15.35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3</v>
      </c>
      <c r="B2" s="1" t="s">
        <v>2</v>
      </c>
      <c r="C2" s="1" t="s">
        <v>85</v>
      </c>
      <c r="D2" s="1" t="s">
        <v>86</v>
      </c>
      <c r="E2" s="1" t="s">
        <v>87</v>
      </c>
      <c r="F2" s="1" t="s">
        <v>88</v>
      </c>
      <c r="G2" s="1" t="s">
        <v>89</v>
      </c>
    </row>
    <row r="3" customFormat="false" ht="15" hidden="false" customHeight="false" outlineLevel="0" collapsed="false">
      <c r="A3" s="1" t="s">
        <v>90</v>
      </c>
      <c r="B3" s="1" t="s">
        <v>91</v>
      </c>
      <c r="C3" s="1" t="s">
        <v>92</v>
      </c>
      <c r="D3" s="1" t="n">
        <v>8</v>
      </c>
      <c r="E3" s="1" t="n">
        <f aca="false">ROUND(AVERAGE(D3:D11),0)</f>
        <v>5</v>
      </c>
      <c r="F3" s="1" t="n">
        <v>6</v>
      </c>
      <c r="G3" s="1" t="n">
        <f aca="false">MAX(F3,E3)</f>
        <v>6</v>
      </c>
    </row>
    <row r="4" customFormat="false" ht="15" hidden="false" customHeight="false" outlineLevel="0" collapsed="false">
      <c r="A4" s="1" t="s">
        <v>90</v>
      </c>
      <c r="B4" s="1" t="s">
        <v>91</v>
      </c>
      <c r="C4" s="1" t="s">
        <v>92</v>
      </c>
      <c r="D4" s="1" t="n">
        <v>6</v>
      </c>
    </row>
    <row r="5" customFormat="false" ht="15" hidden="false" customHeight="false" outlineLevel="0" collapsed="false">
      <c r="A5" s="1" t="s">
        <v>90</v>
      </c>
      <c r="B5" s="1" t="s">
        <v>91</v>
      </c>
      <c r="C5" s="1" t="s">
        <v>93</v>
      </c>
      <c r="D5" s="1" t="n">
        <v>6</v>
      </c>
    </row>
    <row r="6" customFormat="false" ht="15" hidden="false" customHeight="false" outlineLevel="0" collapsed="false">
      <c r="A6" s="1" t="s">
        <v>90</v>
      </c>
      <c r="B6" s="1" t="s">
        <v>91</v>
      </c>
      <c r="C6" s="1" t="s">
        <v>94</v>
      </c>
      <c r="D6" s="1" t="n">
        <v>6</v>
      </c>
    </row>
    <row r="7" customFormat="false" ht="15" hidden="false" customHeight="false" outlineLevel="0" collapsed="false">
      <c r="A7" s="1" t="s">
        <v>90</v>
      </c>
      <c r="B7" s="1" t="s">
        <v>91</v>
      </c>
      <c r="C7" s="1" t="s">
        <v>95</v>
      </c>
      <c r="D7" s="1" t="n">
        <v>5</v>
      </c>
    </row>
    <row r="8" customFormat="false" ht="15" hidden="false" customHeight="false" outlineLevel="0" collapsed="false">
      <c r="A8" s="1" t="s">
        <v>90</v>
      </c>
      <c r="B8" s="1" t="s">
        <v>91</v>
      </c>
      <c r="C8" s="1" t="s">
        <v>96</v>
      </c>
      <c r="D8" s="1" t="n">
        <v>5</v>
      </c>
    </row>
    <row r="9" customFormat="false" ht="15" hidden="false" customHeight="false" outlineLevel="0" collapsed="false">
      <c r="A9" s="1" t="s">
        <v>90</v>
      </c>
      <c r="B9" s="1" t="s">
        <v>91</v>
      </c>
      <c r="C9" s="1" t="s">
        <v>97</v>
      </c>
      <c r="D9" s="1" t="n">
        <v>4</v>
      </c>
    </row>
    <row r="10" customFormat="false" ht="15" hidden="false" customHeight="false" outlineLevel="0" collapsed="false">
      <c r="A10" s="1" t="s">
        <v>90</v>
      </c>
      <c r="B10" s="1" t="s">
        <v>91</v>
      </c>
      <c r="C10" s="1" t="s">
        <v>97</v>
      </c>
      <c r="D10" s="1" t="n">
        <v>4</v>
      </c>
    </row>
    <row r="11" customFormat="false" ht="15" hidden="false" customHeight="false" outlineLevel="0" collapsed="false">
      <c r="A11" s="1" t="s">
        <v>90</v>
      </c>
      <c r="B11" s="1" t="s">
        <v>91</v>
      </c>
      <c r="C11" s="1" t="s">
        <v>98</v>
      </c>
      <c r="D11" s="1" t="n">
        <v>3</v>
      </c>
    </row>
    <row r="12" customFormat="false" ht="15" hidden="false" customHeight="false" outlineLevel="0" collapsed="false">
      <c r="A12" s="1" t="s">
        <v>99</v>
      </c>
      <c r="B12" s="1" t="s">
        <v>100</v>
      </c>
      <c r="C12" s="1" t="s">
        <v>101</v>
      </c>
      <c r="D12" s="1" t="n">
        <v>5</v>
      </c>
      <c r="G12" s="1" t="n">
        <v>5</v>
      </c>
    </row>
    <row r="13" customFormat="false" ht="15" hidden="false" customHeight="false" outlineLevel="0" collapsed="false">
      <c r="A13" s="1" t="s">
        <v>102</v>
      </c>
      <c r="B13" s="1" t="s">
        <v>103</v>
      </c>
      <c r="C13" s="1" t="s">
        <v>104</v>
      </c>
      <c r="D13" s="1" t="n">
        <v>8</v>
      </c>
      <c r="E13" s="1" t="n">
        <f aca="false">ROUND(AVERAGE(D13:D21),0)</f>
        <v>4</v>
      </c>
      <c r="F13" s="1" t="n">
        <v>7</v>
      </c>
      <c r="G13" s="1" t="n">
        <f aca="false">MAX(F13,E13)</f>
        <v>7</v>
      </c>
    </row>
    <row r="14" customFormat="false" ht="15" hidden="false" customHeight="false" outlineLevel="0" collapsed="false">
      <c r="A14" s="1" t="s">
        <v>102</v>
      </c>
      <c r="B14" s="1" t="s">
        <v>103</v>
      </c>
      <c r="C14" s="1" t="s">
        <v>105</v>
      </c>
      <c r="D14" s="1" t="n">
        <v>7</v>
      </c>
    </row>
    <row r="15" customFormat="false" ht="15" hidden="false" customHeight="false" outlineLevel="0" collapsed="false">
      <c r="A15" s="1" t="s">
        <v>102</v>
      </c>
      <c r="B15" s="1" t="s">
        <v>103</v>
      </c>
      <c r="C15" s="1" t="s">
        <v>106</v>
      </c>
      <c r="D15" s="1" t="n">
        <v>5</v>
      </c>
    </row>
    <row r="16" customFormat="false" ht="15" hidden="false" customHeight="false" outlineLevel="0" collapsed="false">
      <c r="A16" s="1" t="s">
        <v>102</v>
      </c>
      <c r="B16" s="1" t="s">
        <v>103</v>
      </c>
      <c r="C16" s="1" t="s">
        <v>107</v>
      </c>
      <c r="D16" s="1" t="n">
        <v>5</v>
      </c>
    </row>
    <row r="17" customFormat="false" ht="15" hidden="false" customHeight="false" outlineLevel="0" collapsed="false">
      <c r="A17" s="1" t="s">
        <v>102</v>
      </c>
      <c r="B17" s="1" t="s">
        <v>103</v>
      </c>
      <c r="C17" s="1" t="s">
        <v>108</v>
      </c>
      <c r="D17" s="1" t="n">
        <v>5</v>
      </c>
    </row>
    <row r="18" customFormat="false" ht="15" hidden="false" customHeight="false" outlineLevel="0" collapsed="false">
      <c r="A18" s="1" t="s">
        <v>102</v>
      </c>
      <c r="B18" s="1" t="s">
        <v>103</v>
      </c>
      <c r="C18" s="1" t="s">
        <v>97</v>
      </c>
      <c r="D18" s="1" t="n">
        <v>3</v>
      </c>
    </row>
    <row r="19" customFormat="false" ht="15" hidden="false" customHeight="false" outlineLevel="0" collapsed="false">
      <c r="A19" s="1" t="s">
        <v>102</v>
      </c>
      <c r="B19" s="1" t="s">
        <v>103</v>
      </c>
      <c r="C19" s="1" t="s">
        <v>109</v>
      </c>
      <c r="D19" s="1" t="n">
        <v>2</v>
      </c>
    </row>
    <row r="20" customFormat="false" ht="15" hidden="false" customHeight="false" outlineLevel="0" collapsed="false">
      <c r="A20" s="1" t="s">
        <v>102</v>
      </c>
      <c r="B20" s="1" t="s">
        <v>103</v>
      </c>
      <c r="C20" s="1" t="s">
        <v>109</v>
      </c>
      <c r="D20" s="1" t="n">
        <v>2</v>
      </c>
    </row>
    <row r="21" customFormat="false" ht="15" hidden="false" customHeight="false" outlineLevel="0" collapsed="false">
      <c r="A21" s="1" t="s">
        <v>102</v>
      </c>
      <c r="B21" s="1" t="s">
        <v>103</v>
      </c>
      <c r="C21" s="1" t="s">
        <v>110</v>
      </c>
      <c r="D21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false" hidden="true" outlineLevel="0" max="2" min="2" style="1" width="10.58"/>
    <col collapsed="false" customWidth="true" hidden="false" outlineLevel="0" max="3" min="3" style="1" width="19.94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1" t="s">
        <v>111</v>
      </c>
    </row>
    <row r="3" customFormat="false" ht="15" hidden="false" customHeight="false" outlineLevel="0" collapsed="false">
      <c r="A3" s="1" t="n">
        <v>1</v>
      </c>
      <c r="B3" s="2" t="s">
        <v>91</v>
      </c>
      <c r="C3" s="2" t="s">
        <v>90</v>
      </c>
    </row>
    <row r="4" customFormat="false" ht="15" hidden="false" customHeight="false" outlineLevel="0" collapsed="false">
      <c r="A4" s="1" t="n">
        <v>2</v>
      </c>
      <c r="B4" s="2" t="s">
        <v>112</v>
      </c>
      <c r="C4" s="2" t="s">
        <v>113</v>
      </c>
    </row>
    <row r="5" customFormat="false" ht="15" hidden="false" customHeight="false" outlineLevel="0" collapsed="false">
      <c r="A5" s="1" t="n">
        <v>3</v>
      </c>
      <c r="B5" s="2" t="s">
        <v>114</v>
      </c>
      <c r="C5" s="2" t="s">
        <v>115</v>
      </c>
    </row>
    <row r="6" customFormat="false" ht="15" hidden="false" customHeight="false" outlineLevel="0" collapsed="false">
      <c r="A6" s="1" t="n">
        <v>4</v>
      </c>
      <c r="B6" s="2" t="s">
        <v>116</v>
      </c>
      <c r="C6" s="2" t="s">
        <v>117</v>
      </c>
    </row>
    <row r="7" customFormat="false" ht="15" hidden="false" customHeight="false" outlineLevel="0" collapsed="false">
      <c r="A7" s="1" t="n">
        <v>5</v>
      </c>
      <c r="B7" s="2" t="s">
        <v>118</v>
      </c>
      <c r="C7" s="2" t="s">
        <v>119</v>
      </c>
    </row>
    <row r="8" customFormat="false" ht="15" hidden="false" customHeight="false" outlineLevel="0" collapsed="false">
      <c r="A8" s="1" t="n">
        <v>6</v>
      </c>
      <c r="B8" s="2" t="s">
        <v>120</v>
      </c>
      <c r="C8" s="2" t="s">
        <v>121</v>
      </c>
    </row>
    <row r="9" customFormat="false" ht="15" hidden="false" customHeight="false" outlineLevel="0" collapsed="false">
      <c r="A9" s="1" t="n">
        <v>7</v>
      </c>
      <c r="B9" s="2" t="s">
        <v>122</v>
      </c>
      <c r="C9" s="2" t="s">
        <v>123</v>
      </c>
    </row>
    <row r="10" customFormat="false" ht="15" hidden="false" customHeight="false" outlineLevel="0" collapsed="false">
      <c r="A10" s="1" t="n">
        <v>8</v>
      </c>
      <c r="B10" s="2" t="s">
        <v>124</v>
      </c>
      <c r="C10" s="2" t="s">
        <v>125</v>
      </c>
    </row>
    <row r="11" customFormat="false" ht="15" hidden="false" customHeight="false" outlineLevel="0" collapsed="false">
      <c r="A11" s="1" t="n">
        <v>9</v>
      </c>
      <c r="B11" s="2" t="s">
        <v>100</v>
      </c>
      <c r="C11" s="2" t="s">
        <v>99</v>
      </c>
    </row>
    <row r="12" customFormat="false" ht="15" hidden="false" customHeight="false" outlineLevel="0" collapsed="false">
      <c r="A12" s="1" t="n">
        <v>10</v>
      </c>
      <c r="B12" s="2" t="s">
        <v>126</v>
      </c>
      <c r="C12" s="2" t="s">
        <v>127</v>
      </c>
    </row>
    <row r="13" customFormat="false" ht="15" hidden="false" customHeight="false" outlineLevel="0" collapsed="false">
      <c r="A13" s="1" t="n">
        <v>11</v>
      </c>
      <c r="B13" s="2" t="s">
        <v>128</v>
      </c>
      <c r="C13" s="2" t="s">
        <v>129</v>
      </c>
    </row>
    <row r="14" customFormat="false" ht="15" hidden="false" customHeight="false" outlineLevel="0" collapsed="false">
      <c r="A14" s="1" t="n">
        <v>12</v>
      </c>
      <c r="B14" s="2" t="s">
        <v>130</v>
      </c>
      <c r="C14" s="2" t="s">
        <v>131</v>
      </c>
    </row>
    <row r="15" customFormat="false" ht="15" hidden="false" customHeight="false" outlineLevel="0" collapsed="false">
      <c r="A15" s="1" t="n">
        <v>13</v>
      </c>
      <c r="B15" s="2" t="s">
        <v>132</v>
      </c>
      <c r="C15" s="2" t="s">
        <v>133</v>
      </c>
    </row>
    <row r="16" customFormat="false" ht="15" hidden="false" customHeight="false" outlineLevel="0" collapsed="false">
      <c r="A16" s="1" t="n">
        <v>14</v>
      </c>
      <c r="B16" s="2" t="s">
        <v>134</v>
      </c>
      <c r="C16" s="2" t="s">
        <v>135</v>
      </c>
    </row>
    <row r="17" customFormat="false" ht="15" hidden="false" customHeight="false" outlineLevel="0" collapsed="false">
      <c r="A17" s="1" t="n">
        <v>15</v>
      </c>
      <c r="B17" s="2" t="s">
        <v>136</v>
      </c>
      <c r="C17" s="2" t="s">
        <v>137</v>
      </c>
    </row>
    <row r="18" customFormat="false" ht="15" hidden="false" customHeight="false" outlineLevel="0" collapsed="false">
      <c r="A18" s="1" t="n">
        <v>16</v>
      </c>
      <c r="B18" s="2" t="s">
        <v>138</v>
      </c>
      <c r="C18" s="2" t="s">
        <v>139</v>
      </c>
    </row>
    <row r="19" customFormat="false" ht="15" hidden="false" customHeight="false" outlineLevel="0" collapsed="false">
      <c r="A19" s="1" t="n">
        <v>17</v>
      </c>
      <c r="B19" s="2" t="s">
        <v>140</v>
      </c>
      <c r="C19" s="2" t="s">
        <v>141</v>
      </c>
    </row>
    <row r="20" customFormat="false" ht="15" hidden="false" customHeight="false" outlineLevel="0" collapsed="false">
      <c r="A20" s="1" t="n">
        <v>18</v>
      </c>
      <c r="B20" s="2" t="s">
        <v>142</v>
      </c>
      <c r="C20" s="2" t="s">
        <v>143</v>
      </c>
    </row>
    <row r="21" customFormat="false" ht="15" hidden="false" customHeight="false" outlineLevel="0" collapsed="false">
      <c r="A21" s="1" t="n">
        <v>19</v>
      </c>
      <c r="B21" s="2" t="s">
        <v>144</v>
      </c>
      <c r="C21" s="2" t="s">
        <v>145</v>
      </c>
    </row>
    <row r="22" customFormat="false" ht="15" hidden="false" customHeight="false" outlineLevel="0" collapsed="false">
      <c r="A22" s="1" t="n">
        <v>20</v>
      </c>
      <c r="B22" s="2" t="s">
        <v>103</v>
      </c>
      <c r="C22" s="2" t="s">
        <v>102</v>
      </c>
    </row>
    <row r="23" customFormat="false" ht="15" hidden="false" customHeight="false" outlineLevel="0" collapsed="false">
      <c r="A23" s="1" t="n">
        <v>21</v>
      </c>
      <c r="B23" s="2" t="s">
        <v>146</v>
      </c>
      <c r="C23" s="2" t="s">
        <v>147</v>
      </c>
    </row>
    <row r="24" customFormat="false" ht="15" hidden="false" customHeight="false" outlineLevel="0" collapsed="false">
      <c r="A24" s="1" t="n">
        <v>22</v>
      </c>
      <c r="B24" s="2" t="s">
        <v>148</v>
      </c>
      <c r="C24" s="2" t="s">
        <v>149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20.07"/>
    <col collapsed="false" customWidth="false" hidden="true" outlineLevel="0" max="7" min="3" style="1" width="9.66"/>
    <col collapsed="false" customWidth="true" hidden="false" outlineLevel="0" max="1002" min="997" style="1" width="9.33"/>
    <col collapsed="false" customWidth="true" hidden="false" outlineLevel="0" max="16384" min="16363" style="1" width="10.58"/>
  </cols>
  <sheetData>
    <row r="1" customFormat="false" ht="15" hidden="false" customHeight="false" outlineLevel="0" collapsed="false">
      <c r="A1" s="1" t="s">
        <v>150</v>
      </c>
      <c r="B1" s="2" t="s">
        <v>3</v>
      </c>
      <c r="C1" s="9" t="n">
        <v>45728</v>
      </c>
      <c r="D1" s="3" t="n">
        <v>45735</v>
      </c>
      <c r="E1" s="3" t="n">
        <v>45742</v>
      </c>
      <c r="F1" s="3" t="n">
        <v>45777</v>
      </c>
      <c r="G1" s="1" t="s">
        <v>151</v>
      </c>
      <c r="H1" s="3" t="n">
        <v>45840</v>
      </c>
      <c r="I1" s="3" t="n">
        <v>45910</v>
      </c>
      <c r="J1" s="3" t="n">
        <v>45945</v>
      </c>
      <c r="K1" s="2" t="s">
        <v>151</v>
      </c>
    </row>
    <row r="2" customFormat="false" ht="15" hidden="false" customHeight="false" outlineLevel="0" collapsed="false">
      <c r="A2" s="1" t="n">
        <v>1</v>
      </c>
      <c r="B2" s="2" t="s">
        <v>90</v>
      </c>
      <c r="C2" s="2"/>
      <c r="E2" s="1" t="n">
        <v>3</v>
      </c>
      <c r="G2" s="1" t="n">
        <f aca="false">SUM(C2:F2)</f>
        <v>3</v>
      </c>
      <c r="H2" s="1" t="n">
        <v>0</v>
      </c>
      <c r="J2" s="1" t="n">
        <v>3</v>
      </c>
      <c r="K2" s="2" t="n">
        <f aca="false">SUM(H2:J2)</f>
        <v>3</v>
      </c>
    </row>
    <row r="3" customFormat="false" ht="15" hidden="false" customHeight="false" outlineLevel="0" collapsed="false">
      <c r="A3" s="1" t="n">
        <v>2</v>
      </c>
      <c r="B3" s="2" t="s">
        <v>113</v>
      </c>
      <c r="C3" s="2"/>
      <c r="F3" s="1" t="n">
        <v>2</v>
      </c>
      <c r="G3" s="1" t="n">
        <f aca="false">SUM(C3:F3)</f>
        <v>2</v>
      </c>
      <c r="H3" s="1" t="n">
        <v>0</v>
      </c>
      <c r="K3" s="2" t="n">
        <f aca="false">SUM(H3:J3)</f>
        <v>0</v>
      </c>
    </row>
    <row r="4" customFormat="false" ht="15" hidden="false" customHeight="false" outlineLevel="0" collapsed="false">
      <c r="A4" s="1" t="n">
        <v>3</v>
      </c>
      <c r="B4" s="2" t="s">
        <v>115</v>
      </c>
      <c r="C4" s="2"/>
      <c r="D4" s="1" t="n">
        <v>1</v>
      </c>
      <c r="E4" s="1" t="n">
        <v>1</v>
      </c>
      <c r="G4" s="1" t="n">
        <f aca="false">SUM(C4:F4)</f>
        <v>2</v>
      </c>
      <c r="H4" s="1" t="n">
        <v>1</v>
      </c>
      <c r="J4" s="1" t="n">
        <v>3</v>
      </c>
      <c r="K4" s="2" t="n">
        <f aca="false">SUM(H4:J4)</f>
        <v>4</v>
      </c>
    </row>
    <row r="5" customFormat="false" ht="15" hidden="false" customHeight="false" outlineLevel="0" collapsed="false">
      <c r="A5" s="1" t="n">
        <v>4</v>
      </c>
      <c r="B5" s="2" t="s">
        <v>117</v>
      </c>
      <c r="C5" s="2"/>
      <c r="D5" s="1" t="n">
        <v>1</v>
      </c>
      <c r="E5" s="1" t="n">
        <v>3</v>
      </c>
      <c r="F5" s="1" t="n">
        <v>2</v>
      </c>
      <c r="G5" s="1" t="n">
        <f aca="false">SUM(C5:F5)</f>
        <v>6</v>
      </c>
      <c r="H5" s="1" t="n">
        <v>1</v>
      </c>
      <c r="J5" s="1" t="n">
        <v>3</v>
      </c>
      <c r="K5" s="2" t="n">
        <f aca="false">SUM(H5:J5)</f>
        <v>4</v>
      </c>
    </row>
    <row r="6" customFormat="false" ht="15" hidden="false" customHeight="false" outlineLevel="0" collapsed="false">
      <c r="A6" s="1" t="n">
        <v>5</v>
      </c>
      <c r="B6" s="2" t="s">
        <v>119</v>
      </c>
      <c r="C6" s="2"/>
      <c r="E6" s="1" t="n">
        <v>1</v>
      </c>
      <c r="G6" s="1" t="n">
        <f aca="false">SUM(C6:F6)</f>
        <v>1</v>
      </c>
      <c r="H6" s="1" t="n">
        <v>0</v>
      </c>
      <c r="K6" s="2" t="n">
        <f aca="false">SUM(H6:J6)</f>
        <v>0</v>
      </c>
    </row>
    <row r="7" customFormat="false" ht="15" hidden="false" customHeight="false" outlineLevel="0" collapsed="false">
      <c r="A7" s="1" t="n">
        <v>6</v>
      </c>
      <c r="B7" s="2" t="s">
        <v>121</v>
      </c>
      <c r="C7" s="2"/>
      <c r="G7" s="1" t="n">
        <f aca="false">SUM(C7:F7)</f>
        <v>0</v>
      </c>
      <c r="H7" s="1" t="n">
        <v>1</v>
      </c>
      <c r="J7" s="1" t="n">
        <v>1</v>
      </c>
      <c r="K7" s="2" t="n">
        <f aca="false">SUM(H7:J7)</f>
        <v>2</v>
      </c>
    </row>
    <row r="8" customFormat="false" ht="15" hidden="false" customHeight="false" outlineLevel="0" collapsed="false">
      <c r="A8" s="1" t="n">
        <v>7</v>
      </c>
      <c r="B8" s="2" t="s">
        <v>123</v>
      </c>
      <c r="C8" s="2"/>
      <c r="D8" s="1" t="n">
        <v>1</v>
      </c>
      <c r="E8" s="1" t="n">
        <v>4</v>
      </c>
      <c r="F8" s="1" t="n">
        <v>2</v>
      </c>
      <c r="G8" s="1" t="n">
        <f aca="false">SUM(C8:F8)</f>
        <v>7</v>
      </c>
      <c r="H8" s="1" t="n">
        <v>1</v>
      </c>
      <c r="I8" s="1" t="n">
        <v>4</v>
      </c>
      <c r="J8" s="1" t="n">
        <v>3</v>
      </c>
      <c r="K8" s="2" t="n">
        <f aca="false">SUM(H8:J8)</f>
        <v>8</v>
      </c>
    </row>
    <row r="9" customFormat="false" ht="15" hidden="false" customHeight="false" outlineLevel="0" collapsed="false">
      <c r="A9" s="1" t="n">
        <v>8</v>
      </c>
      <c r="B9" s="2" t="s">
        <v>125</v>
      </c>
      <c r="C9" s="2"/>
      <c r="D9" s="1" t="n">
        <v>2</v>
      </c>
      <c r="E9" s="1" t="n">
        <v>1</v>
      </c>
      <c r="F9" s="1" t="n">
        <v>2</v>
      </c>
      <c r="G9" s="1" t="n">
        <f aca="false">SUM(C9:F9)</f>
        <v>5</v>
      </c>
      <c r="H9" s="1" t="n">
        <v>1</v>
      </c>
      <c r="I9" s="1" t="n">
        <v>4</v>
      </c>
      <c r="K9" s="2" t="n">
        <f aca="false">SUM(H9:J9)</f>
        <v>5</v>
      </c>
    </row>
    <row r="10" customFormat="false" ht="15" hidden="false" customHeight="false" outlineLevel="0" collapsed="false">
      <c r="A10" s="1" t="n">
        <v>9</v>
      </c>
      <c r="B10" s="2" t="s">
        <v>99</v>
      </c>
      <c r="C10" s="2"/>
      <c r="D10" s="1" t="n">
        <v>1</v>
      </c>
      <c r="E10" s="1" t="n">
        <v>1</v>
      </c>
      <c r="F10" s="1" t="n">
        <v>2</v>
      </c>
      <c r="G10" s="1" t="n">
        <f aca="false">SUM(C10:F10)</f>
        <v>4</v>
      </c>
      <c r="H10" s="1" t="n">
        <v>1</v>
      </c>
      <c r="J10" s="1" t="n">
        <v>4</v>
      </c>
      <c r="K10" s="2" t="n">
        <f aca="false">SUM(H10:J10)</f>
        <v>5</v>
      </c>
    </row>
    <row r="11" customFormat="false" ht="15" hidden="false" customHeight="false" outlineLevel="0" collapsed="false">
      <c r="A11" s="1" t="n">
        <v>10</v>
      </c>
      <c r="B11" s="2" t="s">
        <v>127</v>
      </c>
      <c r="C11" s="2"/>
      <c r="F11" s="1" t="n">
        <v>2</v>
      </c>
      <c r="G11" s="1" t="n">
        <f aca="false">SUM(C11:F11)</f>
        <v>2</v>
      </c>
      <c r="H11" s="1" t="n">
        <v>0</v>
      </c>
      <c r="J11" s="1" t="n">
        <v>3</v>
      </c>
      <c r="K11" s="2" t="n">
        <f aca="false">SUM(H11:J11)</f>
        <v>3</v>
      </c>
    </row>
    <row r="12" customFormat="false" ht="15" hidden="false" customHeight="false" outlineLevel="0" collapsed="false">
      <c r="A12" s="1" t="n">
        <v>11</v>
      </c>
      <c r="B12" s="2" t="s">
        <v>129</v>
      </c>
      <c r="C12" s="2"/>
      <c r="D12" s="1" t="n">
        <v>1</v>
      </c>
      <c r="E12" s="1" t="n">
        <v>4</v>
      </c>
      <c r="F12" s="1" t="n">
        <v>2</v>
      </c>
      <c r="G12" s="1" t="n">
        <f aca="false">SUM(C12:F12)</f>
        <v>7</v>
      </c>
      <c r="H12" s="1" t="n">
        <v>0</v>
      </c>
      <c r="J12" s="1" t="n">
        <v>4</v>
      </c>
      <c r="K12" s="2" t="n">
        <f aca="false">SUM(H12:J12)</f>
        <v>4</v>
      </c>
    </row>
    <row r="13" customFormat="false" ht="15" hidden="false" customHeight="false" outlineLevel="0" collapsed="false">
      <c r="A13" s="1" t="n">
        <v>12</v>
      </c>
      <c r="B13" s="2" t="s">
        <v>131</v>
      </c>
      <c r="C13" s="2"/>
      <c r="E13" s="1" t="n">
        <v>1</v>
      </c>
      <c r="F13" s="1" t="n">
        <v>2</v>
      </c>
      <c r="G13" s="1" t="n">
        <f aca="false">SUM(C13:F13)</f>
        <v>3</v>
      </c>
      <c r="H13" s="1" t="n">
        <v>1</v>
      </c>
      <c r="J13" s="1" t="n">
        <v>3</v>
      </c>
      <c r="K13" s="2" t="n">
        <f aca="false">SUM(H13:J13)</f>
        <v>4</v>
      </c>
    </row>
    <row r="14" customFormat="false" ht="15" hidden="false" customHeight="false" outlineLevel="0" collapsed="false">
      <c r="A14" s="1" t="n">
        <v>13</v>
      </c>
      <c r="B14" s="2" t="s">
        <v>133</v>
      </c>
      <c r="C14" s="2"/>
      <c r="E14" s="1" t="n">
        <v>3</v>
      </c>
      <c r="G14" s="1" t="n">
        <f aca="false">SUM(C14:F14)</f>
        <v>3</v>
      </c>
      <c r="H14" s="1" t="n">
        <v>0</v>
      </c>
      <c r="K14" s="2" t="n">
        <f aca="false">SUM(H14:J14)</f>
        <v>0</v>
      </c>
    </row>
    <row r="15" customFormat="false" ht="15" hidden="false" customHeight="false" outlineLevel="0" collapsed="false">
      <c r="A15" s="1" t="n">
        <v>14</v>
      </c>
      <c r="B15" s="2" t="s">
        <v>135</v>
      </c>
      <c r="C15" s="2" t="n">
        <v>1</v>
      </c>
      <c r="D15" s="1" t="n">
        <v>1</v>
      </c>
      <c r="E15" s="1" t="n">
        <v>2</v>
      </c>
      <c r="F15" s="1" t="n">
        <v>2</v>
      </c>
      <c r="G15" s="1" t="n">
        <f aca="false">SUM(C15:F15)</f>
        <v>6</v>
      </c>
      <c r="H15" s="1" t="n">
        <v>0</v>
      </c>
      <c r="J15" s="1" t="n">
        <v>3</v>
      </c>
      <c r="K15" s="2" t="n">
        <f aca="false">SUM(H15:J15)</f>
        <v>3</v>
      </c>
    </row>
    <row r="16" customFormat="false" ht="15" hidden="false" customHeight="false" outlineLevel="0" collapsed="false">
      <c r="A16" s="1" t="n">
        <v>15</v>
      </c>
      <c r="B16" s="2" t="s">
        <v>137</v>
      </c>
      <c r="C16" s="2"/>
      <c r="E16" s="1" t="n">
        <v>1</v>
      </c>
      <c r="F16" s="1" t="n">
        <v>2</v>
      </c>
      <c r="G16" s="1" t="n">
        <f aca="false">SUM(C16:F16)</f>
        <v>3</v>
      </c>
      <c r="H16" s="1" t="n">
        <v>0</v>
      </c>
      <c r="J16" s="1" t="n">
        <v>3</v>
      </c>
      <c r="K16" s="2" t="n">
        <f aca="false">SUM(H16:J16)</f>
        <v>3</v>
      </c>
    </row>
    <row r="17" customFormat="false" ht="15" hidden="false" customHeight="false" outlineLevel="0" collapsed="false">
      <c r="A17" s="1" t="n">
        <v>16</v>
      </c>
      <c r="B17" s="2" t="s">
        <v>139</v>
      </c>
      <c r="C17" s="2"/>
      <c r="G17" s="1" t="n">
        <f aca="false">SUM(C17:F17)</f>
        <v>0</v>
      </c>
      <c r="H17" s="1" t="n">
        <v>0</v>
      </c>
      <c r="K17" s="2" t="n">
        <f aca="false">SUM(H17:J17)</f>
        <v>0</v>
      </c>
    </row>
    <row r="18" customFormat="false" ht="15" hidden="false" customHeight="false" outlineLevel="0" collapsed="false">
      <c r="A18" s="1" t="n">
        <v>17</v>
      </c>
      <c r="B18" s="2" t="s">
        <v>141</v>
      </c>
      <c r="C18" s="2"/>
      <c r="E18" s="1" t="n">
        <v>3</v>
      </c>
      <c r="G18" s="1" t="n">
        <f aca="false">SUM(C18:F18)</f>
        <v>3</v>
      </c>
      <c r="H18" s="1" t="n">
        <v>0</v>
      </c>
      <c r="K18" s="2" t="n">
        <f aca="false">SUM(H18:J18)</f>
        <v>0</v>
      </c>
    </row>
    <row r="19" customFormat="false" ht="15" hidden="false" customHeight="false" outlineLevel="0" collapsed="false">
      <c r="A19" s="1" t="n">
        <v>18</v>
      </c>
      <c r="B19" s="2" t="s">
        <v>143</v>
      </c>
      <c r="C19" s="2"/>
      <c r="G19" s="1" t="n">
        <f aca="false">SUM(C19:F19)</f>
        <v>0</v>
      </c>
      <c r="H19" s="1" t="n">
        <v>0</v>
      </c>
      <c r="K19" s="2" t="n">
        <f aca="false">SUM(H19:J19)</f>
        <v>0</v>
      </c>
    </row>
    <row r="20" customFormat="false" ht="15" hidden="false" customHeight="false" outlineLevel="0" collapsed="false">
      <c r="A20" s="1" t="n">
        <v>19</v>
      </c>
      <c r="B20" s="2" t="s">
        <v>145</v>
      </c>
      <c r="C20" s="2"/>
      <c r="G20" s="1" t="n">
        <f aca="false">SUM(C20:F20)</f>
        <v>0</v>
      </c>
      <c r="H20" s="1" t="n">
        <v>0</v>
      </c>
      <c r="K20" s="2" t="n">
        <f aca="false">SUM(H20:J20)</f>
        <v>0</v>
      </c>
    </row>
    <row r="21" customFormat="false" ht="15" hidden="false" customHeight="false" outlineLevel="0" collapsed="false">
      <c r="A21" s="1" t="n">
        <v>20</v>
      </c>
      <c r="B21" s="2" t="s">
        <v>102</v>
      </c>
      <c r="C21" s="2"/>
      <c r="D21" s="1" t="n">
        <v>1</v>
      </c>
      <c r="E21" s="1" t="n">
        <v>3</v>
      </c>
      <c r="F21" s="1" t="n">
        <v>2</v>
      </c>
      <c r="G21" s="1" t="n">
        <f aca="false">SUM(C21:F21)</f>
        <v>6</v>
      </c>
      <c r="H21" s="1" t="n">
        <v>0</v>
      </c>
      <c r="J21" s="1" t="n">
        <v>3</v>
      </c>
      <c r="K21" s="2" t="n">
        <f aca="false">SUM(H21:J21)</f>
        <v>3</v>
      </c>
    </row>
    <row r="22" customFormat="false" ht="15" hidden="false" customHeight="false" outlineLevel="0" collapsed="false">
      <c r="A22" s="1" t="n">
        <v>21</v>
      </c>
      <c r="B22" s="2" t="s">
        <v>147</v>
      </c>
      <c r="C22" s="2"/>
      <c r="D22" s="1" t="n">
        <v>2</v>
      </c>
      <c r="E22" s="1" t="n">
        <v>2</v>
      </c>
      <c r="F22" s="1" t="n">
        <v>2</v>
      </c>
      <c r="G22" s="1" t="n">
        <f aca="false">SUM(C22:F22)</f>
        <v>6</v>
      </c>
      <c r="H22" s="1" t="n">
        <v>0</v>
      </c>
      <c r="I22" s="1" t="n">
        <v>4</v>
      </c>
      <c r="J22" s="1" t="n">
        <v>3</v>
      </c>
      <c r="K22" s="2" t="n">
        <f aca="false">SUM(H22:J22)</f>
        <v>7</v>
      </c>
    </row>
    <row r="23" customFormat="false" ht="15" hidden="false" customHeight="false" outlineLevel="0" collapsed="false">
      <c r="A23" s="1" t="n">
        <v>22</v>
      </c>
      <c r="B23" s="2" t="s">
        <v>149</v>
      </c>
      <c r="C23" s="2"/>
      <c r="E23" s="1" t="n">
        <v>3</v>
      </c>
      <c r="G23" s="1" t="n">
        <f aca="false">SUM(C23:F23)</f>
        <v>3</v>
      </c>
      <c r="H23" s="1" t="n">
        <v>0</v>
      </c>
      <c r="K23" s="2" t="n">
        <f aca="false">SUM(H23:J23)</f>
        <v>0</v>
      </c>
    </row>
    <row r="24" customFormat="false" ht="15" hidden="false" customHeight="false" outlineLevel="0" collapsed="false">
      <c r="G24" s="2" t="n">
        <f aca="false">MAX(G2:G23)</f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C13" colorId="64" zoomScale="100" zoomScaleNormal="100" zoomScalePageLayoutView="100" workbookViewId="0">
      <selection pane="topLeft" activeCell="I2" activeCellId="0" sqref="I2"/>
    </sheetView>
  </sheetViews>
  <sheetFormatPr defaultColWidth="9.375" defaultRowHeight="15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61"/>
    <col collapsed="false" customWidth="true" hidden="false" outlineLevel="0" max="4" min="4" style="1" width="15.74"/>
    <col collapsed="false" customWidth="true" hidden="false" outlineLevel="0" max="5" min="5" style="1" width="21.67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85</v>
      </c>
      <c r="F1" s="1" t="s">
        <v>84</v>
      </c>
      <c r="G1" s="1" t="s">
        <v>152</v>
      </c>
      <c r="H1" s="1" t="s">
        <v>153</v>
      </c>
      <c r="I1" s="1" t="s">
        <v>154</v>
      </c>
    </row>
    <row r="2" customFormat="false" ht="15" hidden="false" customHeight="false" outlineLevel="0" collapsed="false">
      <c r="A2" s="1" t="n">
        <v>1</v>
      </c>
      <c r="B2" s="2" t="s">
        <v>90</v>
      </c>
      <c r="C2" s="1" t="s">
        <v>90</v>
      </c>
      <c r="D2" s="1" t="s">
        <v>91</v>
      </c>
      <c r="E2" s="1" t="s">
        <v>155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2" t="s">
        <v>113</v>
      </c>
      <c r="C3" s="1" t="s">
        <v>113</v>
      </c>
      <c r="D3" s="1" t="s">
        <v>112</v>
      </c>
      <c r="E3" s="1" t="s">
        <v>156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115</v>
      </c>
      <c r="C4" s="1" t="s">
        <v>115</v>
      </c>
      <c r="D4" s="1" t="s">
        <v>114</v>
      </c>
      <c r="E4" s="1" t="s">
        <v>157</v>
      </c>
      <c r="F4" s="1" t="n">
        <v>7</v>
      </c>
      <c r="I4" s="1" t="n">
        <v>7</v>
      </c>
    </row>
    <row r="5" customFormat="false" ht="15" hidden="false" customHeight="false" outlineLevel="0" collapsed="false">
      <c r="A5" s="1" t="n">
        <v>4</v>
      </c>
      <c r="B5" s="2" t="s">
        <v>117</v>
      </c>
      <c r="C5" s="1" t="s">
        <v>117</v>
      </c>
      <c r="D5" s="1" t="s">
        <v>116</v>
      </c>
      <c r="E5" s="1" t="s">
        <v>158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119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121</v>
      </c>
      <c r="C7" s="1" t="s">
        <v>121</v>
      </c>
      <c r="D7" s="1" t="s">
        <v>120</v>
      </c>
      <c r="E7" s="1" t="s">
        <v>159</v>
      </c>
      <c r="F7" s="1" t="n">
        <v>7</v>
      </c>
      <c r="I7" s="1" t="n">
        <v>7</v>
      </c>
    </row>
    <row r="8" customFormat="false" ht="15" hidden="false" customHeight="false" outlineLevel="0" collapsed="false">
      <c r="A8" s="1" t="n">
        <v>7</v>
      </c>
      <c r="B8" s="2" t="s">
        <v>123</v>
      </c>
      <c r="C8" s="1" t="s">
        <v>123</v>
      </c>
      <c r="D8" s="1" t="s">
        <v>122</v>
      </c>
      <c r="E8" s="1" t="s">
        <v>160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8</v>
      </c>
      <c r="B9" s="2" t="s">
        <v>125</v>
      </c>
      <c r="C9" s="1" t="s">
        <v>125</v>
      </c>
      <c r="D9" s="1" t="s">
        <v>124</v>
      </c>
      <c r="E9" s="1" t="s">
        <v>161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99</v>
      </c>
      <c r="C10" s="1" t="s">
        <v>99</v>
      </c>
      <c r="D10" s="1" t="s">
        <v>100</v>
      </c>
      <c r="E10" s="1" t="s">
        <v>162</v>
      </c>
      <c r="F10" s="1" t="n">
        <v>10</v>
      </c>
      <c r="G10" s="1" t="n">
        <f aca="false">AVERAGE(F10:F11)</f>
        <v>7.5</v>
      </c>
      <c r="H10" s="1" t="n">
        <v>5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99</v>
      </c>
      <c r="D11" s="1" t="s">
        <v>100</v>
      </c>
      <c r="E11" s="1" t="s">
        <v>163</v>
      </c>
      <c r="F11" s="1" t="n">
        <v>5</v>
      </c>
    </row>
    <row r="12" customFormat="false" ht="15" hidden="false" customHeight="false" outlineLevel="0" collapsed="false">
      <c r="A12" s="1" t="n">
        <v>10</v>
      </c>
      <c r="B12" s="2" t="s">
        <v>127</v>
      </c>
      <c r="C12" s="1" t="s">
        <v>127</v>
      </c>
      <c r="D12" s="1" t="s">
        <v>126</v>
      </c>
      <c r="E12" s="1" t="s">
        <v>164</v>
      </c>
      <c r="F12" s="1" t="n">
        <v>7</v>
      </c>
      <c r="I12" s="1" t="n">
        <v>7</v>
      </c>
    </row>
    <row r="13" customFormat="false" ht="15" hidden="false" customHeight="false" outlineLevel="0" collapsed="false">
      <c r="A13" s="1" t="n">
        <v>11</v>
      </c>
      <c r="B13" s="2" t="s">
        <v>129</v>
      </c>
      <c r="C13" s="1" t="s">
        <v>129</v>
      </c>
      <c r="D13" s="1" t="s">
        <v>128</v>
      </c>
      <c r="E13" s="1" t="s">
        <v>165</v>
      </c>
      <c r="F13" s="1" t="n">
        <v>10</v>
      </c>
      <c r="G13" s="1" t="n">
        <f aca="false">AVERAGE(F13:F14)</f>
        <v>7</v>
      </c>
      <c r="H13" s="1" t="n">
        <v>4</v>
      </c>
      <c r="I13" s="1" t="n">
        <f aca="false">ROUND(MAX(H13,G13),0)</f>
        <v>7</v>
      </c>
    </row>
    <row r="14" customFormat="false" ht="15" hidden="false" customHeight="false" outlineLevel="0" collapsed="false">
      <c r="C14" s="1" t="s">
        <v>129</v>
      </c>
      <c r="D14" s="1" t="s">
        <v>128</v>
      </c>
      <c r="E14" s="1" t="s">
        <v>166</v>
      </c>
      <c r="F14" s="1" t="n">
        <v>4</v>
      </c>
    </row>
    <row r="15" customFormat="false" ht="15" hidden="false" customHeight="false" outlineLevel="0" collapsed="false">
      <c r="A15" s="1" t="n">
        <v>12</v>
      </c>
      <c r="B15" s="2" t="s">
        <v>131</v>
      </c>
      <c r="C15" s="1" t="s">
        <v>131</v>
      </c>
      <c r="D15" s="1" t="s">
        <v>130</v>
      </c>
      <c r="E15" s="1" t="s">
        <v>167</v>
      </c>
      <c r="F15" s="1" t="n">
        <v>8</v>
      </c>
      <c r="I15" s="1" t="n">
        <v>8</v>
      </c>
    </row>
    <row r="16" customFormat="false" ht="15" hidden="false" customHeight="false" outlineLevel="0" collapsed="false">
      <c r="A16" s="1" t="n">
        <v>13</v>
      </c>
      <c r="B16" s="2" t="s">
        <v>133</v>
      </c>
      <c r="C16" s="1" t="s">
        <v>133</v>
      </c>
      <c r="D16" s="1" t="s">
        <v>132</v>
      </c>
      <c r="E16" s="1" t="s">
        <v>168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14</v>
      </c>
      <c r="B17" s="2" t="s">
        <v>135</v>
      </c>
      <c r="C17" s="1" t="s">
        <v>135</v>
      </c>
      <c r="D17" s="1" t="s">
        <v>134</v>
      </c>
      <c r="E17" s="1" t="s">
        <v>169</v>
      </c>
      <c r="F17" s="1" t="n">
        <v>10</v>
      </c>
      <c r="G17" s="1" t="n">
        <f aca="false">AVERAGE(F17:F19)</f>
        <v>7.33333333333333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135</v>
      </c>
      <c r="D18" s="1" t="s">
        <v>134</v>
      </c>
      <c r="E18" s="1" t="s">
        <v>170</v>
      </c>
      <c r="F18" s="1" t="n">
        <v>8</v>
      </c>
    </row>
    <row r="19" customFormat="false" ht="15" hidden="false" customHeight="false" outlineLevel="0" collapsed="false">
      <c r="C19" s="1" t="s">
        <v>135</v>
      </c>
      <c r="D19" s="1" t="s">
        <v>134</v>
      </c>
      <c r="E19" s="1" t="s">
        <v>156</v>
      </c>
      <c r="F19" s="1" t="n">
        <v>4</v>
      </c>
    </row>
    <row r="20" customFormat="false" ht="15" hidden="false" customHeight="false" outlineLevel="0" collapsed="false">
      <c r="A20" s="1" t="n">
        <v>15</v>
      </c>
      <c r="B20" s="2" t="s">
        <v>137</v>
      </c>
      <c r="C20" s="1" t="s">
        <v>137</v>
      </c>
      <c r="D20" s="1" t="s">
        <v>136</v>
      </c>
      <c r="E20" s="1" t="s">
        <v>171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16</v>
      </c>
      <c r="B21" s="2" t="s">
        <v>139</v>
      </c>
      <c r="C21" s="1" t="s">
        <v>139</v>
      </c>
      <c r="D21" s="1" t="s">
        <v>138</v>
      </c>
      <c r="E21" s="1" t="s">
        <v>172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17</v>
      </c>
      <c r="B22" s="2" t="s">
        <v>141</v>
      </c>
      <c r="C22" s="1" t="s">
        <v>141</v>
      </c>
      <c r="D22" s="1" t="s">
        <v>140</v>
      </c>
      <c r="E22" s="1" t="s">
        <v>173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18</v>
      </c>
      <c r="B23" s="2" t="s">
        <v>143</v>
      </c>
      <c r="C23" s="1" t="s">
        <v>143</v>
      </c>
      <c r="D23" s="1" t="s">
        <v>142</v>
      </c>
      <c r="E23" s="1" t="s">
        <v>174</v>
      </c>
      <c r="F23" s="1" t="n">
        <v>7</v>
      </c>
      <c r="I23" s="1" t="n">
        <v>7</v>
      </c>
    </row>
    <row r="24" customFormat="false" ht="15" hidden="false" customHeight="false" outlineLevel="0" collapsed="false">
      <c r="A24" s="1" t="n">
        <v>19</v>
      </c>
      <c r="B24" s="2" t="s">
        <v>145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2" t="s">
        <v>102</v>
      </c>
      <c r="C25" s="1" t="s">
        <v>102</v>
      </c>
      <c r="D25" s="1" t="s">
        <v>103</v>
      </c>
      <c r="E25" s="1" t="s">
        <v>175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21</v>
      </c>
      <c r="B26" s="2" t="s">
        <v>147</v>
      </c>
      <c r="C26" s="1" t="s">
        <v>147</v>
      </c>
      <c r="D26" s="1" t="s">
        <v>146</v>
      </c>
      <c r="E26" s="1" t="s">
        <v>176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22</v>
      </c>
      <c r="B27" s="2" t="s">
        <v>149</v>
      </c>
      <c r="C27" s="1" t="s">
        <v>149</v>
      </c>
      <c r="D27" s="1" t="s">
        <v>148</v>
      </c>
      <c r="E27" s="1" t="s">
        <v>177</v>
      </c>
      <c r="F27" s="1" t="n">
        <v>7</v>
      </c>
      <c r="I27" s="1" t="n">
        <v>7</v>
      </c>
    </row>
    <row r="28" customFormat="false" ht="15" hidden="false" customHeight="false" outlineLevel="0" collapsed="false">
      <c r="H28" s="1" t="s">
        <v>178</v>
      </c>
      <c r="I28" s="1" t="n">
        <f aca="false">COUNTIF(I2:I27,"&gt;0")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3</v>
      </c>
      <c r="B1" s="1" t="s">
        <v>179</v>
      </c>
      <c r="C1" s="1" t="s">
        <v>85</v>
      </c>
      <c r="D1" s="1" t="s">
        <v>180</v>
      </c>
      <c r="E1" s="1" t="s">
        <v>181</v>
      </c>
      <c r="F1" s="1" t="s">
        <v>88</v>
      </c>
      <c r="G1" s="1" t="s">
        <v>89</v>
      </c>
    </row>
    <row r="2" customFormat="false" ht="15" hidden="false" customHeight="false" outlineLevel="0" collapsed="false">
      <c r="A2" s="1" t="s">
        <v>90</v>
      </c>
      <c r="B2" s="1" t="s">
        <v>182</v>
      </c>
      <c r="C2" s="1" t="s">
        <v>183</v>
      </c>
      <c r="D2" s="1" t="n">
        <v>8</v>
      </c>
      <c r="E2" s="1" t="n">
        <f aca="false">AVERAGE(D2:D3)</f>
        <v>7</v>
      </c>
      <c r="F2" s="1" t="n">
        <v>6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90</v>
      </c>
      <c r="B3" s="1" t="s">
        <v>184</v>
      </c>
      <c r="C3" s="1" t="s">
        <v>185</v>
      </c>
      <c r="D3" s="1" t="n">
        <v>6</v>
      </c>
    </row>
    <row r="4" customFormat="false" ht="15" hidden="false" customHeight="false" outlineLevel="0" collapsed="false">
      <c r="A4" s="1" t="s">
        <v>121</v>
      </c>
      <c r="B4" s="1" t="s">
        <v>186</v>
      </c>
      <c r="C4" s="1" t="s">
        <v>187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s">
        <v>99</v>
      </c>
      <c r="B5" s="1" t="s">
        <v>188</v>
      </c>
      <c r="C5" s="1" t="s">
        <v>189</v>
      </c>
      <c r="D5" s="1" t="n">
        <v>6</v>
      </c>
      <c r="G5" s="1" t="n">
        <v>6</v>
      </c>
    </row>
    <row r="6" customFormat="false" ht="15" hidden="false" customHeight="false" outlineLevel="0" collapsed="false">
      <c r="A6" s="1" t="s">
        <v>127</v>
      </c>
      <c r="B6" s="1" t="s">
        <v>190</v>
      </c>
      <c r="C6" s="1" t="s">
        <v>191</v>
      </c>
      <c r="D6" s="1" t="n">
        <v>9</v>
      </c>
      <c r="G6" s="1" t="n">
        <v>9</v>
      </c>
    </row>
    <row r="7" customFormat="false" ht="15" hidden="false" customHeight="false" outlineLevel="0" collapsed="false">
      <c r="A7" s="1" t="s">
        <v>135</v>
      </c>
      <c r="B7" s="1" t="s">
        <v>192</v>
      </c>
      <c r="C7" s="1" t="s">
        <v>193</v>
      </c>
      <c r="D7" s="1" t="n">
        <v>6</v>
      </c>
      <c r="G7" s="1" t="n">
        <v>6</v>
      </c>
    </row>
    <row r="8" customFormat="false" ht="15" hidden="false" customHeight="false" outlineLevel="0" collapsed="false">
      <c r="A8" s="1" t="s">
        <v>137</v>
      </c>
      <c r="B8" s="1" t="s">
        <v>194</v>
      </c>
      <c r="C8" s="1" t="s">
        <v>195</v>
      </c>
      <c r="D8" s="1" t="n">
        <v>8</v>
      </c>
      <c r="E8" s="1" t="n">
        <f aca="false">AVERAGE(D8:D9)</f>
        <v>7</v>
      </c>
      <c r="F8" s="1" t="n">
        <v>5</v>
      </c>
      <c r="G8" s="1" t="n">
        <f aca="false">ROUND(MAX(F8,E8),0)</f>
        <v>7</v>
      </c>
    </row>
    <row r="9" customFormat="false" ht="15" hidden="false" customHeight="false" outlineLevel="0" collapsed="false">
      <c r="A9" s="1" t="s">
        <v>137</v>
      </c>
      <c r="B9" s="1" t="s">
        <v>196</v>
      </c>
      <c r="C9" s="1" t="s">
        <v>197</v>
      </c>
      <c r="D9" s="1" t="n">
        <v>6</v>
      </c>
    </row>
    <row r="10" customFormat="false" ht="15" hidden="false" customHeight="false" outlineLevel="0" collapsed="false">
      <c r="A10" s="1" t="s">
        <v>141</v>
      </c>
      <c r="B10" s="1" t="s">
        <v>198</v>
      </c>
      <c r="C10" s="1" t="s">
        <v>199</v>
      </c>
      <c r="D10" s="1" t="n">
        <v>8</v>
      </c>
      <c r="G10" s="1" t="n">
        <v>8</v>
      </c>
    </row>
    <row r="11" customFormat="false" ht="15" hidden="false" customHeight="false" outlineLevel="0" collapsed="false">
      <c r="A11" s="1" t="s">
        <v>145</v>
      </c>
      <c r="B11" s="1" t="s">
        <v>200</v>
      </c>
      <c r="C11" s="1" t="s">
        <v>201</v>
      </c>
      <c r="D11" s="1" t="n">
        <v>6</v>
      </c>
      <c r="E11" s="1" t="n">
        <f aca="false">AVERAGE(D11:D12)</f>
        <v>4</v>
      </c>
      <c r="F11" s="1" t="n">
        <v>2</v>
      </c>
      <c r="G11" s="1" t="n">
        <f aca="false">ROUND(MAX(F11,E11),0)</f>
        <v>4</v>
      </c>
    </row>
    <row r="12" customFormat="false" ht="15" hidden="false" customHeight="false" outlineLevel="0" collapsed="false">
      <c r="A12" s="1" t="s">
        <v>145</v>
      </c>
      <c r="B12" s="1" t="s">
        <v>202</v>
      </c>
      <c r="C12" s="1" t="s">
        <v>203</v>
      </c>
      <c r="D12" s="1" t="n">
        <v>2</v>
      </c>
    </row>
    <row r="13" customFormat="false" ht="15" hidden="false" customHeight="false" outlineLevel="0" collapsed="false">
      <c r="A13" s="1" t="s">
        <v>102</v>
      </c>
      <c r="B13" s="1" t="s">
        <v>204</v>
      </c>
      <c r="C13" s="1" t="s">
        <v>205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s">
        <v>147</v>
      </c>
      <c r="B14" s="1" t="s">
        <v>186</v>
      </c>
      <c r="C14" s="1" t="s">
        <v>206</v>
      </c>
      <c r="D14" s="1" t="n">
        <v>8</v>
      </c>
      <c r="E14" s="1" t="n">
        <f aca="false">AVERAGE(D14:D15)</f>
        <v>7</v>
      </c>
      <c r="F14" s="1" t="n">
        <v>6</v>
      </c>
      <c r="G14" s="1" t="n">
        <f aca="false">ROUND(MAX(F14,E14),0)</f>
        <v>7</v>
      </c>
    </row>
    <row r="15" customFormat="false" ht="15" hidden="false" customHeight="false" outlineLevel="0" collapsed="false">
      <c r="A15" s="1" t="s">
        <v>147</v>
      </c>
      <c r="B15" s="1" t="s">
        <v>207</v>
      </c>
      <c r="C15" s="1" t="s">
        <v>208</v>
      </c>
      <c r="D15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51" activeCellId="0" sqref="I51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47"/>
    <col collapsed="false" customWidth="true" hidden="false" outlineLevel="0" max="4" min="2" style="1" width="21.34"/>
    <col collapsed="false" customWidth="true" hidden="false" outlineLevel="0" max="5" min="5" style="1" width="22.14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85</v>
      </c>
      <c r="F1" s="1" t="s">
        <v>84</v>
      </c>
      <c r="G1" s="1" t="s">
        <v>181</v>
      </c>
      <c r="H1" s="1" t="s">
        <v>88</v>
      </c>
      <c r="I1" s="1" t="s">
        <v>89</v>
      </c>
    </row>
    <row r="2" customFormat="false" ht="15" hidden="false" customHeight="false" outlineLevel="0" collapsed="false">
      <c r="A2" s="1" t="n">
        <v>1</v>
      </c>
      <c r="B2" s="2" t="s">
        <v>90</v>
      </c>
      <c r="C2" s="1" t="s">
        <v>90</v>
      </c>
      <c r="D2" s="1" t="s">
        <v>91</v>
      </c>
      <c r="E2" s="1" t="s">
        <v>209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2" t="s">
        <v>113</v>
      </c>
      <c r="C3" s="1" t="s">
        <v>113</v>
      </c>
      <c r="D3" s="1" t="s">
        <v>112</v>
      </c>
      <c r="E3" s="1" t="s">
        <v>210</v>
      </c>
      <c r="F3" s="1" t="n">
        <v>7</v>
      </c>
      <c r="I3" s="1" t="n">
        <v>7</v>
      </c>
    </row>
    <row r="4" customFormat="false" ht="15" hidden="false" customHeight="false" outlineLevel="0" collapsed="false">
      <c r="A4" s="1" t="n">
        <v>3</v>
      </c>
      <c r="B4" s="2" t="s">
        <v>115</v>
      </c>
      <c r="C4" s="1" t="s">
        <v>115</v>
      </c>
      <c r="D4" s="1" t="s">
        <v>114</v>
      </c>
      <c r="E4" s="1" t="s">
        <v>211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117</v>
      </c>
      <c r="C5" s="1" t="s">
        <v>117</v>
      </c>
      <c r="D5" s="1" t="s">
        <v>116</v>
      </c>
      <c r="E5" s="1" t="s">
        <v>212</v>
      </c>
      <c r="F5" s="1" t="n">
        <v>10</v>
      </c>
      <c r="G5" s="1" t="n">
        <f aca="false">AVERAGE(F5:F13)</f>
        <v>6.88888888888889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117</v>
      </c>
      <c r="D6" s="1" t="s">
        <v>116</v>
      </c>
      <c r="E6" s="1" t="s">
        <v>213</v>
      </c>
      <c r="F6" s="1" t="n">
        <v>9</v>
      </c>
    </row>
    <row r="7" customFormat="false" ht="15" hidden="false" customHeight="false" outlineLevel="0" collapsed="false">
      <c r="C7" s="1" t="s">
        <v>117</v>
      </c>
      <c r="D7" s="1" t="s">
        <v>116</v>
      </c>
      <c r="E7" s="1" t="s">
        <v>214</v>
      </c>
      <c r="F7" s="1" t="n">
        <v>7</v>
      </c>
    </row>
    <row r="8" customFormat="false" ht="15" hidden="false" customHeight="false" outlineLevel="0" collapsed="false">
      <c r="C8" s="1" t="s">
        <v>117</v>
      </c>
      <c r="D8" s="1" t="s">
        <v>116</v>
      </c>
      <c r="E8" s="1" t="s">
        <v>215</v>
      </c>
      <c r="F8" s="1" t="n">
        <v>7</v>
      </c>
    </row>
    <row r="9" customFormat="false" ht="15" hidden="false" customHeight="false" outlineLevel="0" collapsed="false">
      <c r="C9" s="1" t="s">
        <v>117</v>
      </c>
      <c r="D9" s="1" t="s">
        <v>116</v>
      </c>
      <c r="E9" s="1" t="s">
        <v>216</v>
      </c>
      <c r="F9" s="1" t="n">
        <v>7</v>
      </c>
    </row>
    <row r="10" customFormat="false" ht="15" hidden="false" customHeight="false" outlineLevel="0" collapsed="false">
      <c r="C10" s="1" t="s">
        <v>117</v>
      </c>
      <c r="D10" s="1" t="s">
        <v>116</v>
      </c>
      <c r="E10" s="1" t="s">
        <v>217</v>
      </c>
      <c r="F10" s="1" t="n">
        <v>7</v>
      </c>
    </row>
    <row r="11" customFormat="false" ht="15" hidden="false" customHeight="false" outlineLevel="0" collapsed="false">
      <c r="C11" s="1" t="s">
        <v>117</v>
      </c>
      <c r="D11" s="1" t="s">
        <v>116</v>
      </c>
      <c r="E11" s="1" t="s">
        <v>218</v>
      </c>
      <c r="F11" s="1" t="n">
        <v>6</v>
      </c>
    </row>
    <row r="12" customFormat="false" ht="15" hidden="false" customHeight="false" outlineLevel="0" collapsed="false">
      <c r="C12" s="1" t="s">
        <v>117</v>
      </c>
      <c r="D12" s="1" t="s">
        <v>116</v>
      </c>
      <c r="E12" s="1" t="s">
        <v>219</v>
      </c>
      <c r="F12" s="1" t="n">
        <v>5</v>
      </c>
    </row>
    <row r="13" customFormat="false" ht="15" hidden="false" customHeight="false" outlineLevel="0" collapsed="false">
      <c r="C13" s="1" t="s">
        <v>117</v>
      </c>
      <c r="D13" s="1" t="s">
        <v>116</v>
      </c>
      <c r="E13" s="1" t="s">
        <v>220</v>
      </c>
      <c r="F13" s="1" t="n">
        <v>4</v>
      </c>
    </row>
    <row r="14" customFormat="false" ht="15" hidden="false" customHeight="false" outlineLevel="0" collapsed="false">
      <c r="A14" s="1" t="n">
        <v>5</v>
      </c>
      <c r="B14" s="2" t="s">
        <v>119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6</v>
      </c>
      <c r="B15" s="2" t="s">
        <v>121</v>
      </c>
      <c r="C15" s="1" t="s">
        <v>121</v>
      </c>
      <c r="D15" s="1" t="s">
        <v>120</v>
      </c>
      <c r="E15" s="1" t="s">
        <v>221</v>
      </c>
      <c r="F15" s="1" t="n">
        <v>10</v>
      </c>
      <c r="G15" s="1" t="n">
        <f aca="false">AVERAGE(F15:F20)</f>
        <v>7.5</v>
      </c>
      <c r="H15" s="1" t="n">
        <v>9</v>
      </c>
      <c r="I15" s="1" t="n">
        <f aca="false">ROUND(MAX(H15,G15),0)</f>
        <v>9</v>
      </c>
    </row>
    <row r="16" customFormat="false" ht="15" hidden="false" customHeight="false" outlineLevel="0" collapsed="false">
      <c r="C16" s="1" t="s">
        <v>121</v>
      </c>
      <c r="D16" s="1" t="s">
        <v>120</v>
      </c>
      <c r="E16" s="1" t="s">
        <v>222</v>
      </c>
      <c r="F16" s="1" t="n">
        <v>9</v>
      </c>
    </row>
    <row r="17" customFormat="false" ht="15" hidden="false" customHeight="false" outlineLevel="0" collapsed="false">
      <c r="C17" s="1" t="s">
        <v>121</v>
      </c>
      <c r="D17" s="1" t="s">
        <v>120</v>
      </c>
      <c r="E17" s="1" t="s">
        <v>223</v>
      </c>
      <c r="F17" s="1" t="n">
        <v>8</v>
      </c>
    </row>
    <row r="18" customFormat="false" ht="15" hidden="false" customHeight="false" outlineLevel="0" collapsed="false">
      <c r="C18" s="1" t="s">
        <v>121</v>
      </c>
      <c r="D18" s="1" t="s">
        <v>120</v>
      </c>
      <c r="E18" s="1" t="s">
        <v>224</v>
      </c>
      <c r="F18" s="1" t="n">
        <v>7</v>
      </c>
    </row>
    <row r="19" customFormat="false" ht="15" hidden="false" customHeight="false" outlineLevel="0" collapsed="false">
      <c r="C19" s="1" t="s">
        <v>121</v>
      </c>
      <c r="D19" s="1" t="s">
        <v>120</v>
      </c>
      <c r="E19" s="1" t="s">
        <v>210</v>
      </c>
      <c r="F19" s="1" t="n">
        <v>6</v>
      </c>
    </row>
    <row r="20" customFormat="false" ht="15" hidden="false" customHeight="false" outlineLevel="0" collapsed="false">
      <c r="C20" s="1" t="s">
        <v>121</v>
      </c>
      <c r="D20" s="1" t="s">
        <v>120</v>
      </c>
      <c r="E20" s="1" t="s">
        <v>225</v>
      </c>
      <c r="F20" s="1" t="n">
        <v>5</v>
      </c>
    </row>
    <row r="21" customFormat="false" ht="15" hidden="false" customHeight="false" outlineLevel="0" collapsed="false">
      <c r="A21" s="1" t="n">
        <v>7</v>
      </c>
      <c r="B21" s="2" t="s">
        <v>123</v>
      </c>
      <c r="C21" s="1" t="s">
        <v>123</v>
      </c>
      <c r="D21" s="1" t="s">
        <v>122</v>
      </c>
      <c r="E21" s="1" t="s">
        <v>226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8</v>
      </c>
      <c r="B22" s="2" t="s">
        <v>125</v>
      </c>
      <c r="C22" s="1" t="s">
        <v>125</v>
      </c>
      <c r="D22" s="1" t="s">
        <v>124</v>
      </c>
      <c r="E22" s="1" t="s">
        <v>227</v>
      </c>
      <c r="F22" s="1" t="n">
        <v>10</v>
      </c>
      <c r="G22" s="1" t="n">
        <f aca="false">AVERAGE(F22:F23)</f>
        <v>9.5</v>
      </c>
      <c r="H22" s="1" t="n">
        <v>9</v>
      </c>
      <c r="I22" s="1" t="n">
        <f aca="false">ROUND(MAX(H22,G22),0)</f>
        <v>10</v>
      </c>
    </row>
    <row r="23" customFormat="false" ht="15" hidden="false" customHeight="false" outlineLevel="0" collapsed="false">
      <c r="C23" s="1" t="s">
        <v>125</v>
      </c>
      <c r="D23" s="1" t="s">
        <v>124</v>
      </c>
      <c r="E23" s="1" t="s">
        <v>228</v>
      </c>
      <c r="F23" s="1" t="n">
        <v>9</v>
      </c>
    </row>
    <row r="24" customFormat="false" ht="15" hidden="false" customHeight="false" outlineLevel="0" collapsed="false">
      <c r="A24" s="1" t="n">
        <v>9</v>
      </c>
      <c r="B24" s="2" t="s">
        <v>99</v>
      </c>
      <c r="C24" s="1" t="s">
        <v>99</v>
      </c>
      <c r="D24" s="1" t="s">
        <v>100</v>
      </c>
      <c r="E24" s="1" t="s">
        <v>229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10</v>
      </c>
      <c r="B25" s="2" t="s">
        <v>127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11</v>
      </c>
      <c r="B26" s="2" t="s">
        <v>129</v>
      </c>
      <c r="C26" s="1" t="s">
        <v>129</v>
      </c>
      <c r="D26" s="1" t="s">
        <v>128</v>
      </c>
      <c r="E26" s="1" t="s">
        <v>230</v>
      </c>
      <c r="F26" s="1" t="n">
        <v>7</v>
      </c>
      <c r="I26" s="1" t="n">
        <v>7</v>
      </c>
    </row>
    <row r="27" customFormat="false" ht="15" hidden="false" customHeight="false" outlineLevel="0" collapsed="false">
      <c r="A27" s="1" t="n">
        <v>12</v>
      </c>
      <c r="B27" s="2" t="s">
        <v>131</v>
      </c>
      <c r="C27" s="1" t="s">
        <v>131</v>
      </c>
      <c r="D27" s="1" t="s">
        <v>130</v>
      </c>
      <c r="E27" s="1" t="s">
        <v>231</v>
      </c>
      <c r="F27" s="1" t="n">
        <v>10</v>
      </c>
      <c r="G27" s="1" t="n">
        <f aca="false">AVERAGE(F27:F29)</f>
        <v>8.33333333333333</v>
      </c>
      <c r="H27" s="1" t="n">
        <v>5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131</v>
      </c>
      <c r="D28" s="1" t="s">
        <v>130</v>
      </c>
      <c r="E28" s="1" t="s">
        <v>232</v>
      </c>
      <c r="F28" s="1" t="n">
        <v>10</v>
      </c>
    </row>
    <row r="29" customFormat="false" ht="15" hidden="false" customHeight="false" outlineLevel="0" collapsed="false">
      <c r="C29" s="1" t="s">
        <v>131</v>
      </c>
      <c r="D29" s="1" t="s">
        <v>130</v>
      </c>
      <c r="E29" s="1" t="s">
        <v>233</v>
      </c>
      <c r="F29" s="1" t="n">
        <v>5</v>
      </c>
    </row>
    <row r="30" customFormat="false" ht="15" hidden="false" customHeight="false" outlineLevel="0" collapsed="false">
      <c r="A30" s="1" t="n">
        <v>13</v>
      </c>
      <c r="B30" s="2" t="s">
        <v>133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14</v>
      </c>
      <c r="B31" s="2" t="s">
        <v>135</v>
      </c>
      <c r="C31" s="1" t="s">
        <v>135</v>
      </c>
      <c r="D31" s="1" t="s">
        <v>134</v>
      </c>
      <c r="E31" s="1" t="s">
        <v>234</v>
      </c>
      <c r="F31" s="1" t="n">
        <v>10</v>
      </c>
      <c r="G31" s="1" t="n">
        <f aca="false">AVERAGE(F31:F33)</f>
        <v>8.33333333333333</v>
      </c>
      <c r="H31" s="1" t="n">
        <v>9</v>
      </c>
      <c r="I31" s="1" t="n">
        <f aca="false">ROUND(MAX(H31,G31),0)</f>
        <v>9</v>
      </c>
    </row>
    <row r="32" customFormat="false" ht="15" hidden="false" customHeight="false" outlineLevel="0" collapsed="false">
      <c r="C32" s="1" t="s">
        <v>135</v>
      </c>
      <c r="D32" s="1" t="s">
        <v>134</v>
      </c>
      <c r="E32" s="1" t="s">
        <v>235</v>
      </c>
      <c r="F32" s="1" t="n">
        <v>9</v>
      </c>
    </row>
    <row r="33" customFormat="false" ht="15" hidden="false" customHeight="false" outlineLevel="0" collapsed="false">
      <c r="C33" s="1" t="s">
        <v>135</v>
      </c>
      <c r="D33" s="1" t="s">
        <v>134</v>
      </c>
      <c r="E33" s="1" t="s">
        <v>236</v>
      </c>
      <c r="F33" s="1" t="n">
        <v>6</v>
      </c>
    </row>
    <row r="34" customFormat="false" ht="15" hidden="false" customHeight="false" outlineLevel="0" collapsed="false">
      <c r="A34" s="1" t="n">
        <v>15</v>
      </c>
      <c r="B34" s="2" t="s">
        <v>137</v>
      </c>
      <c r="C34" s="1" t="s">
        <v>137</v>
      </c>
      <c r="D34" s="1" t="s">
        <v>136</v>
      </c>
      <c r="E34" s="1" t="s">
        <v>237</v>
      </c>
      <c r="F34" s="1" t="n">
        <v>8</v>
      </c>
      <c r="I34" s="1" t="n">
        <v>8</v>
      </c>
    </row>
    <row r="35" customFormat="false" ht="15" hidden="false" customHeight="false" outlineLevel="0" collapsed="false">
      <c r="A35" s="1" t="n">
        <v>16</v>
      </c>
      <c r="B35" s="2" t="s">
        <v>139</v>
      </c>
      <c r="C35" s="1" t="s">
        <v>139</v>
      </c>
      <c r="D35" s="1" t="s">
        <v>138</v>
      </c>
      <c r="E35" s="1" t="s">
        <v>238</v>
      </c>
      <c r="F35" s="1" t="n">
        <v>8</v>
      </c>
      <c r="G35" s="1" t="n">
        <f aca="false">AVERAGE(F35:F36)</f>
        <v>7.5</v>
      </c>
      <c r="H35" s="1" t="n">
        <v>7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139</v>
      </c>
      <c r="D36" s="1" t="s">
        <v>138</v>
      </c>
      <c r="E36" s="1" t="s">
        <v>239</v>
      </c>
      <c r="F36" s="1" t="n">
        <v>7</v>
      </c>
    </row>
    <row r="37" customFormat="false" ht="15" hidden="false" customHeight="false" outlineLevel="0" collapsed="false">
      <c r="A37" s="1" t="n">
        <v>17</v>
      </c>
      <c r="B37" s="2" t="s">
        <v>141</v>
      </c>
      <c r="C37" s="1" t="s">
        <v>141</v>
      </c>
      <c r="D37" s="1" t="s">
        <v>140</v>
      </c>
      <c r="E37" s="1" t="s">
        <v>105</v>
      </c>
      <c r="F37" s="1" t="n">
        <v>8</v>
      </c>
      <c r="I37" s="1" t="n">
        <v>8</v>
      </c>
    </row>
    <row r="38" customFormat="false" ht="15" hidden="false" customHeight="false" outlineLevel="0" collapsed="false">
      <c r="A38" s="1" t="n">
        <v>18</v>
      </c>
      <c r="B38" s="2" t="s">
        <v>143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19</v>
      </c>
      <c r="B39" s="2" t="s">
        <v>145</v>
      </c>
      <c r="C39" s="1" t="s">
        <v>145</v>
      </c>
      <c r="D39" s="1" t="s">
        <v>144</v>
      </c>
      <c r="E39" s="1" t="s">
        <v>240</v>
      </c>
      <c r="F39" s="1" t="n">
        <v>7</v>
      </c>
      <c r="G39" s="1" t="n">
        <f aca="false">AVERAGE(F39:F42)</f>
        <v>6.5</v>
      </c>
      <c r="H39" s="1" t="n">
        <v>6</v>
      </c>
      <c r="I39" s="1" t="n">
        <f aca="false">ROUND(MAX(H39,G39),0)</f>
        <v>7</v>
      </c>
    </row>
    <row r="40" customFormat="false" ht="15" hidden="false" customHeight="false" outlineLevel="0" collapsed="false">
      <c r="C40" s="1" t="s">
        <v>145</v>
      </c>
      <c r="D40" s="1" t="s">
        <v>144</v>
      </c>
      <c r="E40" s="1" t="s">
        <v>241</v>
      </c>
      <c r="F40" s="1" t="n">
        <v>7</v>
      </c>
    </row>
    <row r="41" customFormat="false" ht="15" hidden="false" customHeight="false" outlineLevel="0" collapsed="false">
      <c r="C41" s="1" t="s">
        <v>145</v>
      </c>
      <c r="D41" s="1" t="s">
        <v>144</v>
      </c>
      <c r="E41" s="1" t="s">
        <v>242</v>
      </c>
      <c r="F41" s="1" t="n">
        <v>6</v>
      </c>
    </row>
    <row r="42" customFormat="false" ht="15" hidden="false" customHeight="false" outlineLevel="0" collapsed="false">
      <c r="C42" s="1" t="s">
        <v>145</v>
      </c>
      <c r="D42" s="1" t="s">
        <v>144</v>
      </c>
      <c r="E42" s="1" t="s">
        <v>242</v>
      </c>
      <c r="F42" s="1" t="n">
        <v>6</v>
      </c>
    </row>
    <row r="43" customFormat="false" ht="15" hidden="false" customHeight="false" outlineLevel="0" collapsed="false">
      <c r="A43" s="1" t="n">
        <v>20</v>
      </c>
      <c r="B43" s="2" t="s">
        <v>102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21</v>
      </c>
      <c r="B44" s="2" t="s">
        <v>147</v>
      </c>
      <c r="C44" s="1" t="s">
        <v>147</v>
      </c>
      <c r="D44" s="1" t="s">
        <v>146</v>
      </c>
      <c r="E44" s="1" t="s">
        <v>243</v>
      </c>
      <c r="F44" s="1" t="n">
        <v>8</v>
      </c>
      <c r="I44" s="1" t="n">
        <v>8</v>
      </c>
    </row>
    <row r="45" customFormat="false" ht="15" hidden="false" customHeight="false" outlineLevel="0" collapsed="false">
      <c r="A45" s="1" t="n">
        <v>22</v>
      </c>
      <c r="B45" s="2" t="s">
        <v>149</v>
      </c>
      <c r="C45" s="1" t="s">
        <v>149</v>
      </c>
      <c r="D45" s="1" t="s">
        <v>148</v>
      </c>
      <c r="E45" s="1" t="s">
        <v>244</v>
      </c>
      <c r="F45" s="1" t="n">
        <v>10</v>
      </c>
      <c r="G45" s="1" t="n">
        <f aca="false">AVERAGE(F45:F51)</f>
        <v>7.57142857142857</v>
      </c>
      <c r="H45" s="1" t="n">
        <v>9</v>
      </c>
      <c r="I45" s="1" t="n">
        <f aca="false">ROUND(MAX(H45,G45),0)</f>
        <v>9</v>
      </c>
    </row>
    <row r="46" customFormat="false" ht="15" hidden="false" customHeight="false" outlineLevel="0" collapsed="false">
      <c r="C46" s="1" t="s">
        <v>149</v>
      </c>
      <c r="D46" s="1" t="s">
        <v>148</v>
      </c>
      <c r="E46" s="1" t="s">
        <v>245</v>
      </c>
      <c r="F46" s="1" t="n">
        <v>9</v>
      </c>
    </row>
    <row r="47" customFormat="false" ht="15" hidden="false" customHeight="false" outlineLevel="0" collapsed="false">
      <c r="C47" s="1" t="s">
        <v>149</v>
      </c>
      <c r="D47" s="1" t="s">
        <v>148</v>
      </c>
      <c r="E47" s="1" t="s">
        <v>246</v>
      </c>
      <c r="F47" s="1" t="n">
        <v>9</v>
      </c>
    </row>
    <row r="48" customFormat="false" ht="15" hidden="false" customHeight="false" outlineLevel="0" collapsed="false">
      <c r="C48" s="1" t="s">
        <v>149</v>
      </c>
      <c r="D48" s="1" t="s">
        <v>148</v>
      </c>
      <c r="E48" s="1" t="s">
        <v>247</v>
      </c>
      <c r="F48" s="1" t="n">
        <v>7</v>
      </c>
    </row>
    <row r="49" customFormat="false" ht="15" hidden="false" customHeight="false" outlineLevel="0" collapsed="false">
      <c r="C49" s="1" t="s">
        <v>149</v>
      </c>
      <c r="D49" s="1" t="s">
        <v>148</v>
      </c>
      <c r="E49" s="1" t="s">
        <v>248</v>
      </c>
      <c r="F49" s="1" t="n">
        <v>7</v>
      </c>
    </row>
    <row r="50" customFormat="false" ht="15" hidden="false" customHeight="false" outlineLevel="0" collapsed="false">
      <c r="C50" s="1" t="s">
        <v>149</v>
      </c>
      <c r="D50" s="1" t="s">
        <v>148</v>
      </c>
      <c r="E50" s="1" t="s">
        <v>249</v>
      </c>
      <c r="F50" s="1" t="n">
        <v>6</v>
      </c>
    </row>
    <row r="51" customFormat="false" ht="15" hidden="false" customHeight="false" outlineLevel="0" collapsed="false">
      <c r="C51" s="1" t="s">
        <v>149</v>
      </c>
      <c r="D51" s="1" t="s">
        <v>148</v>
      </c>
      <c r="E51" s="1" t="s">
        <v>250</v>
      </c>
      <c r="F51" s="1" t="n">
        <v>5</v>
      </c>
    </row>
    <row r="52" customFormat="false" ht="15" hidden="false" customHeight="false" outlineLevel="0" collapsed="false">
      <c r="H52" s="1" t="s">
        <v>251</v>
      </c>
      <c r="I52" s="1" t="n">
        <f aca="false">COUNTIF(I2:I51,"&gt;0")</f>
        <v>22</v>
      </c>
    </row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22"/>
    <col collapsed="false" customWidth="true" hidden="false" outlineLevel="0" max="3" min="2" style="1" width="20.33"/>
    <col collapsed="false" customWidth="true" hidden="false" outlineLevel="0" max="4" min="4" style="1" width="19.88"/>
    <col collapsed="false" customWidth="true" hidden="false" outlineLevel="0" max="5" min="5" style="1" width="21.52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85</v>
      </c>
      <c r="F1" s="1" t="s">
        <v>84</v>
      </c>
    </row>
    <row r="2" customFormat="false" ht="15" hidden="false" customHeight="false" outlineLevel="0" collapsed="false">
      <c r="A2" s="1" t="n">
        <v>1</v>
      </c>
      <c r="B2" s="2" t="s">
        <v>90</v>
      </c>
      <c r="C2" s="1" t="s">
        <v>90</v>
      </c>
      <c r="D2" s="1" t="s">
        <v>91</v>
      </c>
      <c r="E2" s="1" t="s">
        <v>252</v>
      </c>
      <c r="F2" s="1" t="n">
        <v>7.5</v>
      </c>
    </row>
    <row r="3" customFormat="false" ht="15" hidden="false" customHeight="false" outlineLevel="0" collapsed="false">
      <c r="A3" s="1" t="n">
        <v>2</v>
      </c>
      <c r="B3" s="2" t="s">
        <v>113</v>
      </c>
      <c r="C3" s="1" t="s">
        <v>113</v>
      </c>
      <c r="D3" s="1" t="s">
        <v>112</v>
      </c>
      <c r="E3" s="1" t="s">
        <v>253</v>
      </c>
      <c r="F3" s="1" t="n">
        <v>5.5</v>
      </c>
    </row>
    <row r="4" customFormat="false" ht="15" hidden="false" customHeight="false" outlineLevel="0" collapsed="false">
      <c r="A4" s="1" t="n">
        <v>3</v>
      </c>
      <c r="B4" s="2" t="s">
        <v>115</v>
      </c>
      <c r="C4" s="1" t="s">
        <v>115</v>
      </c>
      <c r="D4" s="1" t="s">
        <v>114</v>
      </c>
      <c r="E4" s="1" t="s">
        <v>254</v>
      </c>
      <c r="F4" s="1" t="n">
        <v>7.5</v>
      </c>
    </row>
    <row r="5" customFormat="false" ht="15" hidden="false" customHeight="false" outlineLevel="0" collapsed="false">
      <c r="A5" s="1" t="n">
        <v>4</v>
      </c>
      <c r="B5" s="2" t="s">
        <v>117</v>
      </c>
      <c r="C5" s="1" t="s">
        <v>117</v>
      </c>
      <c r="D5" s="1" t="s">
        <v>116</v>
      </c>
      <c r="E5" s="1" t="s">
        <v>255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119</v>
      </c>
      <c r="C6" s="1" t="s">
        <v>119</v>
      </c>
      <c r="D6" s="1" t="s">
        <v>118</v>
      </c>
      <c r="E6" s="1" t="s">
        <v>256</v>
      </c>
      <c r="F6" s="1" t="n">
        <v>5</v>
      </c>
    </row>
    <row r="7" customFormat="false" ht="15" hidden="false" customHeight="false" outlineLevel="0" collapsed="false">
      <c r="A7" s="1" t="n">
        <v>6</v>
      </c>
      <c r="B7" s="2" t="s">
        <v>121</v>
      </c>
      <c r="C7" s="1" t="s">
        <v>121</v>
      </c>
      <c r="D7" s="1" t="s">
        <v>120</v>
      </c>
      <c r="E7" s="1" t="s">
        <v>257</v>
      </c>
      <c r="F7" s="1" t="n">
        <v>7.5</v>
      </c>
    </row>
    <row r="8" customFormat="false" ht="15" hidden="false" customHeight="false" outlineLevel="0" collapsed="false">
      <c r="A8" s="1" t="n">
        <v>7</v>
      </c>
      <c r="B8" s="2" t="s">
        <v>123</v>
      </c>
      <c r="C8" s="1" t="s">
        <v>123</v>
      </c>
      <c r="D8" s="1" t="s">
        <v>122</v>
      </c>
      <c r="E8" s="1" t="s">
        <v>258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125</v>
      </c>
      <c r="C9" s="1" t="s">
        <v>125</v>
      </c>
      <c r="D9" s="1" t="s">
        <v>124</v>
      </c>
      <c r="E9" s="1" t="s">
        <v>259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99</v>
      </c>
      <c r="C10" s="1" t="s">
        <v>99</v>
      </c>
      <c r="D10" s="1" t="s">
        <v>100</v>
      </c>
      <c r="E10" s="1" t="s">
        <v>260</v>
      </c>
      <c r="F10" s="1" t="n">
        <v>7.5</v>
      </c>
    </row>
    <row r="11" customFormat="false" ht="15" hidden="false" customHeight="false" outlineLevel="0" collapsed="false">
      <c r="A11" s="1" t="n">
        <v>10</v>
      </c>
      <c r="B11" s="2" t="s">
        <v>127</v>
      </c>
      <c r="C11" s="1" t="s">
        <v>127</v>
      </c>
      <c r="D11" s="1" t="s">
        <v>126</v>
      </c>
      <c r="E11" s="1" t="s">
        <v>261</v>
      </c>
      <c r="F11" s="1" t="n">
        <v>10</v>
      </c>
    </row>
    <row r="12" customFormat="false" ht="15" hidden="false" customHeight="false" outlineLevel="0" collapsed="false">
      <c r="A12" s="1" t="n">
        <v>11</v>
      </c>
      <c r="B12" s="2" t="s">
        <v>129</v>
      </c>
      <c r="C12" s="1" t="s">
        <v>129</v>
      </c>
      <c r="D12" s="1" t="s">
        <v>128</v>
      </c>
      <c r="E12" s="1" t="s">
        <v>262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131</v>
      </c>
      <c r="C13" s="1" t="s">
        <v>131</v>
      </c>
      <c r="D13" s="1" t="s">
        <v>130</v>
      </c>
      <c r="E13" s="1" t="s">
        <v>263</v>
      </c>
      <c r="F13" s="1" t="n">
        <v>7.5</v>
      </c>
    </row>
    <row r="14" customFormat="false" ht="15" hidden="false" customHeight="false" outlineLevel="0" collapsed="false">
      <c r="A14" s="1" t="n">
        <v>13</v>
      </c>
      <c r="B14" s="2" t="s">
        <v>133</v>
      </c>
      <c r="C14" s="1" t="s">
        <v>133</v>
      </c>
      <c r="D14" s="1" t="s">
        <v>132</v>
      </c>
      <c r="E14" s="1" t="s">
        <v>264</v>
      </c>
      <c r="F14" s="1" t="n">
        <v>5</v>
      </c>
    </row>
    <row r="15" customFormat="false" ht="15" hidden="false" customHeight="false" outlineLevel="0" collapsed="false">
      <c r="A15" s="1" t="n">
        <v>14</v>
      </c>
      <c r="B15" s="2" t="s">
        <v>135</v>
      </c>
      <c r="C15" s="1" t="s">
        <v>135</v>
      </c>
      <c r="D15" s="1" t="s">
        <v>134</v>
      </c>
      <c r="E15" s="1" t="s">
        <v>265</v>
      </c>
      <c r="F15" s="1" t="n">
        <v>5</v>
      </c>
    </row>
    <row r="16" customFormat="false" ht="15" hidden="false" customHeight="false" outlineLevel="0" collapsed="false">
      <c r="A16" s="1" t="n">
        <v>15</v>
      </c>
      <c r="B16" s="2" t="s">
        <v>137</v>
      </c>
      <c r="C16" s="1" t="s">
        <v>137</v>
      </c>
      <c r="D16" s="1" t="s">
        <v>136</v>
      </c>
      <c r="E16" s="1" t="s">
        <v>266</v>
      </c>
      <c r="F16" s="1" t="n">
        <v>10</v>
      </c>
    </row>
    <row r="17" customFormat="false" ht="15" hidden="false" customHeight="false" outlineLevel="0" collapsed="false">
      <c r="A17" s="1" t="n">
        <v>16</v>
      </c>
      <c r="B17" s="2" t="s">
        <v>139</v>
      </c>
      <c r="C17" s="1" t="s">
        <v>139</v>
      </c>
      <c r="D17" s="1" t="s">
        <v>138</v>
      </c>
      <c r="E17" s="1" t="s">
        <v>267</v>
      </c>
      <c r="F17" s="1" t="n">
        <v>7.5</v>
      </c>
    </row>
    <row r="18" customFormat="false" ht="15" hidden="false" customHeight="false" outlineLevel="0" collapsed="false">
      <c r="A18" s="1" t="n">
        <v>17</v>
      </c>
      <c r="B18" s="2" t="s">
        <v>141</v>
      </c>
      <c r="C18" s="1" t="s">
        <v>141</v>
      </c>
      <c r="D18" s="1" t="s">
        <v>140</v>
      </c>
      <c r="E18" s="1" t="s">
        <v>268</v>
      </c>
      <c r="F18" s="1" t="n">
        <v>2.5</v>
      </c>
    </row>
    <row r="19" customFormat="false" ht="15" hidden="false" customHeight="false" outlineLevel="0" collapsed="false">
      <c r="A19" s="1" t="n">
        <v>18</v>
      </c>
      <c r="B19" s="2" t="s">
        <v>143</v>
      </c>
      <c r="C19" s="1" t="s">
        <v>143</v>
      </c>
      <c r="D19" s="1" t="s">
        <v>142</v>
      </c>
      <c r="E19" s="1" t="s">
        <v>269</v>
      </c>
      <c r="F19" s="1" t="n">
        <v>5</v>
      </c>
    </row>
    <row r="20" customFormat="false" ht="15" hidden="false" customHeight="false" outlineLevel="0" collapsed="false">
      <c r="A20" s="1" t="n">
        <v>19</v>
      </c>
      <c r="B20" s="2" t="s">
        <v>145</v>
      </c>
      <c r="C20" s="1" t="s">
        <v>145</v>
      </c>
      <c r="D20" s="1" t="s">
        <v>144</v>
      </c>
      <c r="E20" s="1" t="s">
        <v>270</v>
      </c>
      <c r="F20" s="1" t="n">
        <v>2.5</v>
      </c>
    </row>
    <row r="21" customFormat="false" ht="15" hidden="false" customHeight="false" outlineLevel="0" collapsed="false">
      <c r="A21" s="1" t="n">
        <v>20</v>
      </c>
      <c r="B21" s="2" t="s">
        <v>102</v>
      </c>
      <c r="C21" s="1" t="s">
        <v>102</v>
      </c>
      <c r="D21" s="1" t="s">
        <v>103</v>
      </c>
      <c r="E21" s="1" t="s">
        <v>271</v>
      </c>
      <c r="F21" s="1" t="n">
        <v>7.5</v>
      </c>
    </row>
    <row r="22" customFormat="false" ht="15" hidden="false" customHeight="false" outlineLevel="0" collapsed="false">
      <c r="A22" s="1" t="n">
        <v>21</v>
      </c>
      <c r="B22" s="2" t="s">
        <v>147</v>
      </c>
      <c r="C22" s="1" t="s">
        <v>147</v>
      </c>
      <c r="D22" s="1" t="s">
        <v>146</v>
      </c>
      <c r="E22" s="1" t="s">
        <v>272</v>
      </c>
      <c r="F22" s="1" t="n">
        <v>10</v>
      </c>
    </row>
    <row r="23" customFormat="false" ht="15" hidden="false" customHeight="false" outlineLevel="0" collapsed="false">
      <c r="A23" s="1" t="n">
        <v>22</v>
      </c>
      <c r="B23" s="2" t="s">
        <v>149</v>
      </c>
      <c r="C23" s="1" t="s">
        <v>149</v>
      </c>
      <c r="D23" s="1" t="s">
        <v>148</v>
      </c>
      <c r="E23" s="1" t="s">
        <v>273</v>
      </c>
      <c r="F23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9.5078125" defaultRowHeight="12.8" zeroHeight="false" outlineLevelRow="0" outlineLevelCol="0"/>
  <sheetData>
    <row r="1" customFormat="false" ht="15" hidden="false" customHeight="false" outlineLevel="0" collapsed="false">
      <c r="A1" s="1" t="s">
        <v>274</v>
      </c>
    </row>
    <row r="2" customFormat="false" ht="15" hidden="false" customHeight="false" outlineLevel="0" collapsed="false">
      <c r="A2" s="1" t="s">
        <v>275</v>
      </c>
    </row>
    <row r="3" customFormat="false" ht="15" hidden="false" customHeight="false" outlineLevel="0" collapsed="false">
      <c r="A3" s="1" t="s">
        <v>276</v>
      </c>
      <c r="B3" s="1" t="s">
        <v>277</v>
      </c>
      <c r="C3" s="1" t="s">
        <v>83</v>
      </c>
    </row>
    <row r="4" customFormat="false" ht="15" hidden="false" customHeight="false" outlineLevel="0" collapsed="false">
      <c r="A4" s="1" t="n">
        <v>9</v>
      </c>
      <c r="B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2026-05-06T17:48:30Z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