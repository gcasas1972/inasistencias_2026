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sit vuello" sheetId="3" state="visible" r:id="rId5"/>
    <sheet name="2-indicador" sheetId="4" state="visible" r:id="rId6"/>
    <sheet name="3-Cabinas" sheetId="5" state="visible" r:id="rId7"/>
    <sheet name="6-inst De abordo" sheetId="6" state="visible" r:id="rId8"/>
    <sheet name="Evaluaciob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<sst xmlns="http://schemas.openxmlformats.org/spreadsheetml/2006/main" count="713" uniqueCount="112">
  <si>
    <t xml:space="preserve">nro</t>
  </si>
  <si>
    <t xml:space="preserve">Nombre</t>
  </si>
  <si>
    <t xml:space="preserve">Apellido(s)</t>
  </si>
  <si>
    <t xml:space="preserve">Dirección de correo</t>
  </si>
  <si>
    <t xml:space="preserve">grupo</t>
  </si>
  <si>
    <t xml:space="preserve">obs</t>
  </si>
  <si>
    <t xml:space="preserve">presentes</t>
  </si>
  <si>
    <t xml:space="preserve">ausentes</t>
  </si>
  <si>
    <t xml:space="preserve">total</t>
  </si>
  <si>
    <t xml:space="preserve">nota</t>
  </si>
  <si>
    <t xml:space="preserve">Joaquin</t>
  </si>
  <si>
    <t xml:space="preserve">Alcaraz</t>
  </si>
  <si>
    <t xml:space="preserve">P</t>
  </si>
  <si>
    <t xml:space="preserve">A</t>
  </si>
  <si>
    <t xml:space="preserve">Facundo</t>
  </si>
  <si>
    <t xml:space="preserve">Arredondo</t>
  </si>
  <si>
    <t xml:space="preserve">Agustin</t>
  </si>
  <si>
    <t xml:space="preserve">Coronel</t>
  </si>
  <si>
    <t xml:space="preserve">Recursante</t>
  </si>
  <si>
    <t xml:space="preserve">Reursante</t>
  </si>
  <si>
    <t xml:space="preserve">Santiago</t>
  </si>
  <si>
    <t xml:space="preserve">Diaz</t>
  </si>
  <si>
    <t xml:space="preserve">Candelaria</t>
  </si>
  <si>
    <t xml:space="preserve">Farias Ruiz</t>
  </si>
  <si>
    <t xml:space="preserve">Oriana</t>
  </si>
  <si>
    <t xml:space="preserve">Francolino</t>
  </si>
  <si>
    <t xml:space="preserve">Juan</t>
  </si>
  <si>
    <t xml:space="preserve">Giraldo</t>
  </si>
  <si>
    <t xml:space="preserve">Hoyos  (recur)</t>
  </si>
  <si>
    <t xml:space="preserve">Demain</t>
  </si>
  <si>
    <t xml:space="preserve">Juncal</t>
  </si>
  <si>
    <t xml:space="preserve">Geremias</t>
  </si>
  <si>
    <t xml:space="preserve">Lesme</t>
  </si>
  <si>
    <t xml:space="preserve">Laionel</t>
  </si>
  <si>
    <t xml:space="preserve">Loaiza</t>
  </si>
  <si>
    <t xml:space="preserve">Thiago</t>
  </si>
  <si>
    <t xml:space="preserve">Lucero</t>
  </si>
  <si>
    <t xml:space="preserve">Lujan</t>
  </si>
  <si>
    <t xml:space="preserve">Tahiel</t>
  </si>
  <si>
    <t xml:space="preserve">MANRIQUE</t>
  </si>
  <si>
    <t xml:space="preserve">Martinez del Pino(recur)</t>
  </si>
  <si>
    <t xml:space="preserve">Fabricio</t>
  </si>
  <si>
    <t xml:space="preserve">Martinez Ruiz dias</t>
  </si>
  <si>
    <t xml:space="preserve">Medina (reucr)</t>
  </si>
  <si>
    <t xml:space="preserve">Franco</t>
  </si>
  <si>
    <t xml:space="preserve">Melin</t>
  </si>
  <si>
    <t xml:space="preserve">Uma</t>
  </si>
  <si>
    <t xml:space="preserve">Olivera</t>
  </si>
  <si>
    <t xml:space="preserve">Delfina</t>
  </si>
  <si>
    <t xml:space="preserve">Ortega</t>
  </si>
  <si>
    <t xml:space="preserve">Alejo</t>
  </si>
  <si>
    <t xml:space="preserve">Palermo</t>
  </si>
  <si>
    <t xml:space="preserve">Mateo</t>
  </si>
  <si>
    <t xml:space="preserve">Prado</t>
  </si>
  <si>
    <t xml:space="preserve">Ivan</t>
  </si>
  <si>
    <t xml:space="preserve">Ravanelli</t>
  </si>
  <si>
    <t xml:space="preserve">Romero</t>
  </si>
  <si>
    <t xml:space="preserve">Matias</t>
  </si>
  <si>
    <t xml:space="preserve">Saigua</t>
  </si>
  <si>
    <t xml:space="preserve">Giuliana</t>
  </si>
  <si>
    <t xml:space="preserve">Videla</t>
  </si>
  <si>
    <t xml:space="preserve">p</t>
  </si>
  <si>
    <t xml:space="preserve">Zarraga (recur)</t>
  </si>
  <si>
    <t xml:space="preserve">SANTIBAÑEZ RAMÍREZ
</t>
  </si>
  <si>
    <t xml:space="preserve">nombres</t>
  </si>
  <si>
    <t xml:space="preserve">apellido</t>
  </si>
  <si>
    <t xml:space="preserve">carpeta</t>
  </si>
  <si>
    <t xml:space="preserve">Asistenia</t>
  </si>
  <si>
    <t xml:space="preserve">1-sistVuelo</t>
  </si>
  <si>
    <t xml:space="preserve">2-indicador</t>
  </si>
  <si>
    <t xml:space="preserve">3-cabinas</t>
  </si>
  <si>
    <t xml:space="preserve">6-inst de abordo</t>
  </si>
  <si>
    <t xml:space="preserve">Evaluacion</t>
  </si>
  <si>
    <t xml:space="preserve">valoracion</t>
  </si>
  <si>
    <t xml:space="preserve">Investigacion</t>
  </si>
  <si>
    <t xml:space="preserve">Manrique</t>
  </si>
  <si>
    <t xml:space="preserve">Martinez Ruiz Diaz</t>
  </si>
  <si>
    <t xml:space="preserve">Calificación/10,00</t>
  </si>
  <si>
    <t xml:space="preserve">promedio</t>
  </si>
  <si>
    <t xml:space="preserve">segunda</t>
  </si>
  <si>
    <t xml:space="preserve">final</t>
  </si>
  <si>
    <t xml:space="preserve">ALCARAZ</t>
  </si>
  <si>
    <t xml:space="preserve">ARREDONDO</t>
  </si>
  <si>
    <t xml:space="preserve">DIAZ</t>
  </si>
  <si>
    <t xml:space="preserve">FARIAS RUIZ</t>
  </si>
  <si>
    <t xml:space="preserve">FRANCOLINO</t>
  </si>
  <si>
    <t xml:space="preserve">GIRALDO GONZALEZ</t>
  </si>
  <si>
    <t xml:space="preserve">Hoyos</t>
  </si>
  <si>
    <t xml:space="preserve">JUNCAL</t>
  </si>
  <si>
    <t xml:space="preserve">LESME</t>
  </si>
  <si>
    <t xml:space="preserve">LUCERO</t>
  </si>
  <si>
    <t xml:space="preserve">LUJAN</t>
  </si>
  <si>
    <t xml:space="preserve">MANRIQUE DI FLORIO</t>
  </si>
  <si>
    <t xml:space="preserve">MARTINEZ DEL PINO (recur)</t>
  </si>
  <si>
    <t xml:space="preserve">MARTINEZ DEL PINO</t>
  </si>
  <si>
    <t xml:space="preserve">Martinez Ruiz Dias</t>
  </si>
  <si>
    <t xml:space="preserve">MARTINEZ RUIZ DIAZ</t>
  </si>
  <si>
    <t xml:space="preserve">MEDINA</t>
  </si>
  <si>
    <t xml:space="preserve">MELIN</t>
  </si>
  <si>
    <t xml:space="preserve">OLIVERA</t>
  </si>
  <si>
    <t xml:space="preserve">ORTEGA</t>
  </si>
  <si>
    <t xml:space="preserve">PALERMO TEJADA</t>
  </si>
  <si>
    <t xml:space="preserve">PRADO</t>
  </si>
  <si>
    <t xml:space="preserve">SAIGUA FRANCO</t>
  </si>
  <si>
    <t xml:space="preserve">VIDELA</t>
  </si>
  <si>
    <t xml:space="preserve">ZARRAGA</t>
  </si>
  <si>
    <t xml:space="preserve">CORONEL</t>
  </si>
  <si>
    <t xml:space="preserve">LOAIZA</t>
  </si>
  <si>
    <t xml:space="preserve">Martinez Ruiz Riaz</t>
  </si>
  <si>
    <t xml:space="preserve">toal</t>
  </si>
  <si>
    <t xml:space="preserve">RAVANELLI</t>
  </si>
  <si>
    <t xml:space="preserve">SANTIBAÑEZ RAMÍREZ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</si>
</sst>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3" activeCellId="1" sqref="L3:L25 D13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false" outlineLevel="0" max="4" min="4" style="1" width="35.71"/>
    <col collapsed="false" customWidth="false" hidden="false" outlineLevel="0" max="5" min="5" style="1" width="8.86"/>
    <col collapsed="false" customWidth="true" hidden="false" outlineLevel="0" max="985" min="985" style="1" width="9.33"/>
    <col collapsed="false" customWidth="true" hidden="false" outlineLevel="0" max="16384" min="16346" style="1" width="10.58"/>
  </cols>
  <sheetData>
    <row r="1" customFormat="false" ht="15" hidden="false" customHeight="false" outlineLevel="0" collapsed="false">
      <c r="B1" s="2"/>
      <c r="C1" s="2"/>
      <c r="D1" s="2"/>
      <c r="E1" s="2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n">
        <v>46189</v>
      </c>
      <c r="G2" s="2" t="s">
        <v>5</v>
      </c>
      <c r="H2" s="3" t="n">
        <v>46111</v>
      </c>
      <c r="I2" s="3" t="s">
        <v>5</v>
      </c>
      <c r="J2" s="3" t="n">
        <v>46118</v>
      </c>
      <c r="K2" s="3" t="n">
        <v>46125</v>
      </c>
      <c r="L2" s="3" t="n">
        <v>46132</v>
      </c>
      <c r="M2" s="3" t="n">
        <v>46139</v>
      </c>
      <c r="N2" s="3" t="n">
        <v>46146</v>
      </c>
      <c r="O2" s="3" t="n">
        <v>46160</v>
      </c>
      <c r="P2" s="3" t="n">
        <v>46167</v>
      </c>
      <c r="Q2" s="3" t="n">
        <v>46174</v>
      </c>
      <c r="R2" s="3" t="s">
        <v>6</v>
      </c>
      <c r="S2" s="3" t="s">
        <v>7</v>
      </c>
      <c r="T2" s="3" t="s">
        <v>8</v>
      </c>
      <c r="U2" s="3" t="s">
        <v>9</v>
      </c>
      <c r="V2" s="3" t="n">
        <v>46181</v>
      </c>
      <c r="W2" s="3" t="n">
        <v>46188</v>
      </c>
      <c r="X2" s="3" t="n">
        <v>46195</v>
      </c>
      <c r="Y2" s="3" t="n">
        <v>46202</v>
      </c>
      <c r="Z2" s="3" t="n">
        <v>46209</v>
      </c>
      <c r="AA2" s="3" t="n">
        <v>46216</v>
      </c>
      <c r="AB2" s="3" t="n">
        <v>46223</v>
      </c>
      <c r="AC2" s="3" t="n">
        <v>46230</v>
      </c>
      <c r="AD2" s="3" t="n">
        <v>46237</v>
      </c>
      <c r="AE2" s="3" t="n">
        <v>46244</v>
      </c>
      <c r="AF2" s="3" t="n">
        <v>46251</v>
      </c>
      <c r="AG2" s="3" t="n">
        <v>46258</v>
      </c>
      <c r="AH2" s="3" t="n">
        <v>46265</v>
      </c>
      <c r="AI2" s="3" t="n">
        <v>46272</v>
      </c>
      <c r="AJ2" s="3" t="n">
        <v>46279</v>
      </c>
      <c r="AK2" s="3" t="n">
        <v>46286</v>
      </c>
      <c r="AL2" s="3" t="n">
        <v>46293</v>
      </c>
      <c r="AM2" s="3" t="n">
        <v>46300</v>
      </c>
      <c r="AN2" s="3" t="n">
        <v>46307</v>
      </c>
      <c r="AO2" s="3" t="n">
        <v>46314</v>
      </c>
      <c r="AP2" s="3" t="n">
        <v>46321</v>
      </c>
      <c r="AQ2" s="3" t="n">
        <v>46328</v>
      </c>
      <c r="AR2" s="3" t="n">
        <v>46335</v>
      </c>
      <c r="AS2" s="3" t="n">
        <v>46342</v>
      </c>
      <c r="AT2" s="3" t="n">
        <v>46349</v>
      </c>
      <c r="AU2" s="3" t="n">
        <v>46356</v>
      </c>
      <c r="AV2" s="3" t="n">
        <v>46363</v>
      </c>
      <c r="AW2" s="3" t="n">
        <v>46370</v>
      </c>
      <c r="AX2" s="3" t="n">
        <v>46377</v>
      </c>
      <c r="AY2" s="3" t="n">
        <v>46384</v>
      </c>
    </row>
    <row r="3" customFormat="false" ht="15" hidden="false" customHeight="false" outlineLevel="0" collapsed="false">
      <c r="A3" s="1" t="n">
        <v>1</v>
      </c>
      <c r="B3" s="2" t="s">
        <v>10</v>
      </c>
      <c r="C3" s="2" t="s">
        <v>11</v>
      </c>
      <c r="D3" s="2"/>
      <c r="E3" s="2" t="n">
        <v>4</v>
      </c>
      <c r="F3" s="2" t="s">
        <v>12</v>
      </c>
      <c r="H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12</v>
      </c>
      <c r="O3" s="2" t="s">
        <v>13</v>
      </c>
      <c r="Q3" s="2" t="s">
        <v>12</v>
      </c>
      <c r="R3" s="2" t="n">
        <f aca="false">COUNTIF(F3:Q3,"P")</f>
        <v>8</v>
      </c>
      <c r="S3" s="2" t="n">
        <f aca="false">COUNTIF(F3:Q3,"A")</f>
        <v>1</v>
      </c>
      <c r="T3" s="2" t="n">
        <f aca="false">SUM(R3:S3)</f>
        <v>9</v>
      </c>
      <c r="U3" s="2" t="n">
        <f aca="false">ROUND(R3*10/T3,0)</f>
        <v>9</v>
      </c>
      <c r="V3" s="2" t="s">
        <v>12</v>
      </c>
    </row>
    <row r="4" customFormat="false" ht="15" hidden="false" customHeight="false" outlineLevel="0" collapsed="false">
      <c r="A4" s="1" t="n">
        <v>2</v>
      </c>
      <c r="B4" s="2" t="s">
        <v>14</v>
      </c>
      <c r="C4" s="2" t="s">
        <v>15</v>
      </c>
      <c r="D4" s="2"/>
      <c r="E4" s="2" t="n">
        <v>2</v>
      </c>
      <c r="F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O4" s="2" t="s">
        <v>12</v>
      </c>
      <c r="Q4" s="2" t="s">
        <v>12</v>
      </c>
      <c r="R4" s="2" t="n">
        <f aca="false">COUNTIF(F4:Q4,"P")</f>
        <v>9</v>
      </c>
      <c r="S4" s="2" t="n">
        <f aca="false">COUNTIF(F4:Q4,"A")</f>
        <v>0</v>
      </c>
      <c r="T4" s="2" t="n">
        <f aca="false">SUM(R4:S4)</f>
        <v>9</v>
      </c>
      <c r="U4" s="2" t="n">
        <f aca="false">ROUND(R4*10/T4,0)</f>
        <v>10</v>
      </c>
      <c r="V4" s="2" t="s">
        <v>13</v>
      </c>
    </row>
    <row r="5" customFormat="false" ht="15" hidden="false" customHeight="false" outlineLevel="0" collapsed="false">
      <c r="A5" s="1" t="n">
        <v>3</v>
      </c>
      <c r="B5" s="2" t="s">
        <v>16</v>
      </c>
      <c r="C5" s="2" t="s">
        <v>17</v>
      </c>
      <c r="D5" s="2"/>
      <c r="E5" s="2" t="n">
        <v>2</v>
      </c>
      <c r="F5" s="2" t="s">
        <v>13</v>
      </c>
      <c r="G5" s="2" t="s">
        <v>18</v>
      </c>
      <c r="H5" s="2" t="s">
        <v>13</v>
      </c>
      <c r="I5" s="2" t="s">
        <v>19</v>
      </c>
      <c r="J5" s="2" t="s">
        <v>13</v>
      </c>
      <c r="K5" s="2" t="s">
        <v>12</v>
      </c>
      <c r="L5" s="2" t="s">
        <v>13</v>
      </c>
      <c r="M5" s="2" t="s">
        <v>13</v>
      </c>
      <c r="N5" s="2" t="s">
        <v>13</v>
      </c>
      <c r="O5" s="2" t="s">
        <v>12</v>
      </c>
      <c r="Q5" s="2" t="s">
        <v>12</v>
      </c>
      <c r="R5" s="2" t="n">
        <f aca="false">COUNTIF(F5:Q5,"P")</f>
        <v>3</v>
      </c>
      <c r="S5" s="2" t="n">
        <f aca="false">COUNTIF(F5:Q5,"A")</f>
        <v>6</v>
      </c>
      <c r="T5" s="2" t="n">
        <f aca="false">SUM(R5:S5)</f>
        <v>9</v>
      </c>
      <c r="U5" s="2" t="n">
        <f aca="false">ROUND(R5*10/T5,0)</f>
        <v>3</v>
      </c>
      <c r="V5" s="2" t="s">
        <v>13</v>
      </c>
    </row>
    <row r="6" customFormat="false" ht="15" hidden="false" customHeight="false" outlineLevel="0" collapsed="false">
      <c r="A6" s="1" t="n">
        <v>4</v>
      </c>
      <c r="B6" s="2" t="s">
        <v>20</v>
      </c>
      <c r="C6" s="2" t="s">
        <v>21</v>
      </c>
      <c r="D6" s="2"/>
      <c r="E6" s="2"/>
      <c r="F6" s="2" t="s">
        <v>12</v>
      </c>
      <c r="H6" s="2" t="s">
        <v>12</v>
      </c>
      <c r="J6" s="2" t="s">
        <v>12</v>
      </c>
      <c r="K6" s="2" t="s">
        <v>12</v>
      </c>
      <c r="L6" s="2" t="s">
        <v>12</v>
      </c>
      <c r="M6" s="2" t="s">
        <v>13</v>
      </c>
      <c r="N6" s="2" t="s">
        <v>12</v>
      </c>
      <c r="O6" s="2" t="s">
        <v>12</v>
      </c>
      <c r="Q6" s="2" t="s">
        <v>12</v>
      </c>
      <c r="R6" s="2" t="n">
        <f aca="false">COUNTIF(F6:Q6,"P")</f>
        <v>8</v>
      </c>
      <c r="S6" s="2" t="n">
        <f aca="false">COUNTIF(F6:Q6,"A")</f>
        <v>1</v>
      </c>
      <c r="T6" s="2" t="n">
        <f aca="false">SUM(R6:S6)</f>
        <v>9</v>
      </c>
      <c r="U6" s="2" t="n">
        <f aca="false">ROUND(R6*10/T6,0)</f>
        <v>9</v>
      </c>
      <c r="V6" s="2" t="s">
        <v>12</v>
      </c>
    </row>
    <row r="7" customFormat="false" ht="15" hidden="false" customHeight="false" outlineLevel="0" collapsed="false">
      <c r="A7" s="1" t="n">
        <v>5</v>
      </c>
      <c r="B7" s="2" t="s">
        <v>22</v>
      </c>
      <c r="C7" s="2" t="s">
        <v>23</v>
      </c>
      <c r="D7" s="2"/>
      <c r="E7" s="2"/>
      <c r="F7" s="2" t="s">
        <v>12</v>
      </c>
      <c r="H7" s="2" t="s">
        <v>12</v>
      </c>
      <c r="J7" s="2" t="s">
        <v>13</v>
      </c>
      <c r="K7" s="2" t="s">
        <v>12</v>
      </c>
      <c r="L7" s="2" t="s">
        <v>12</v>
      </c>
      <c r="M7" s="2" t="s">
        <v>12</v>
      </c>
      <c r="N7" s="2" t="s">
        <v>12</v>
      </c>
      <c r="O7" s="2" t="s">
        <v>12</v>
      </c>
      <c r="Q7" s="2" t="s">
        <v>12</v>
      </c>
      <c r="R7" s="2" t="n">
        <f aca="false">COUNTIF(F7:Q7,"P")</f>
        <v>8</v>
      </c>
      <c r="S7" s="2" t="n">
        <f aca="false">COUNTIF(F7:Q7,"A")</f>
        <v>1</v>
      </c>
      <c r="T7" s="2" t="n">
        <f aca="false">SUM(R7:S7)</f>
        <v>9</v>
      </c>
      <c r="U7" s="2" t="n">
        <f aca="false">ROUND(R7*10/T7,0)</f>
        <v>9</v>
      </c>
      <c r="V7" s="2" t="s">
        <v>13</v>
      </c>
    </row>
    <row r="8" customFormat="false" ht="15" hidden="false" customHeight="false" outlineLevel="0" collapsed="false">
      <c r="A8" s="1" t="n">
        <v>6</v>
      </c>
      <c r="B8" s="2" t="s">
        <v>24</v>
      </c>
      <c r="C8" s="2" t="s">
        <v>25</v>
      </c>
      <c r="D8" s="2"/>
      <c r="E8" s="2"/>
      <c r="F8" s="2" t="s">
        <v>12</v>
      </c>
      <c r="H8" s="2" t="s">
        <v>12</v>
      </c>
      <c r="J8" s="2" t="s">
        <v>12</v>
      </c>
      <c r="K8" s="2" t="s">
        <v>12</v>
      </c>
      <c r="L8" s="2" t="s">
        <v>12</v>
      </c>
      <c r="M8" s="2" t="s">
        <v>12</v>
      </c>
      <c r="N8" s="2" t="s">
        <v>12</v>
      </c>
      <c r="O8" s="2" t="s">
        <v>13</v>
      </c>
      <c r="Q8" s="2" t="s">
        <v>12</v>
      </c>
      <c r="R8" s="2" t="n">
        <f aca="false">COUNTIF(F8:Q8,"P")</f>
        <v>8</v>
      </c>
      <c r="S8" s="2" t="n">
        <f aca="false">COUNTIF(F8:Q8,"A")</f>
        <v>1</v>
      </c>
      <c r="T8" s="2" t="n">
        <f aca="false">SUM(R8:S8)</f>
        <v>9</v>
      </c>
      <c r="U8" s="2" t="n">
        <f aca="false">ROUND(R8*10/T8,0)</f>
        <v>9</v>
      </c>
      <c r="V8" s="2" t="s">
        <v>12</v>
      </c>
    </row>
    <row r="9" customFormat="false" ht="15" hidden="false" customHeight="false" outlineLevel="0" collapsed="false">
      <c r="A9" s="1" t="n">
        <v>7</v>
      </c>
      <c r="B9" s="2" t="s">
        <v>26</v>
      </c>
      <c r="C9" s="2" t="s">
        <v>27</v>
      </c>
      <c r="D9" s="2"/>
      <c r="E9" s="2"/>
      <c r="F9" s="2" t="s">
        <v>12</v>
      </c>
      <c r="H9" s="2" t="s">
        <v>12</v>
      </c>
      <c r="J9" s="2" t="s">
        <v>12</v>
      </c>
      <c r="K9" s="2" t="s">
        <v>12</v>
      </c>
      <c r="L9" s="2" t="s">
        <v>12</v>
      </c>
      <c r="M9" s="2" t="s">
        <v>13</v>
      </c>
      <c r="N9" s="2" t="s">
        <v>12</v>
      </c>
      <c r="O9" s="2" t="s">
        <v>12</v>
      </c>
      <c r="Q9" s="2" t="s">
        <v>12</v>
      </c>
      <c r="R9" s="2" t="n">
        <f aca="false">COUNTIF(F9:Q9,"P")</f>
        <v>8</v>
      </c>
      <c r="S9" s="2" t="n">
        <f aca="false">COUNTIF(F9:Q9,"A")</f>
        <v>1</v>
      </c>
      <c r="T9" s="2" t="n">
        <f aca="false">SUM(R9:S9)</f>
        <v>9</v>
      </c>
      <c r="U9" s="2" t="n">
        <f aca="false">ROUND(R9*10/T9,0)</f>
        <v>9</v>
      </c>
      <c r="V9" s="2" t="s">
        <v>13</v>
      </c>
    </row>
    <row r="10" s="4" customFormat="true" ht="15" hidden="false" customHeight="false" outlineLevel="0" collapsed="false">
      <c r="A10" s="4" t="n">
        <v>25</v>
      </c>
      <c r="B10" s="5"/>
      <c r="C10" s="5" t="s">
        <v>28</v>
      </c>
      <c r="F10" s="5"/>
      <c r="J10" s="5" t="s">
        <v>12</v>
      </c>
      <c r="K10" s="5" t="s">
        <v>12</v>
      </c>
      <c r="L10" s="5" t="s">
        <v>12</v>
      </c>
      <c r="M10" s="5" t="s">
        <v>12</v>
      </c>
      <c r="N10" s="5" t="s">
        <v>12</v>
      </c>
      <c r="O10" s="5" t="s">
        <v>12</v>
      </c>
      <c r="Q10" s="5" t="s">
        <v>12</v>
      </c>
      <c r="R10" s="5" t="n">
        <f aca="false">COUNTIF(F10:Q10,"P")</f>
        <v>7</v>
      </c>
      <c r="S10" s="5" t="n">
        <f aca="false">COUNTIF(F10:Q10,"A")</f>
        <v>0</v>
      </c>
      <c r="T10" s="5" t="n">
        <f aca="false">SUM(R10:S10)</f>
        <v>7</v>
      </c>
      <c r="U10" s="5" t="n">
        <f aca="false">ROUND(R10*10/T10,0)</f>
        <v>10</v>
      </c>
      <c r="V10" s="4" t="s">
        <v>13</v>
      </c>
    </row>
    <row r="11" customFormat="false" ht="15" hidden="false" customHeight="false" outlineLevel="0" collapsed="false">
      <c r="A11" s="1" t="n">
        <v>8</v>
      </c>
      <c r="B11" s="2" t="s">
        <v>29</v>
      </c>
      <c r="C11" s="2" t="s">
        <v>30</v>
      </c>
      <c r="D11" s="2"/>
      <c r="E11" s="2"/>
      <c r="F11" s="2" t="s">
        <v>12</v>
      </c>
      <c r="H11" s="2" t="s">
        <v>12</v>
      </c>
      <c r="J11" s="2" t="s">
        <v>12</v>
      </c>
      <c r="K11" s="2" t="s">
        <v>12</v>
      </c>
      <c r="L11" s="2" t="s">
        <v>12</v>
      </c>
      <c r="M11" s="2" t="s">
        <v>12</v>
      </c>
      <c r="N11" s="2" t="s">
        <v>12</v>
      </c>
      <c r="O11" s="2" t="s">
        <v>12</v>
      </c>
      <c r="Q11" s="2" t="s">
        <v>12</v>
      </c>
      <c r="R11" s="2" t="n">
        <f aca="false">COUNTIF(F11:Q11,"P")</f>
        <v>9</v>
      </c>
      <c r="S11" s="2" t="n">
        <f aca="false">COUNTIF(F11:Q11,"A")</f>
        <v>0</v>
      </c>
      <c r="T11" s="2" t="n">
        <f aca="false">SUM(R11:S11)</f>
        <v>9</v>
      </c>
      <c r="U11" s="2" t="n">
        <f aca="false">ROUND(R11*10/T11,0)</f>
        <v>10</v>
      </c>
      <c r="V11" s="2" t="s">
        <v>12</v>
      </c>
    </row>
    <row r="12" customFormat="false" ht="15" hidden="false" customHeight="false" outlineLevel="0" collapsed="false">
      <c r="A12" s="1" t="n">
        <v>9</v>
      </c>
      <c r="B12" s="2" t="s">
        <v>31</v>
      </c>
      <c r="C12" s="2" t="s">
        <v>32</v>
      </c>
      <c r="D12" s="2"/>
      <c r="E12" s="2"/>
      <c r="F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O12" s="2" t="s">
        <v>12</v>
      </c>
      <c r="Q12" s="2" t="s">
        <v>12</v>
      </c>
      <c r="R12" s="2" t="n">
        <f aca="false">COUNTIF(F12:Q12,"P")</f>
        <v>9</v>
      </c>
      <c r="S12" s="2" t="n">
        <f aca="false">COUNTIF(F12:Q12,"A")</f>
        <v>0</v>
      </c>
      <c r="T12" s="2" t="n">
        <f aca="false">SUM(R12:S12)</f>
        <v>9</v>
      </c>
      <c r="U12" s="2" t="n">
        <f aca="false">ROUND(R12*10/T12,0)</f>
        <v>10</v>
      </c>
      <c r="V12" s="2" t="s">
        <v>12</v>
      </c>
    </row>
    <row r="13" customFormat="false" ht="15" hidden="false" customHeight="false" outlineLevel="0" collapsed="false">
      <c r="A13" s="1" t="n">
        <v>10</v>
      </c>
      <c r="B13" s="2" t="s">
        <v>33</v>
      </c>
      <c r="C13" s="2" t="s">
        <v>34</v>
      </c>
      <c r="D13" s="2"/>
      <c r="E13" s="2"/>
      <c r="F13" s="2" t="s">
        <v>12</v>
      </c>
      <c r="H13" s="2" t="s">
        <v>12</v>
      </c>
      <c r="J13" s="2" t="s">
        <v>12</v>
      </c>
      <c r="K13" s="2" t="s">
        <v>12</v>
      </c>
      <c r="L13" s="2" t="s">
        <v>12</v>
      </c>
      <c r="M13" s="2" t="s">
        <v>12</v>
      </c>
      <c r="N13" s="2" t="s">
        <v>12</v>
      </c>
      <c r="O13" s="2" t="s">
        <v>13</v>
      </c>
      <c r="Q13" s="2" t="s">
        <v>12</v>
      </c>
      <c r="R13" s="2" t="n">
        <f aca="false">COUNTIF(F13:Q13,"P")</f>
        <v>8</v>
      </c>
      <c r="S13" s="2" t="n">
        <f aca="false">COUNTIF(F13:Q13,"A")</f>
        <v>1</v>
      </c>
      <c r="T13" s="2" t="n">
        <f aca="false">SUM(R13:S13)</f>
        <v>9</v>
      </c>
      <c r="U13" s="2" t="n">
        <f aca="false">ROUND(R13*10/T13,0)</f>
        <v>9</v>
      </c>
      <c r="V13" s="2" t="s">
        <v>13</v>
      </c>
    </row>
    <row r="14" customFormat="false" ht="15" hidden="false" customHeight="false" outlineLevel="0" collapsed="false">
      <c r="A14" s="1" t="n">
        <v>11</v>
      </c>
      <c r="B14" s="2" t="s">
        <v>35</v>
      </c>
      <c r="C14" s="2" t="s">
        <v>36</v>
      </c>
      <c r="D14" s="2"/>
      <c r="E14" s="2"/>
      <c r="F14" s="2" t="s">
        <v>12</v>
      </c>
      <c r="H14" s="2" t="s">
        <v>12</v>
      </c>
      <c r="J14" s="2" t="s">
        <v>12</v>
      </c>
      <c r="K14" s="2" t="s">
        <v>12</v>
      </c>
      <c r="L14" s="2" t="s">
        <v>12</v>
      </c>
      <c r="M14" s="2" t="s">
        <v>12</v>
      </c>
      <c r="N14" s="2" t="s">
        <v>13</v>
      </c>
      <c r="O14" s="2" t="s">
        <v>12</v>
      </c>
      <c r="Q14" s="2" t="s">
        <v>12</v>
      </c>
      <c r="R14" s="2" t="n">
        <f aca="false">COUNTIF(F14:Q14,"P")</f>
        <v>8</v>
      </c>
      <c r="S14" s="2" t="n">
        <f aca="false">COUNTIF(F14:Q14,"A")</f>
        <v>1</v>
      </c>
      <c r="T14" s="2" t="n">
        <f aca="false">SUM(R14:S14)</f>
        <v>9</v>
      </c>
      <c r="U14" s="2" t="n">
        <f aca="false">ROUND(R14*10/T14,0)</f>
        <v>9</v>
      </c>
      <c r="V14" s="2" t="s">
        <v>12</v>
      </c>
    </row>
    <row r="15" s="2" customFormat="true" ht="15" hidden="false" customHeight="false" outlineLevel="0" collapsed="false">
      <c r="A15" s="1" t="n">
        <v>12</v>
      </c>
      <c r="B15" s="2" t="s">
        <v>35</v>
      </c>
      <c r="C15" s="2" t="s">
        <v>37</v>
      </c>
      <c r="F15" s="2" t="s">
        <v>12</v>
      </c>
      <c r="G15" s="1"/>
      <c r="H15" s="2" t="s">
        <v>12</v>
      </c>
      <c r="I15" s="1"/>
      <c r="J15" s="2" t="s">
        <v>13</v>
      </c>
      <c r="K15" s="2" t="s">
        <v>12</v>
      </c>
      <c r="L15" s="2" t="s">
        <v>12</v>
      </c>
      <c r="M15" s="2" t="s">
        <v>12</v>
      </c>
      <c r="N15" s="2" t="s">
        <v>13</v>
      </c>
      <c r="O15" s="2" t="s">
        <v>12</v>
      </c>
      <c r="P15" s="1"/>
      <c r="Q15" s="2" t="s">
        <v>12</v>
      </c>
      <c r="R15" s="2" t="n">
        <f aca="false">COUNTIF(F15:Q15,"P")</f>
        <v>7</v>
      </c>
      <c r="S15" s="2" t="n">
        <f aca="false">COUNTIF(F15:Q15,"A")</f>
        <v>2</v>
      </c>
      <c r="T15" s="2" t="n">
        <f aca="false">SUM(R15:S15)</f>
        <v>9</v>
      </c>
      <c r="U15" s="2" t="n">
        <f aca="false">ROUND(R15*10/T15,0)</f>
        <v>8</v>
      </c>
      <c r="V15" s="2" t="s">
        <v>12</v>
      </c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13</v>
      </c>
      <c r="B16" s="2" t="s">
        <v>38</v>
      </c>
      <c r="C16" s="6" t="s">
        <v>39</v>
      </c>
      <c r="D16" s="2"/>
      <c r="E16" s="2"/>
      <c r="F16" s="2" t="s">
        <v>12</v>
      </c>
      <c r="G16" s="2"/>
      <c r="H16" s="2" t="s">
        <v>12</v>
      </c>
      <c r="I16" s="2"/>
      <c r="J16" s="2" t="s">
        <v>12</v>
      </c>
      <c r="K16" s="2" t="s">
        <v>13</v>
      </c>
      <c r="L16" s="2" t="s">
        <v>12</v>
      </c>
      <c r="M16" s="2" t="s">
        <v>12</v>
      </c>
      <c r="N16" s="2" t="s">
        <v>12</v>
      </c>
      <c r="O16" s="2" t="s">
        <v>12</v>
      </c>
      <c r="P16" s="2"/>
      <c r="Q16" s="2" t="s">
        <v>12</v>
      </c>
      <c r="R16" s="2" t="n">
        <f aca="false">COUNTIF(F16:Q16,"P")</f>
        <v>8</v>
      </c>
      <c r="S16" s="2" t="n">
        <f aca="false">COUNTIF(F16:Q16,"A")</f>
        <v>1</v>
      </c>
      <c r="T16" s="2" t="n">
        <f aca="false">SUM(R16:S16)</f>
        <v>9</v>
      </c>
      <c r="U16" s="2" t="n">
        <f aca="false">ROUND(R16*10/T16,0)</f>
        <v>9</v>
      </c>
      <c r="V16" s="1" t="s">
        <v>12</v>
      </c>
    </row>
    <row r="17" s="4" customFormat="true" ht="15" hidden="false" customHeight="false" outlineLevel="0" collapsed="false">
      <c r="A17" s="4" t="n">
        <v>26</v>
      </c>
      <c r="B17" s="5"/>
      <c r="C17" s="5" t="s">
        <v>40</v>
      </c>
      <c r="F17" s="5"/>
      <c r="J17" s="5" t="s">
        <v>12</v>
      </c>
      <c r="K17" s="5" t="s">
        <v>12</v>
      </c>
      <c r="L17" s="5" t="s">
        <v>12</v>
      </c>
      <c r="M17" s="5" t="s">
        <v>12</v>
      </c>
      <c r="N17" s="5" t="s">
        <v>12</v>
      </c>
      <c r="O17" s="5" t="s">
        <v>12</v>
      </c>
      <c r="Q17" s="5" t="s">
        <v>13</v>
      </c>
      <c r="R17" s="5" t="n">
        <f aca="false">COUNTIF(F17:Q17,"P")</f>
        <v>6</v>
      </c>
      <c r="S17" s="5" t="n">
        <f aca="false">COUNTIF(F17:Q17,"A")</f>
        <v>1</v>
      </c>
      <c r="T17" s="5" t="n">
        <f aca="false">SUM(R17:S17)</f>
        <v>7</v>
      </c>
      <c r="U17" s="5" t="n">
        <f aca="false">ROUND(R17*10/T17,0)</f>
        <v>9</v>
      </c>
      <c r="V17" s="4" t="s">
        <v>13</v>
      </c>
    </row>
    <row r="18" s="2" customFormat="true" ht="15" hidden="false" customHeight="false" outlineLevel="0" collapsed="false">
      <c r="A18" s="1" t="n">
        <v>14</v>
      </c>
      <c r="B18" s="2" t="s">
        <v>41</v>
      </c>
      <c r="C18" s="2" t="s">
        <v>42</v>
      </c>
      <c r="F18" s="1" t="s">
        <v>12</v>
      </c>
      <c r="G18" s="1"/>
      <c r="H18" s="1" t="s">
        <v>12</v>
      </c>
      <c r="I18" s="1"/>
      <c r="J18" s="1" t="s">
        <v>13</v>
      </c>
      <c r="K18" s="1" t="s">
        <v>12</v>
      </c>
      <c r="L18" s="1" t="s">
        <v>12</v>
      </c>
      <c r="M18" s="1" t="s">
        <v>12</v>
      </c>
      <c r="N18" s="1" t="s">
        <v>12</v>
      </c>
      <c r="O18" s="1" t="s">
        <v>12</v>
      </c>
      <c r="P18" s="1"/>
      <c r="Q18" s="1" t="s">
        <v>12</v>
      </c>
      <c r="R18" s="2" t="n">
        <f aca="false">COUNTIF(F18:Q18,"P")</f>
        <v>8</v>
      </c>
      <c r="S18" s="2" t="n">
        <f aca="false">COUNTIF(F18:Q18,"A")</f>
        <v>1</v>
      </c>
      <c r="T18" s="2" t="n">
        <f aca="false">SUM(R18:S18)</f>
        <v>9</v>
      </c>
      <c r="U18" s="2" t="n">
        <f aca="false">ROUND(R18*10/T18,0)</f>
        <v>9</v>
      </c>
      <c r="V18" s="2" t="s">
        <v>12</v>
      </c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5" customFormat="true" ht="15" hidden="false" customHeight="false" outlineLevel="0" collapsed="false">
      <c r="A19" s="4" t="n">
        <v>24</v>
      </c>
      <c r="C19" s="5" t="s">
        <v>43</v>
      </c>
      <c r="D19" s="4"/>
      <c r="E19" s="4"/>
      <c r="G19" s="4"/>
      <c r="H19" s="4"/>
      <c r="I19" s="4"/>
      <c r="J19" s="5" t="s">
        <v>12</v>
      </c>
      <c r="K19" s="5" t="s">
        <v>12</v>
      </c>
      <c r="L19" s="5" t="s">
        <v>12</v>
      </c>
      <c r="M19" s="5" t="s">
        <v>12</v>
      </c>
      <c r="N19" s="5" t="s">
        <v>13</v>
      </c>
      <c r="O19" s="5" t="s">
        <v>12</v>
      </c>
      <c r="P19" s="4"/>
      <c r="Q19" s="5" t="s">
        <v>13</v>
      </c>
      <c r="R19" s="5" t="n">
        <f aca="false">COUNTIF(F19:Q19,"P")</f>
        <v>5</v>
      </c>
      <c r="S19" s="5" t="n">
        <f aca="false">COUNTIF(F19:Q19,"A")</f>
        <v>2</v>
      </c>
      <c r="T19" s="5" t="n">
        <f aca="false">SUM(R19:S19)</f>
        <v>7</v>
      </c>
      <c r="U19" s="5" t="n">
        <f aca="false">ROUND(R19*10/T19,0)</f>
        <v>7</v>
      </c>
      <c r="V19" s="5" t="s">
        <v>13</v>
      </c>
      <c r="AKW19" s="4"/>
      <c r="AKX19" s="4"/>
      <c r="AKY19" s="4"/>
      <c r="AKZ19" s="4"/>
      <c r="ALA19" s="4"/>
      <c r="ALB19" s="4"/>
      <c r="ALC19" s="4"/>
      <c r="ALD19" s="4"/>
      <c r="ALE19" s="4"/>
      <c r="ALF19" s="4"/>
      <c r="ALG19" s="4"/>
      <c r="ALH19" s="4"/>
      <c r="ALI19" s="4"/>
      <c r="ALJ19" s="4"/>
      <c r="ALK19" s="4"/>
      <c r="ALL19" s="4"/>
      <c r="ALM19" s="4"/>
      <c r="ALN19" s="4"/>
      <c r="ALO19" s="4"/>
      <c r="ALP19" s="4"/>
      <c r="ALQ19" s="4"/>
      <c r="ALR19" s="4"/>
      <c r="ALS19" s="4"/>
      <c r="ALT19" s="4"/>
      <c r="ALU19" s="4"/>
      <c r="ALV19" s="4"/>
      <c r="ALW19" s="4"/>
      <c r="ALX19" s="4"/>
      <c r="ALY19" s="4"/>
      <c r="ALZ19" s="4"/>
      <c r="AMA19" s="4"/>
      <c r="AMB19" s="4"/>
      <c r="AMC19" s="4"/>
      <c r="AMD19" s="4"/>
      <c r="AME19" s="4"/>
      <c r="AMF19" s="4"/>
      <c r="AMG19" s="4"/>
      <c r="AMH19" s="4"/>
      <c r="AMI19" s="4"/>
      <c r="AMJ19" s="4"/>
      <c r="AMK19" s="4"/>
      <c r="AML19" s="4"/>
      <c r="AMM19" s="4"/>
      <c r="AMN19" s="4"/>
      <c r="AMO19" s="4"/>
      <c r="XDR19" s="4"/>
      <c r="XDS19" s="4"/>
      <c r="XDT19" s="4"/>
      <c r="XDU19" s="4"/>
      <c r="XDV19" s="4"/>
      <c r="XDW19" s="4"/>
      <c r="XDX19" s="4"/>
      <c r="XDY19" s="4"/>
      <c r="XDZ19" s="4"/>
      <c r="XEA19" s="4"/>
      <c r="XEB19" s="4"/>
      <c r="XEC19" s="4"/>
      <c r="XED19" s="4"/>
      <c r="XEE19" s="4"/>
      <c r="XEF19" s="4"/>
      <c r="XEG19" s="4"/>
      <c r="XEH19" s="4"/>
      <c r="XEI19" s="4"/>
      <c r="XEJ19" s="4"/>
      <c r="XEK19" s="4"/>
      <c r="XEL19" s="4"/>
      <c r="XEM19" s="4"/>
      <c r="XEN19" s="4"/>
      <c r="XEO19" s="4"/>
      <c r="XEP19" s="4"/>
      <c r="XEQ19" s="4"/>
      <c r="XER19" s="4"/>
      <c r="XES19" s="4"/>
      <c r="XET19" s="4"/>
      <c r="XEU19" s="4"/>
      <c r="XEV19" s="4"/>
      <c r="XEW19" s="4"/>
      <c r="XEX19" s="4"/>
      <c r="XEY19" s="4"/>
      <c r="XEZ19" s="4"/>
      <c r="XFA19" s="4"/>
      <c r="XFB19" s="4"/>
      <c r="XFC19" s="4"/>
      <c r="XFD19" s="4"/>
    </row>
    <row r="20" s="1" customFormat="true" ht="15" hidden="false" customHeight="false" outlineLevel="0" collapsed="false">
      <c r="A20" s="1" t="n">
        <v>15</v>
      </c>
      <c r="B20" s="2" t="s">
        <v>44</v>
      </c>
      <c r="C20" s="2" t="s">
        <v>45</v>
      </c>
      <c r="D20" s="2"/>
      <c r="E20" s="2"/>
      <c r="F20" s="1" t="s">
        <v>12</v>
      </c>
      <c r="H20" s="1" t="s">
        <v>12</v>
      </c>
      <c r="J20" s="1" t="s">
        <v>13</v>
      </c>
      <c r="K20" s="1" t="s">
        <v>12</v>
      </c>
      <c r="L20" s="1" t="s">
        <v>12</v>
      </c>
      <c r="M20" s="1" t="s">
        <v>12</v>
      </c>
      <c r="N20" s="1" t="s">
        <v>12</v>
      </c>
      <c r="O20" s="1" t="s">
        <v>12</v>
      </c>
      <c r="Q20" s="1" t="s">
        <v>12</v>
      </c>
      <c r="R20" s="2" t="n">
        <f aca="false">COUNTIF(F20:Q20,"P")</f>
        <v>8</v>
      </c>
      <c r="S20" s="2" t="n">
        <f aca="false">COUNTIF(F20:Q20,"A")</f>
        <v>1</v>
      </c>
      <c r="T20" s="2" t="n">
        <f aca="false">SUM(R20:S20)</f>
        <v>9</v>
      </c>
      <c r="U20" s="2" t="n">
        <f aca="false">ROUND(R20*10/T20,0)</f>
        <v>9</v>
      </c>
      <c r="V20" s="1" t="s">
        <v>12</v>
      </c>
    </row>
    <row r="21" customFormat="false" ht="15" hidden="false" customHeight="false" outlineLevel="0" collapsed="false">
      <c r="A21" s="1" t="n">
        <v>16</v>
      </c>
      <c r="B21" s="2" t="s">
        <v>46</v>
      </c>
      <c r="C21" s="2" t="s">
        <v>47</v>
      </c>
      <c r="D21" s="2"/>
      <c r="E21" s="2"/>
      <c r="F21" s="2" t="s">
        <v>12</v>
      </c>
      <c r="G21" s="2"/>
      <c r="H21" s="2" t="s">
        <v>12</v>
      </c>
      <c r="I21" s="2"/>
      <c r="J21" s="2" t="s">
        <v>12</v>
      </c>
      <c r="K21" s="2" t="s">
        <v>12</v>
      </c>
      <c r="L21" s="2" t="s">
        <v>12</v>
      </c>
      <c r="M21" s="2" t="s">
        <v>12</v>
      </c>
      <c r="N21" s="2" t="s">
        <v>12</v>
      </c>
      <c r="O21" s="2" t="s">
        <v>12</v>
      </c>
      <c r="P21" s="2"/>
      <c r="Q21" s="2" t="s">
        <v>12</v>
      </c>
      <c r="R21" s="2" t="n">
        <f aca="false">COUNTIF(F21:Q21,"P")</f>
        <v>9</v>
      </c>
      <c r="S21" s="2" t="n">
        <f aca="false">COUNTIF(F21:Q21,"A")</f>
        <v>0</v>
      </c>
      <c r="T21" s="2" t="n">
        <f aca="false">SUM(R21:S21)</f>
        <v>9</v>
      </c>
      <c r="U21" s="2" t="n">
        <f aca="false">ROUND(R21*10/T21,0)</f>
        <v>10</v>
      </c>
      <c r="V21" s="2" t="s">
        <v>12</v>
      </c>
    </row>
    <row r="22" customFormat="false" ht="15" hidden="false" customHeight="false" outlineLevel="0" collapsed="false">
      <c r="A22" s="1" t="n">
        <v>17</v>
      </c>
      <c r="B22" s="1" t="s">
        <v>48</v>
      </c>
      <c r="C22" s="1" t="s">
        <v>49</v>
      </c>
      <c r="D22" s="2"/>
      <c r="E22" s="2"/>
      <c r="F22" s="2" t="s">
        <v>12</v>
      </c>
      <c r="G22" s="2"/>
      <c r="H22" s="2" t="s">
        <v>12</v>
      </c>
      <c r="I22" s="2"/>
      <c r="J22" s="2" t="s">
        <v>12</v>
      </c>
      <c r="K22" s="2" t="s">
        <v>12</v>
      </c>
      <c r="L22" s="2" t="s">
        <v>12</v>
      </c>
      <c r="M22" s="2" t="s">
        <v>12</v>
      </c>
      <c r="N22" s="2" t="s">
        <v>12</v>
      </c>
      <c r="O22" s="2" t="s">
        <v>13</v>
      </c>
      <c r="P22" s="2"/>
      <c r="Q22" s="2" t="s">
        <v>12</v>
      </c>
      <c r="R22" s="2" t="n">
        <f aca="false">COUNTIF(F22:Q22,"P")</f>
        <v>8</v>
      </c>
      <c r="S22" s="2" t="n">
        <f aca="false">COUNTIF(F22:Q22,"A")</f>
        <v>1</v>
      </c>
      <c r="T22" s="2" t="n">
        <f aca="false">SUM(R22:S22)</f>
        <v>9</v>
      </c>
      <c r="U22" s="2" t="n">
        <f aca="false">ROUND(R22*10/T22,0)</f>
        <v>9</v>
      </c>
      <c r="V22" s="2" t="s">
        <v>12</v>
      </c>
    </row>
    <row r="23" customFormat="false" ht="15" hidden="false" customHeight="false" outlineLevel="0" collapsed="false">
      <c r="A23" s="1" t="n">
        <v>18</v>
      </c>
      <c r="B23" s="2" t="s">
        <v>50</v>
      </c>
      <c r="C23" s="2" t="s">
        <v>51</v>
      </c>
      <c r="D23" s="2"/>
      <c r="E23" s="2"/>
      <c r="F23" s="1" t="s">
        <v>12</v>
      </c>
      <c r="G23" s="1"/>
      <c r="H23" s="1" t="s">
        <v>12</v>
      </c>
      <c r="I23" s="1"/>
      <c r="J23" s="1" t="s">
        <v>13</v>
      </c>
      <c r="K23" s="1" t="s">
        <v>12</v>
      </c>
      <c r="L23" s="1" t="s">
        <v>12</v>
      </c>
      <c r="M23" s="1" t="s">
        <v>12</v>
      </c>
      <c r="N23" s="1" t="s">
        <v>12</v>
      </c>
      <c r="O23" s="1" t="s">
        <v>12</v>
      </c>
      <c r="P23" s="1"/>
      <c r="Q23" s="1" t="s">
        <v>12</v>
      </c>
      <c r="R23" s="2" t="n">
        <f aca="false">COUNTIF(F23:Q23,"P")</f>
        <v>8</v>
      </c>
      <c r="S23" s="2" t="n">
        <f aca="false">COUNTIF(F23:Q23,"A")</f>
        <v>1</v>
      </c>
      <c r="T23" s="2" t="n">
        <f aca="false">SUM(R23:S23)</f>
        <v>9</v>
      </c>
      <c r="U23" s="2" t="n">
        <f aca="false">ROUND(R23*10/T23,0)</f>
        <v>9</v>
      </c>
      <c r="V23" s="2" t="s">
        <v>12</v>
      </c>
    </row>
    <row r="24" s="2" customFormat="true" ht="15" hidden="false" customHeight="false" outlineLevel="0" collapsed="false">
      <c r="A24" s="1" t="n">
        <v>19</v>
      </c>
      <c r="B24" s="2" t="s">
        <v>52</v>
      </c>
      <c r="C24" s="2" t="s">
        <v>53</v>
      </c>
      <c r="F24" s="2" t="s">
        <v>12</v>
      </c>
      <c r="G24" s="1"/>
      <c r="H24" s="2" t="s">
        <v>12</v>
      </c>
      <c r="I24" s="1"/>
      <c r="J24" s="2" t="s">
        <v>13</v>
      </c>
      <c r="K24" s="2" t="s">
        <v>12</v>
      </c>
      <c r="L24" s="2" t="s">
        <v>13</v>
      </c>
      <c r="M24" s="2" t="s">
        <v>12</v>
      </c>
      <c r="N24" s="2" t="s">
        <v>13</v>
      </c>
      <c r="O24" s="2" t="s">
        <v>12</v>
      </c>
      <c r="P24" s="1"/>
      <c r="Q24" s="2" t="s">
        <v>12</v>
      </c>
      <c r="R24" s="2" t="n">
        <f aca="false">COUNTIF(F24:Q24,"P")</f>
        <v>6</v>
      </c>
      <c r="S24" s="2" t="n">
        <f aca="false">COUNTIF(F24:Q24,"A")</f>
        <v>3</v>
      </c>
      <c r="T24" s="2" t="n">
        <f aca="false">SUM(R24:S24)</f>
        <v>9</v>
      </c>
      <c r="U24" s="2" t="n">
        <f aca="false">ROUND(R24*10/T24,0)</f>
        <v>7</v>
      </c>
      <c r="V24" s="2" t="s">
        <v>12</v>
      </c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20</v>
      </c>
      <c r="B25" s="2" t="s">
        <v>54</v>
      </c>
      <c r="C25" s="2" t="s">
        <v>55</v>
      </c>
      <c r="D25" s="2"/>
      <c r="E25" s="2"/>
      <c r="F25" s="2" t="s">
        <v>12</v>
      </c>
      <c r="H25" s="2" t="s">
        <v>12</v>
      </c>
      <c r="J25" s="2" t="s">
        <v>12</v>
      </c>
      <c r="K25" s="2" t="s">
        <v>12</v>
      </c>
      <c r="L25" s="2" t="s">
        <v>13</v>
      </c>
      <c r="M25" s="2" t="s">
        <v>12</v>
      </c>
      <c r="N25" s="2" t="s">
        <v>12</v>
      </c>
      <c r="O25" s="2" t="s">
        <v>12</v>
      </c>
      <c r="Q25" s="2" t="s">
        <v>12</v>
      </c>
      <c r="R25" s="2" t="n">
        <f aca="false">COUNTIF(F25:Q25,"P")</f>
        <v>8</v>
      </c>
      <c r="S25" s="2" t="n">
        <f aca="false">COUNTIF(F25:Q25,"A")</f>
        <v>1</v>
      </c>
      <c r="T25" s="2" t="n">
        <f aca="false">SUM(R25:S25)</f>
        <v>9</v>
      </c>
      <c r="U25" s="2" t="n">
        <f aca="false">ROUND(R25*10/T25,0)</f>
        <v>9</v>
      </c>
      <c r="V25" s="2" t="s">
        <v>12</v>
      </c>
    </row>
    <row r="26" customFormat="false" ht="15" hidden="false" customHeight="false" outlineLevel="0" collapsed="false">
      <c r="A26" s="1" t="n">
        <v>21</v>
      </c>
      <c r="B26" s="2" t="s">
        <v>16</v>
      </c>
      <c r="C26" s="2" t="s">
        <v>56</v>
      </c>
      <c r="D26" s="2"/>
      <c r="E26" s="2"/>
      <c r="F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O26" s="2" t="s">
        <v>12</v>
      </c>
      <c r="Q26" s="2" t="s">
        <v>12</v>
      </c>
      <c r="R26" s="2" t="n">
        <f aca="false">COUNTIF(F26:Q26,"P")</f>
        <v>9</v>
      </c>
      <c r="S26" s="2" t="n">
        <f aca="false">COUNTIF(F26:Q26,"A")</f>
        <v>0</v>
      </c>
      <c r="T26" s="2" t="n">
        <f aca="false">SUM(R26:S26)</f>
        <v>9</v>
      </c>
      <c r="U26" s="2" t="n">
        <f aca="false">ROUND(R26*10/T26,0)</f>
        <v>10</v>
      </c>
      <c r="V26" s="2" t="s">
        <v>12</v>
      </c>
    </row>
    <row r="27" customFormat="false" ht="15" hidden="false" customHeight="false" outlineLevel="0" collapsed="false">
      <c r="A27" s="1" t="n">
        <v>22</v>
      </c>
      <c r="B27" s="2" t="s">
        <v>57</v>
      </c>
      <c r="C27" s="2" t="s">
        <v>58</v>
      </c>
      <c r="D27" s="2"/>
      <c r="E27" s="2"/>
      <c r="F27" s="2" t="s">
        <v>12</v>
      </c>
      <c r="G27" s="2"/>
      <c r="H27" s="2" t="s">
        <v>12</v>
      </c>
      <c r="I27" s="2"/>
      <c r="J27" s="2" t="s">
        <v>12</v>
      </c>
      <c r="K27" s="2" t="s">
        <v>12</v>
      </c>
      <c r="L27" s="2" t="s">
        <v>12</v>
      </c>
      <c r="M27" s="2" t="s">
        <v>12</v>
      </c>
      <c r="N27" s="2" t="s">
        <v>12</v>
      </c>
      <c r="O27" s="2" t="s">
        <v>12</v>
      </c>
      <c r="P27" s="2"/>
      <c r="Q27" s="2" t="s">
        <v>12</v>
      </c>
      <c r="R27" s="2" t="n">
        <f aca="false">COUNTIF(F27:Q27,"P")</f>
        <v>9</v>
      </c>
      <c r="S27" s="2" t="n">
        <f aca="false">COUNTIF(F27:Q27,"A")</f>
        <v>0</v>
      </c>
      <c r="T27" s="2" t="n">
        <f aca="false">SUM(R27:S27)</f>
        <v>9</v>
      </c>
      <c r="U27" s="2" t="n">
        <f aca="false">ROUND(R27*10/T27,0)</f>
        <v>10</v>
      </c>
      <c r="V27" s="2" t="s">
        <v>12</v>
      </c>
    </row>
    <row r="28" customFormat="false" ht="15" hidden="false" customHeight="false" outlineLevel="0" collapsed="false">
      <c r="A28" s="1" t="n">
        <v>23</v>
      </c>
      <c r="B28" s="2" t="s">
        <v>59</v>
      </c>
      <c r="C28" s="2" t="s">
        <v>60</v>
      </c>
      <c r="F28" s="2" t="s">
        <v>12</v>
      </c>
      <c r="H28" s="2" t="s">
        <v>12</v>
      </c>
      <c r="J28" s="2" t="s">
        <v>13</v>
      </c>
      <c r="K28" s="2" t="s">
        <v>12</v>
      </c>
      <c r="L28" s="2" t="s">
        <v>12</v>
      </c>
      <c r="M28" s="2" t="s">
        <v>12</v>
      </c>
      <c r="N28" s="2" t="s">
        <v>12</v>
      </c>
      <c r="O28" s="2" t="s">
        <v>13</v>
      </c>
      <c r="Q28" s="2" t="s">
        <v>61</v>
      </c>
      <c r="R28" s="2" t="n">
        <f aca="false">COUNTIF(F28:Q28,"P")</f>
        <v>7</v>
      </c>
      <c r="S28" s="2" t="n">
        <f aca="false">COUNTIF(F28:Q28,"A")</f>
        <v>2</v>
      </c>
      <c r="T28" s="2" t="n">
        <f aca="false">SUM(R28:S28)</f>
        <v>9</v>
      </c>
      <c r="U28" s="2" t="n">
        <f aca="false">ROUND(R28*10/T28,0)</f>
        <v>8</v>
      </c>
    </row>
    <row r="29" s="4" customFormat="true" ht="15" hidden="false" customHeight="false" outlineLevel="0" collapsed="false">
      <c r="A29" s="4" t="n">
        <v>27</v>
      </c>
      <c r="C29" s="4" t="s">
        <v>62</v>
      </c>
      <c r="F29" s="5" t="n">
        <f aca="false">COUNTIF(F3:F25,"p")</f>
        <v>19</v>
      </c>
      <c r="J29" s="5" t="s">
        <v>12</v>
      </c>
      <c r="K29" s="5" t="s">
        <v>12</v>
      </c>
      <c r="L29" s="5" t="s">
        <v>12</v>
      </c>
      <c r="M29" s="5" t="s">
        <v>12</v>
      </c>
      <c r="N29" s="5" t="s">
        <v>12</v>
      </c>
      <c r="O29" s="5" t="s">
        <v>12</v>
      </c>
      <c r="Q29" s="5" t="s">
        <v>12</v>
      </c>
      <c r="R29" s="5" t="n">
        <f aca="false">COUNTIF(F29:Q29,"P")</f>
        <v>7</v>
      </c>
      <c r="S29" s="5" t="n">
        <f aca="false">COUNTIF(F29:Q29,"A")</f>
        <v>0</v>
      </c>
      <c r="T29" s="5" t="n">
        <f aca="false">SUM(R29:S29)</f>
        <v>7</v>
      </c>
      <c r="U29" s="5" t="n">
        <f aca="false">ROUND(R29*10/T29,0)</f>
        <v>10</v>
      </c>
    </row>
    <row r="30" customFormat="false" ht="44" hidden="false" customHeight="false" outlineLevel="0" collapsed="false">
      <c r="A30" s="1" t="n">
        <v>28</v>
      </c>
      <c r="C30" s="7" t="s">
        <v>63</v>
      </c>
      <c r="F30" s="2"/>
      <c r="J30" s="2"/>
      <c r="K30" s="2"/>
      <c r="L30" s="2"/>
      <c r="M30" s="2"/>
      <c r="N30" s="2"/>
      <c r="O30" s="2"/>
      <c r="Q30" s="2" t="s">
        <v>12</v>
      </c>
      <c r="R30" s="2"/>
      <c r="S30" s="2"/>
      <c r="T30" s="2"/>
      <c r="U30" s="2"/>
    </row>
    <row r="31" customFormat="false" ht="15" hidden="false" customHeight="false" outlineLevel="0" collapsed="false">
      <c r="J31" s="2" t="n">
        <f aca="false">COUNTIF(J3:J29,"P")</f>
        <v>19</v>
      </c>
      <c r="K31" s="2" t="n">
        <f aca="false">COUNTIF(K3:K29,"P")</f>
        <v>26</v>
      </c>
      <c r="L31" s="2" t="n">
        <f aca="false">COUNTIF(L3:L29,"P")</f>
        <v>24</v>
      </c>
      <c r="M31" s="2" t="n">
        <f aca="false">COUNTIF(M3:M29,"P")</f>
        <v>24</v>
      </c>
      <c r="N31" s="2" t="n">
        <f aca="false">COUNTIF(N3:N29,"P")</f>
        <v>22</v>
      </c>
      <c r="O31" s="2" t="n">
        <f aca="false">COUNTIF(O3:O29,"P")</f>
        <v>22</v>
      </c>
      <c r="Q31" s="2" t="n">
        <f aca="false">COUNTIF(Q3:Q30,"P")</f>
        <v>26</v>
      </c>
      <c r="R31" s="2"/>
      <c r="S31" s="2"/>
      <c r="T31" s="2"/>
      <c r="U31" s="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25" activeCellId="0" sqref="L3:L25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92"/>
    <col collapsed="false" customWidth="true" hidden="false" outlineLevel="0" max="16384" min="16334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64</v>
      </c>
      <c r="C2" s="1" t="s">
        <v>65</v>
      </c>
      <c r="D2" s="1" t="s">
        <v>66</v>
      </c>
      <c r="E2" s="1" t="s">
        <v>67</v>
      </c>
      <c r="F2" s="2" t="s">
        <v>68</v>
      </c>
      <c r="G2" s="2" t="s">
        <v>69</v>
      </c>
      <c r="H2" s="2" t="s">
        <v>70</v>
      </c>
      <c r="I2" s="2" t="s">
        <v>71</v>
      </c>
      <c r="J2" s="2" t="s">
        <v>72</v>
      </c>
      <c r="K2" s="2" t="s">
        <v>9</v>
      </c>
      <c r="L2" s="2" t="s">
        <v>73</v>
      </c>
      <c r="M2" s="2" t="s">
        <v>74</v>
      </c>
    </row>
    <row r="3" customFormat="false" ht="15.65" hidden="false" customHeight="false" outlineLevel="0" collapsed="false">
      <c r="A3" s="1" t="n">
        <v>1</v>
      </c>
      <c r="B3" s="2" t="s">
        <v>10</v>
      </c>
      <c r="C3" s="2" t="s">
        <v>11</v>
      </c>
      <c r="D3" s="1" t="n">
        <v>10</v>
      </c>
      <c r="E3" s="1" t="n">
        <v>9</v>
      </c>
      <c r="F3" s="1" t="n">
        <v>10</v>
      </c>
      <c r="G3" s="1" t="n">
        <v>9</v>
      </c>
      <c r="H3" s="1" t="n">
        <v>7</v>
      </c>
      <c r="I3" s="1" t="n">
        <v>1</v>
      </c>
      <c r="J3" s="1" t="n">
        <v>6.25</v>
      </c>
      <c r="K3" s="1" t="n">
        <f aca="false">ROUND(AVERAGE(D3,E3,F3,G3,H3,I3,J3),0)</f>
        <v>7</v>
      </c>
      <c r="L3" s="1" t="str">
        <f aca="false">IF(K3&gt;6,"TEA",IF(K3&gt;3,"TEP","TED"))</f>
        <v>TEA</v>
      </c>
    </row>
    <row r="4" customFormat="false" ht="15.65" hidden="false" customHeight="false" outlineLevel="0" collapsed="false">
      <c r="A4" s="1" t="n">
        <v>2</v>
      </c>
      <c r="B4" s="2" t="s">
        <v>14</v>
      </c>
      <c r="C4" s="2" t="s">
        <v>15</v>
      </c>
      <c r="D4" s="1" t="n">
        <v>10</v>
      </c>
      <c r="E4" s="1" t="n">
        <v>10</v>
      </c>
      <c r="F4" s="1" t="n">
        <v>5</v>
      </c>
      <c r="G4" s="1" t="n">
        <v>10</v>
      </c>
      <c r="H4" s="1" t="n">
        <v>9</v>
      </c>
      <c r="I4" s="1" t="n">
        <v>7</v>
      </c>
      <c r="J4" s="1" t="n">
        <v>7</v>
      </c>
      <c r="K4" s="1" t="n">
        <f aca="false">ROUND(AVERAGE(D4,E4,F4,G4,H4,I4,J4),0)</f>
        <v>8</v>
      </c>
      <c r="L4" s="1" t="str">
        <f aca="false">IF(K4&gt;6,"TEA",IF(K4&gt;3,"TEP","TED"))</f>
        <v>TEA</v>
      </c>
    </row>
    <row r="5" customFormat="false" ht="15.65" hidden="false" customHeight="false" outlineLevel="0" collapsed="false">
      <c r="A5" s="1" t="n">
        <v>3</v>
      </c>
      <c r="B5" s="2" t="s">
        <v>16</v>
      </c>
      <c r="C5" s="2" t="s">
        <v>17</v>
      </c>
      <c r="D5" s="1" t="n">
        <v>1</v>
      </c>
      <c r="E5" s="1" t="n">
        <v>3</v>
      </c>
      <c r="F5" s="1" t="n">
        <v>1</v>
      </c>
      <c r="G5" s="1" t="n">
        <v>8</v>
      </c>
      <c r="H5" s="1" t="n">
        <v>3</v>
      </c>
      <c r="I5" s="1" t="n">
        <v>1</v>
      </c>
      <c r="J5" s="1" t="n">
        <v>6</v>
      </c>
      <c r="K5" s="1" t="n">
        <f aca="false">ROUND(AVERAGE(D5,E5,F5,G5,H5,I5,J5),0)</f>
        <v>3</v>
      </c>
      <c r="L5" s="1" t="str">
        <f aca="false">IF(K5&gt;6,"TEA",IF(K5&gt;3,"TEP","TED"))</f>
        <v>TED</v>
      </c>
    </row>
    <row r="6" customFormat="false" ht="15.65" hidden="false" customHeight="false" outlineLevel="0" collapsed="false">
      <c r="A6" s="1" t="n">
        <v>4</v>
      </c>
      <c r="B6" s="2" t="s">
        <v>20</v>
      </c>
      <c r="C6" s="2" t="s">
        <v>21</v>
      </c>
      <c r="D6" s="1" t="n">
        <v>8</v>
      </c>
      <c r="E6" s="1" t="n">
        <v>9</v>
      </c>
      <c r="F6" s="1" t="n">
        <v>4</v>
      </c>
      <c r="G6" s="1" t="n">
        <v>1</v>
      </c>
      <c r="H6" s="1" t="n">
        <v>4</v>
      </c>
      <c r="I6" s="1" t="n">
        <v>1</v>
      </c>
      <c r="J6" s="1" t="n">
        <v>4.25</v>
      </c>
      <c r="K6" s="1" t="n">
        <f aca="false">ROUND(AVERAGE(D6,E6,F6,G6,H6,I6,J6),0)</f>
        <v>4</v>
      </c>
      <c r="L6" s="1" t="str">
        <f aca="false">IF(K6&gt;6,"TEA",IF(K6&gt;3,"TEP","TED"))</f>
        <v>TEP</v>
      </c>
    </row>
    <row r="7" customFormat="false" ht="15.65" hidden="false" customHeight="false" outlineLevel="0" collapsed="false">
      <c r="A7" s="1" t="n">
        <v>5</v>
      </c>
      <c r="B7" s="2" t="s">
        <v>22</v>
      </c>
      <c r="C7" s="2" t="s">
        <v>23</v>
      </c>
      <c r="D7" s="1" t="n">
        <v>1</v>
      </c>
      <c r="E7" s="1" t="n">
        <v>9</v>
      </c>
      <c r="F7" s="1" t="n">
        <v>8</v>
      </c>
      <c r="G7" s="1" t="n">
        <v>1</v>
      </c>
      <c r="H7" s="1" t="n">
        <v>8</v>
      </c>
      <c r="I7" s="1" t="n">
        <v>1</v>
      </c>
      <c r="J7" s="1" t="n">
        <v>7.75</v>
      </c>
      <c r="K7" s="1" t="n">
        <f aca="false">ROUND(AVERAGE(D7,E7,F7,G7,H7,I7,J6),0)</f>
        <v>5</v>
      </c>
      <c r="L7" s="1" t="str">
        <f aca="false">IF(K7&gt;6,"TEA",IF(K7&gt;3,"TEP","TED"))</f>
        <v>TEP</v>
      </c>
    </row>
    <row r="8" customFormat="false" ht="15.65" hidden="false" customHeight="false" outlineLevel="0" collapsed="false">
      <c r="A8" s="1" t="n">
        <v>6</v>
      </c>
      <c r="B8" s="2" t="s">
        <v>24</v>
      </c>
      <c r="C8" s="2" t="s">
        <v>25</v>
      </c>
      <c r="D8" s="1" t="n">
        <v>10</v>
      </c>
      <c r="E8" s="1" t="n">
        <v>9</v>
      </c>
      <c r="F8" s="1" t="n">
        <v>8</v>
      </c>
      <c r="G8" s="1" t="n">
        <v>10</v>
      </c>
      <c r="H8" s="1" t="n">
        <v>7</v>
      </c>
      <c r="I8" s="1" t="n">
        <v>7</v>
      </c>
      <c r="J8" s="1" t="n">
        <v>9</v>
      </c>
      <c r="K8" s="1" t="n">
        <f aca="false">ROUND(AVERAGE(D8,E8,F8,G8,H8,I8,J7),0)</f>
        <v>8</v>
      </c>
      <c r="L8" s="1" t="str">
        <f aca="false">IF(K8&gt;6,"TEA",IF(K8&gt;3,"TEP","TED"))</f>
        <v>TEA</v>
      </c>
    </row>
    <row r="9" customFormat="false" ht="15.65" hidden="false" customHeight="false" outlineLevel="0" collapsed="false">
      <c r="A9" s="1" t="n">
        <v>7</v>
      </c>
      <c r="B9" s="2" t="s">
        <v>26</v>
      </c>
      <c r="C9" s="2" t="s">
        <v>27</v>
      </c>
      <c r="D9" s="1" t="n">
        <v>8</v>
      </c>
      <c r="E9" s="1" t="n">
        <v>9</v>
      </c>
      <c r="F9" s="1" t="n">
        <v>10</v>
      </c>
      <c r="G9" s="1" t="n">
        <v>2</v>
      </c>
      <c r="H9" s="1" t="n">
        <v>7</v>
      </c>
      <c r="I9" s="1" t="n">
        <v>1</v>
      </c>
      <c r="J9" s="1" t="n">
        <v>6.5</v>
      </c>
      <c r="K9" s="1" t="n">
        <f aca="false">ROUND(AVERAGE(D9,E9,F9,G9,H9,I9,J8),0)</f>
        <v>7</v>
      </c>
      <c r="L9" s="1" t="str">
        <f aca="false">IF(K9&gt;6,"TEA",IF(K9&gt;3,"TEP","TED"))</f>
        <v>TEA</v>
      </c>
    </row>
    <row r="10" customFormat="false" ht="15.65" hidden="false" customHeight="false" outlineLevel="0" collapsed="false">
      <c r="A10" s="1" t="n">
        <v>8</v>
      </c>
      <c r="B10" s="2" t="s">
        <v>29</v>
      </c>
      <c r="C10" s="2" t="s">
        <v>30</v>
      </c>
      <c r="D10" s="1" t="n">
        <v>9</v>
      </c>
      <c r="E10" s="1" t="n">
        <v>10</v>
      </c>
      <c r="F10" s="1" t="n">
        <v>9</v>
      </c>
      <c r="G10" s="1" t="n">
        <v>8</v>
      </c>
      <c r="H10" s="1" t="n">
        <v>8</v>
      </c>
      <c r="I10" s="1" t="n">
        <v>6</v>
      </c>
      <c r="J10" s="1" t="n">
        <v>8.5</v>
      </c>
      <c r="K10" s="1" t="n">
        <f aca="false">ROUND(AVERAGE(D10,E10,F10,G10,H10,I10,J9),0)</f>
        <v>8</v>
      </c>
      <c r="L10" s="1" t="str">
        <f aca="false">IF(K10&gt;6,"TEA",IF(K10&gt;3,"TEP","TED"))</f>
        <v>TEA</v>
      </c>
    </row>
    <row r="11" customFormat="false" ht="15.65" hidden="false" customHeight="false" outlineLevel="0" collapsed="false">
      <c r="A11" s="1" t="n">
        <v>9</v>
      </c>
      <c r="B11" s="2" t="s">
        <v>31</v>
      </c>
      <c r="C11" s="2" t="s">
        <v>32</v>
      </c>
      <c r="D11" s="1" t="n">
        <v>5</v>
      </c>
      <c r="E11" s="1" t="n">
        <v>10</v>
      </c>
      <c r="F11" s="1" t="n">
        <v>1</v>
      </c>
      <c r="G11" s="1" t="n">
        <v>1</v>
      </c>
      <c r="H11" s="1" t="n">
        <v>4</v>
      </c>
      <c r="I11" s="1" t="n">
        <v>1</v>
      </c>
      <c r="J11" s="1" t="n">
        <v>5.25</v>
      </c>
      <c r="K11" s="1" t="n">
        <f aca="false">ROUND(AVERAGE(D11,E11,F11,G11,H11,I11,J10),0)</f>
        <v>4</v>
      </c>
      <c r="L11" s="1" t="str">
        <f aca="false">IF(K11&gt;6,"TEA",IF(K11&gt;3,"TEP","TED"))</f>
        <v>TEP</v>
      </c>
    </row>
    <row r="12" customFormat="false" ht="15.65" hidden="false" customHeight="false" outlineLevel="0" collapsed="false">
      <c r="A12" s="1" t="n">
        <v>10</v>
      </c>
      <c r="B12" s="2" t="s">
        <v>33</v>
      </c>
      <c r="C12" s="2" t="s">
        <v>34</v>
      </c>
      <c r="D12" s="1" t="n">
        <v>3</v>
      </c>
      <c r="E12" s="1" t="n">
        <v>9</v>
      </c>
      <c r="F12" s="1" t="n">
        <v>1</v>
      </c>
      <c r="G12" s="1" t="n">
        <v>3</v>
      </c>
      <c r="H12" s="1" t="n">
        <v>8</v>
      </c>
      <c r="I12" s="1" t="n">
        <v>1</v>
      </c>
      <c r="J12" s="1" t="n">
        <v>5.5</v>
      </c>
      <c r="K12" s="1" t="n">
        <f aca="false">ROUND(AVERAGE(D12,E12,F12,G12,H12,I12,J11),0)</f>
        <v>4</v>
      </c>
      <c r="L12" s="1" t="str">
        <f aca="false">IF(K12&gt;6,"TEA",IF(K12&gt;3,"TEP","TED"))</f>
        <v>TEP</v>
      </c>
    </row>
    <row r="13" customFormat="false" ht="15.65" hidden="false" customHeight="false" outlineLevel="0" collapsed="false">
      <c r="A13" s="1" t="n">
        <v>11</v>
      </c>
      <c r="B13" s="2" t="s">
        <v>35</v>
      </c>
      <c r="C13" s="2" t="s">
        <v>36</v>
      </c>
      <c r="D13" s="1" t="n">
        <v>9</v>
      </c>
      <c r="E13" s="1" t="n">
        <v>9</v>
      </c>
      <c r="F13" s="1" t="n">
        <v>10</v>
      </c>
      <c r="G13" s="1" t="n">
        <v>1</v>
      </c>
      <c r="H13" s="1" t="n">
        <v>9</v>
      </c>
      <c r="I13" s="1" t="n">
        <v>7</v>
      </c>
      <c r="J13" s="1" t="n">
        <v>10</v>
      </c>
      <c r="K13" s="1" t="n">
        <f aca="false">ROUND(AVERAGE(D13,E13,F13,G13,H13,I13,J12),0)</f>
        <v>7</v>
      </c>
      <c r="L13" s="1" t="str">
        <f aca="false">IF(K13&gt;6,"TEA",IF(K13&gt;3,"TEP","TED"))</f>
        <v>TEA</v>
      </c>
    </row>
    <row r="14" customFormat="false" ht="15.65" hidden="false" customHeight="false" outlineLevel="0" collapsed="false">
      <c r="A14" s="1" t="n">
        <v>12</v>
      </c>
      <c r="B14" s="2" t="s">
        <v>35</v>
      </c>
      <c r="C14" s="2" t="s">
        <v>37</v>
      </c>
      <c r="D14" s="1" t="n">
        <v>1</v>
      </c>
      <c r="E14" s="1" t="n">
        <v>8</v>
      </c>
      <c r="F14" s="1" t="n">
        <v>9</v>
      </c>
      <c r="G14" s="1" t="n">
        <v>1</v>
      </c>
      <c r="H14" s="1" t="n">
        <v>9</v>
      </c>
      <c r="I14" s="1" t="n">
        <v>8</v>
      </c>
      <c r="J14" s="1" t="n">
        <v>8</v>
      </c>
      <c r="K14" s="1" t="n">
        <f aca="false">ROUND(AVERAGE(D14,E14,F14,G14,H14,I14,J13),0)</f>
        <v>7</v>
      </c>
      <c r="L14" s="1" t="str">
        <f aca="false">IF(K14&gt;6,"TEA",IF(K14&gt;3,"TEP","TED"))</f>
        <v>TEA</v>
      </c>
    </row>
    <row r="15" customFormat="false" ht="15.65" hidden="false" customHeight="false" outlineLevel="0" collapsed="false">
      <c r="A15" s="1" t="n">
        <v>13</v>
      </c>
      <c r="B15" s="2" t="s">
        <v>38</v>
      </c>
      <c r="C15" s="2" t="s">
        <v>75</v>
      </c>
      <c r="D15" s="1" t="n">
        <v>8</v>
      </c>
      <c r="E15" s="1" t="n">
        <v>9</v>
      </c>
      <c r="F15" s="1" t="n">
        <v>10</v>
      </c>
      <c r="G15" s="1" t="n">
        <v>7</v>
      </c>
      <c r="H15" s="1" t="n">
        <v>8</v>
      </c>
      <c r="I15" s="1" t="n">
        <v>1</v>
      </c>
      <c r="J15" s="1" t="n">
        <v>6.75</v>
      </c>
      <c r="K15" s="1" t="n">
        <f aca="false">ROUND(AVERAGE(D15,E15,F15,G15,H15,I15,J14),0)</f>
        <v>7</v>
      </c>
      <c r="L15" s="1" t="str">
        <f aca="false">IF(K15&gt;6,"TEA",IF(K15&gt;3,"TEP","TED"))</f>
        <v>TEA</v>
      </c>
    </row>
    <row r="16" customFormat="false" ht="15.65" hidden="false" customHeight="false" outlineLevel="0" collapsed="false">
      <c r="A16" s="1" t="n">
        <v>14</v>
      </c>
      <c r="B16" s="2" t="s">
        <v>41</v>
      </c>
      <c r="C16" s="2" t="s">
        <v>76</v>
      </c>
      <c r="D16" s="1" t="n">
        <v>8</v>
      </c>
      <c r="E16" s="1" t="n">
        <v>9</v>
      </c>
      <c r="F16" s="1" t="n">
        <v>1</v>
      </c>
      <c r="G16" s="1" t="n">
        <v>1</v>
      </c>
      <c r="H16" s="1" t="n">
        <v>6</v>
      </c>
      <c r="I16" s="1" t="n">
        <v>1</v>
      </c>
      <c r="J16" s="1" t="n">
        <v>5.5</v>
      </c>
      <c r="K16" s="1" t="n">
        <f aca="false">ROUND(AVERAGE(D16,E16,F16,G16,H16,I16,J15),0)</f>
        <v>5</v>
      </c>
      <c r="L16" s="1" t="str">
        <f aca="false">IF(K16&gt;6,"TEA",IF(K16&gt;3,"TEP","TED"))</f>
        <v>TEP</v>
      </c>
    </row>
    <row r="17" customFormat="false" ht="15.65" hidden="false" customHeight="false" outlineLevel="0" collapsed="false">
      <c r="A17" s="1" t="n">
        <v>15</v>
      </c>
      <c r="B17" s="2" t="s">
        <v>44</v>
      </c>
      <c r="C17" s="2" t="s">
        <v>45</v>
      </c>
      <c r="D17" s="1" t="n">
        <v>10</v>
      </c>
      <c r="E17" s="1" t="n">
        <v>9</v>
      </c>
      <c r="F17" s="1" t="n">
        <v>8</v>
      </c>
      <c r="G17" s="1" t="n">
        <v>1</v>
      </c>
      <c r="H17" s="1" t="n">
        <v>7</v>
      </c>
      <c r="I17" s="1" t="n">
        <v>7</v>
      </c>
      <c r="J17" s="1" t="n">
        <v>5.25</v>
      </c>
      <c r="K17" s="1" t="n">
        <f aca="false">ROUND(AVERAGE(D17,E17,F17,G17,H17,I17,J16),0)</f>
        <v>7</v>
      </c>
      <c r="L17" s="1" t="str">
        <f aca="false">IF(K17&gt;6,"TEA",IF(K17&gt;3,"TEP","TED"))</f>
        <v>TEA</v>
      </c>
    </row>
    <row r="18" customFormat="false" ht="15.65" hidden="false" customHeight="false" outlineLevel="0" collapsed="false">
      <c r="A18" s="1" t="n">
        <v>16</v>
      </c>
      <c r="B18" s="2" t="s">
        <v>46</v>
      </c>
      <c r="C18" s="2" t="s">
        <v>47</v>
      </c>
      <c r="D18" s="1" t="n">
        <v>10</v>
      </c>
      <c r="E18" s="1" t="n">
        <v>10</v>
      </c>
      <c r="F18" s="1" t="n">
        <v>8</v>
      </c>
      <c r="G18" s="1" t="n">
        <v>3</v>
      </c>
      <c r="H18" s="1" t="n">
        <v>6</v>
      </c>
      <c r="I18" s="1" t="n">
        <v>7</v>
      </c>
      <c r="J18" s="1" t="n">
        <v>7.25</v>
      </c>
      <c r="K18" s="1" t="n">
        <f aca="false">ROUND(AVERAGE(D18,E18,F18,G18,H18,I18,J17),0)</f>
        <v>7</v>
      </c>
      <c r="L18" s="1" t="str">
        <f aca="false">IF(K18&gt;6,"TEA",IF(K18&gt;3,"TEP","TED"))</f>
        <v>TEA</v>
      </c>
    </row>
    <row r="19" customFormat="false" ht="15.65" hidden="false" customHeight="false" outlineLevel="0" collapsed="false">
      <c r="A19" s="1" t="n">
        <v>17</v>
      </c>
      <c r="B19" s="1" t="s">
        <v>48</v>
      </c>
      <c r="C19" s="1" t="s">
        <v>49</v>
      </c>
      <c r="D19" s="1" t="n">
        <v>1</v>
      </c>
      <c r="E19" s="1" t="n">
        <v>9</v>
      </c>
      <c r="F19" s="1" t="n">
        <v>10</v>
      </c>
      <c r="G19" s="1" t="n">
        <v>9</v>
      </c>
      <c r="H19" s="1" t="n">
        <v>9</v>
      </c>
      <c r="I19" s="1" t="n">
        <v>10</v>
      </c>
      <c r="J19" s="1" t="n">
        <v>9</v>
      </c>
      <c r="K19" s="1" t="n">
        <f aca="false">ROUND(AVERAGE(D19,E19,F19,G19,H19,I19,J18),0)</f>
        <v>8</v>
      </c>
      <c r="L19" s="1" t="str">
        <f aca="false">IF(K19&gt;6,"TEA",IF(K19&gt;3,"TEP","TED"))</f>
        <v>TEA</v>
      </c>
    </row>
    <row r="20" customFormat="false" ht="15.65" hidden="false" customHeight="false" outlineLevel="0" collapsed="false">
      <c r="A20" s="1" t="n">
        <v>18</v>
      </c>
      <c r="B20" s="2" t="s">
        <v>50</v>
      </c>
      <c r="C20" s="2" t="s">
        <v>51</v>
      </c>
      <c r="D20" s="1" t="n">
        <v>8</v>
      </c>
      <c r="E20" s="1" t="n">
        <v>9</v>
      </c>
      <c r="F20" s="1" t="n">
        <v>10</v>
      </c>
      <c r="G20" s="1" t="n">
        <v>6</v>
      </c>
      <c r="H20" s="1" t="n">
        <v>7</v>
      </c>
      <c r="I20" s="1" t="n">
        <v>1</v>
      </c>
      <c r="J20" s="1" t="n">
        <v>8.25</v>
      </c>
      <c r="K20" s="1" t="n">
        <f aca="false">ROUND(AVERAGE(D20,E20,F20,G20,H20,I20,J19),0)</f>
        <v>7</v>
      </c>
      <c r="L20" s="1" t="str">
        <f aca="false">IF(K20&gt;6,"TEA",IF(K20&gt;3,"TEP","TED"))</f>
        <v>TEA</v>
      </c>
    </row>
    <row r="21" customFormat="false" ht="15.65" hidden="false" customHeight="false" outlineLevel="0" collapsed="false">
      <c r="A21" s="1" t="n">
        <v>19</v>
      </c>
      <c r="B21" s="2" t="s">
        <v>52</v>
      </c>
      <c r="C21" s="2" t="s">
        <v>53</v>
      </c>
      <c r="D21" s="1" t="n">
        <v>1</v>
      </c>
      <c r="E21" s="1" t="n">
        <v>7</v>
      </c>
      <c r="F21" s="1" t="n">
        <v>3</v>
      </c>
      <c r="G21" s="1" t="n">
        <v>1</v>
      </c>
      <c r="H21" s="1" t="n">
        <v>1</v>
      </c>
      <c r="I21" s="1" t="n">
        <v>1</v>
      </c>
      <c r="J21" s="1" t="n">
        <v>4</v>
      </c>
      <c r="K21" s="1" t="n">
        <f aca="false">ROUND(AVERAGE(D21,E21,F21,G21,H21,I21,J20),0)</f>
        <v>3</v>
      </c>
      <c r="L21" s="1" t="str">
        <f aca="false">IF(K21&gt;6,"TEA",IF(K21&gt;3,"TEP","TED"))</f>
        <v>TED</v>
      </c>
    </row>
    <row r="22" customFormat="false" ht="15.65" hidden="false" customHeight="false" outlineLevel="0" collapsed="false">
      <c r="A22" s="1" t="n">
        <v>20</v>
      </c>
      <c r="B22" s="2" t="s">
        <v>54</v>
      </c>
      <c r="C22" s="2" t="s">
        <v>55</v>
      </c>
      <c r="D22" s="1" t="n">
        <v>1</v>
      </c>
      <c r="E22" s="1" t="n">
        <v>9</v>
      </c>
      <c r="F22" s="1" t="n">
        <v>1</v>
      </c>
      <c r="G22" s="1" t="n">
        <v>1</v>
      </c>
      <c r="H22" s="1" t="n">
        <v>1</v>
      </c>
      <c r="I22" s="1" t="n">
        <v>1</v>
      </c>
      <c r="J22" s="1" t="n">
        <v>6.25</v>
      </c>
      <c r="K22" s="1" t="n">
        <f aca="false">ROUND(AVERAGE(D22,E22,F22,G22,H22,I22,J21),0)</f>
        <v>3</v>
      </c>
      <c r="L22" s="1" t="str">
        <f aca="false">IF(K22&gt;6,"TEA",IF(K22&gt;3,"TEP","TED"))</f>
        <v>TED</v>
      </c>
    </row>
    <row r="23" customFormat="false" ht="15.65" hidden="false" customHeight="false" outlineLevel="0" collapsed="false">
      <c r="A23" s="1" t="n">
        <v>21</v>
      </c>
      <c r="B23" s="2" t="s">
        <v>16</v>
      </c>
      <c r="C23" s="2" t="s">
        <v>56</v>
      </c>
      <c r="D23" s="1" t="n">
        <v>10</v>
      </c>
      <c r="E23" s="1" t="n">
        <v>10</v>
      </c>
      <c r="F23" s="1" t="n">
        <v>10</v>
      </c>
      <c r="G23" s="1" t="n">
        <v>10</v>
      </c>
      <c r="H23" s="1" t="n">
        <v>8</v>
      </c>
      <c r="I23" s="1" t="n">
        <v>8</v>
      </c>
      <c r="J23" s="1" t="n">
        <v>9.5</v>
      </c>
      <c r="K23" s="1" t="n">
        <f aca="false">ROUND(AVERAGE(D23,E23,F23,G23,H23,I23,J22),0)</f>
        <v>9</v>
      </c>
      <c r="L23" s="1" t="str">
        <f aca="false">IF(K23&gt;6,"TEA",IF(K23&gt;3,"TEP","TED"))</f>
        <v>TEA</v>
      </c>
    </row>
    <row r="24" customFormat="false" ht="15.65" hidden="false" customHeight="false" outlineLevel="0" collapsed="false">
      <c r="A24" s="1" t="n">
        <v>22</v>
      </c>
      <c r="B24" s="2" t="s">
        <v>57</v>
      </c>
      <c r="C24" s="2" t="s">
        <v>58</v>
      </c>
      <c r="D24" s="1" t="n">
        <v>10</v>
      </c>
      <c r="E24" s="1" t="n">
        <v>10</v>
      </c>
      <c r="F24" s="1" t="n">
        <v>9</v>
      </c>
      <c r="G24" s="1" t="n">
        <v>6</v>
      </c>
      <c r="H24" s="1" t="n">
        <v>7</v>
      </c>
      <c r="I24" s="1" t="n">
        <v>7</v>
      </c>
      <c r="J24" s="1" t="n">
        <v>7.25</v>
      </c>
      <c r="K24" s="1" t="n">
        <f aca="false">ROUND(AVERAGE(D24,E24,F24,G24,H24,I24,J23),0)</f>
        <v>8</v>
      </c>
      <c r="L24" s="1" t="str">
        <f aca="false">IF(K24&gt;6,"TEA",IF(K24&gt;3,"TEP","TED"))</f>
        <v>TEA</v>
      </c>
    </row>
    <row r="25" customFormat="false" ht="15.65" hidden="false" customHeight="false" outlineLevel="0" collapsed="false">
      <c r="A25" s="1" t="n">
        <v>23</v>
      </c>
      <c r="B25" s="2" t="s">
        <v>59</v>
      </c>
      <c r="C25" s="2" t="s">
        <v>60</v>
      </c>
      <c r="D25" s="1" t="n">
        <v>1</v>
      </c>
      <c r="E25" s="1" t="n">
        <v>8</v>
      </c>
      <c r="F25" s="1" t="n">
        <v>7</v>
      </c>
      <c r="G25" s="1" t="n">
        <v>3</v>
      </c>
      <c r="H25" s="1" t="n">
        <v>8</v>
      </c>
      <c r="I25" s="1" t="n">
        <v>7</v>
      </c>
      <c r="J25" s="1" t="n">
        <v>7.375</v>
      </c>
      <c r="K25" s="1" t="n">
        <f aca="false">ROUND(AVERAGE(D25,E25,F25,G25,H25,I25,J24),0)</f>
        <v>6</v>
      </c>
      <c r="L25" s="1" t="str">
        <f aca="false">IF(K25&gt;6,"TEA",IF(K25&gt;3,"TEP","TED"))</f>
        <v>TEP</v>
      </c>
    </row>
    <row r="26" customFormat="false" ht="15.65" hidden="false" customHeight="false" outlineLevel="0" collapsed="false">
      <c r="A26" s="1" t="n">
        <v>24</v>
      </c>
      <c r="B26" s="2"/>
      <c r="C26" s="2" t="s">
        <v>43</v>
      </c>
      <c r="D26" s="1" t="n">
        <v>1</v>
      </c>
      <c r="E26" s="1" t="n">
        <v>7</v>
      </c>
      <c r="F26" s="1" t="n">
        <v>9</v>
      </c>
      <c r="G26" s="1" t="n">
        <v>1</v>
      </c>
      <c r="H26" s="1" t="n">
        <v>8</v>
      </c>
      <c r="I26" s="1" t="n">
        <v>7</v>
      </c>
      <c r="J26" s="1" t="n">
        <v>1</v>
      </c>
      <c r="K26" s="1" t="n">
        <f aca="false">ROUND(AVERAGE(D26,E26,F26,G26,H26,I26,J25),0)</f>
        <v>6</v>
      </c>
      <c r="L26" s="1" t="str">
        <f aca="false">IF(K26&gt;6,"TEA",IF(K26&gt;3,"TEP","TED"))</f>
        <v>TEP</v>
      </c>
    </row>
    <row r="27" customFormat="false" ht="15.65" hidden="false" customHeight="false" outlineLevel="0" collapsed="false">
      <c r="A27" s="1" t="n">
        <v>25</v>
      </c>
      <c r="B27" s="2"/>
      <c r="C27" s="2" t="s">
        <v>28</v>
      </c>
      <c r="D27" s="1" t="n">
        <v>5</v>
      </c>
      <c r="E27" s="1" t="n">
        <v>10</v>
      </c>
      <c r="F27" s="1" t="n">
        <v>9</v>
      </c>
      <c r="G27" s="1" t="n">
        <v>1</v>
      </c>
      <c r="H27" s="1" t="n">
        <v>7</v>
      </c>
      <c r="I27" s="1" t="n">
        <v>7</v>
      </c>
      <c r="J27" s="1" t="n">
        <v>6.5</v>
      </c>
      <c r="K27" s="1" t="n">
        <f aca="false">ROUND(AVERAGE(D27,E27,F27,G27,H27,I27,J26),0)</f>
        <v>6</v>
      </c>
      <c r="L27" s="1" t="str">
        <f aca="false">IF(K27&gt;6,"TEA",IF(K27&gt;3,"TEP","TED"))</f>
        <v>TEP</v>
      </c>
    </row>
    <row r="28" customFormat="false" ht="15.65" hidden="false" customHeight="false" outlineLevel="0" collapsed="false">
      <c r="A28" s="1" t="n">
        <v>26</v>
      </c>
      <c r="B28" s="2"/>
      <c r="C28" s="2" t="s">
        <v>40</v>
      </c>
      <c r="D28" s="1" t="n">
        <v>8</v>
      </c>
      <c r="E28" s="1" t="n">
        <v>9</v>
      </c>
      <c r="F28" s="1" t="n">
        <v>10</v>
      </c>
      <c r="G28" s="1" t="n">
        <v>1</v>
      </c>
      <c r="H28" s="1" t="n">
        <v>8</v>
      </c>
      <c r="I28" s="1" t="n">
        <v>6</v>
      </c>
      <c r="J28" s="1" t="n">
        <v>4.75</v>
      </c>
      <c r="K28" s="1" t="n">
        <f aca="false">ROUND(AVERAGE(D28,E28,F28,G28,H28,I28,J27),0)</f>
        <v>7</v>
      </c>
      <c r="L28" s="1" t="str">
        <f aca="false">IF(K28&gt;6,"TEA",IF(K28&gt;3,"TEP","TED"))</f>
        <v>TEA</v>
      </c>
    </row>
    <row r="29" customFormat="false" ht="15.65" hidden="false" customHeight="false" outlineLevel="0" collapsed="false">
      <c r="A29" s="1" t="n">
        <v>27</v>
      </c>
      <c r="C29" s="1" t="s">
        <v>62</v>
      </c>
      <c r="D29" s="1" t="n">
        <v>8</v>
      </c>
      <c r="E29" s="1" t="n">
        <v>10</v>
      </c>
      <c r="F29" s="1" t="n">
        <v>6</v>
      </c>
      <c r="G29" s="1" t="n">
        <v>1</v>
      </c>
      <c r="H29" s="1" t="n">
        <v>9</v>
      </c>
      <c r="I29" s="1" t="n">
        <v>6</v>
      </c>
      <c r="J29" s="1" t="n">
        <v>7.75</v>
      </c>
      <c r="K29" s="1" t="n">
        <f aca="false">ROUND(AVERAGE(D29,E29,F29,G29,H29,I29,J28),0)</f>
        <v>6</v>
      </c>
      <c r="L29" s="1" t="str">
        <f aca="false">IF(K29&gt;6,"TEA",IF(K29&gt;3,"TEP","TED"))</f>
        <v>TEP</v>
      </c>
    </row>
  </sheetData>
  <conditionalFormatting sqref="D3:L5 D6:I29 K6:L29 J6:J23">
    <cfRule type="cellIs" priority="2" operator="greaterThan" aboveAverage="0" equalAverage="0" bottom="0" percent="0" rank="0" text="" dxfId="7">
      <formula>6</formula>
    </cfRule>
    <cfRule type="cellIs" priority="3" operator="between" aboveAverage="0" equalAverage="0" bottom="0" percent="0" rank="0" text="" dxfId="8">
      <formula>4</formula>
      <formula>6</formula>
    </cfRule>
    <cfRule type="cellIs" priority="4" operator="lessThan" aboveAverage="0" equalAverage="0" bottom="0" percent="0" rank="0" text="" dxfId="9">
      <formula>4</formula>
    </cfRule>
    <cfRule type="cellIs" priority="5" operator="equal" aboveAverage="0" equalAverage="0" bottom="0" percent="0" rank="0" text="" dxfId="7">
      <formula>"TEA"</formula>
    </cfRule>
    <cfRule type="cellIs" priority="6" operator="equal" aboveAverage="0" equalAverage="0" bottom="0" percent="0" rank="0" text="" dxfId="8">
      <formula>"TEP"</formula>
    </cfRule>
    <cfRule type="cellIs" priority="7" operator="equal" aboveAverage="0" equalAverage="0" bottom="0" percent="0" rank="0" text="" dxfId="9">
      <formula>"TED"</formula>
    </cfRule>
  </conditionalFormatting>
  <conditionalFormatting sqref="J24:J29">
    <cfRule type="cellIs" priority="8" operator="greaterThan" aboveAverage="0" equalAverage="0" bottom="0" percent="0" rank="0" text="" dxfId="7">
      <formula>6</formula>
    </cfRule>
    <cfRule type="cellIs" priority="9" operator="between" aboveAverage="0" equalAverage="0" bottom="0" percent="0" rank="0" text="" dxfId="8">
      <formula>4</formula>
      <formula>6</formula>
    </cfRule>
    <cfRule type="cellIs" priority="10" operator="lessThan" aboveAverage="0" equalAverage="0" bottom="0" percent="0" rank="0" text="" dxfId="9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G22" activeCellId="1" sqref="L3:L25 G2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4.42"/>
    <col collapsed="false" customWidth="true" hidden="false" outlineLevel="0" max="3" min="3" style="1" width="20.0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77</v>
      </c>
      <c r="E1" s="1" t="s">
        <v>78</v>
      </c>
      <c r="F1" s="1" t="s">
        <v>79</v>
      </c>
      <c r="G1" s="1" t="s">
        <v>80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81</v>
      </c>
      <c r="D2" s="1" t="n">
        <v>10</v>
      </c>
      <c r="G2" s="1" t="n">
        <v>10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82</v>
      </c>
      <c r="D3" s="1" t="n">
        <v>6</v>
      </c>
      <c r="E3" s="1" t="n">
        <f aca="false">ROUND(AVERAGE(D3:D4),0)</f>
        <v>5</v>
      </c>
      <c r="F3" s="1" t="n">
        <v>3</v>
      </c>
      <c r="G3" s="1" t="n">
        <f aca="false">MAX(F3,E3)</f>
        <v>5</v>
      </c>
    </row>
    <row r="4" customFormat="false" ht="15" hidden="false" customHeight="false" outlineLevel="0" collapsed="false">
      <c r="C4" s="1" t="s">
        <v>82</v>
      </c>
      <c r="D4" s="1" t="n">
        <v>3</v>
      </c>
    </row>
    <row r="5" customFormat="false" ht="15" hidden="false" customHeight="false" outlineLevel="0" collapsed="false">
      <c r="A5" s="1" t="n">
        <v>3</v>
      </c>
      <c r="B5" s="2" t="s">
        <v>17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4</v>
      </c>
      <c r="B6" s="2" t="s">
        <v>21</v>
      </c>
      <c r="C6" s="1" t="s">
        <v>83</v>
      </c>
      <c r="D6" s="1" t="n">
        <v>4</v>
      </c>
      <c r="G6" s="1" t="n">
        <v>4</v>
      </c>
    </row>
    <row r="7" customFormat="false" ht="15" hidden="false" customHeight="false" outlineLevel="0" collapsed="false">
      <c r="A7" s="1" t="n">
        <v>5</v>
      </c>
      <c r="B7" s="2" t="s">
        <v>23</v>
      </c>
      <c r="C7" s="1" t="s">
        <v>84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n">
        <v>6</v>
      </c>
      <c r="B8" s="2" t="s">
        <v>25</v>
      </c>
      <c r="C8" s="1" t="s">
        <v>85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7</v>
      </c>
      <c r="B9" s="2" t="s">
        <v>27</v>
      </c>
      <c r="C9" s="1" t="s">
        <v>86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25</v>
      </c>
      <c r="B10" s="2" t="s">
        <v>28</v>
      </c>
      <c r="C10" s="1" t="s">
        <v>87</v>
      </c>
      <c r="D10" s="1" t="n">
        <v>9</v>
      </c>
      <c r="G10" s="1" t="n">
        <v>9</v>
      </c>
    </row>
    <row r="11" customFormat="false" ht="15" hidden="false" customHeight="false" outlineLevel="0" collapsed="false">
      <c r="A11" s="1" t="n">
        <v>8</v>
      </c>
      <c r="B11" s="2" t="s">
        <v>30</v>
      </c>
      <c r="C11" s="1" t="s">
        <v>88</v>
      </c>
      <c r="D11" s="1" t="n">
        <v>9</v>
      </c>
      <c r="G11" s="1" t="n">
        <v>9</v>
      </c>
    </row>
    <row r="12" customFormat="false" ht="15" hidden="false" customHeight="false" outlineLevel="0" collapsed="false">
      <c r="A12" s="1" t="n">
        <v>9</v>
      </c>
      <c r="B12" s="2" t="s">
        <v>32</v>
      </c>
      <c r="C12" s="1" t="s">
        <v>89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10</v>
      </c>
      <c r="B13" s="2" t="s">
        <v>34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11</v>
      </c>
      <c r="B14" s="2" t="s">
        <v>36</v>
      </c>
      <c r="C14" s="1" t="s">
        <v>90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1" t="n">
        <v>12</v>
      </c>
      <c r="B15" s="2" t="s">
        <v>37</v>
      </c>
      <c r="C15" s="1" t="s">
        <v>91</v>
      </c>
      <c r="D15" s="1" t="n">
        <v>10</v>
      </c>
      <c r="E15" s="1" t="n">
        <f aca="false">ROUND(AVERAGE(D15:D20),0)</f>
        <v>7</v>
      </c>
      <c r="F15" s="1" t="n">
        <v>9</v>
      </c>
      <c r="G15" s="1" t="n">
        <f aca="false">MAX(F15,E15)</f>
        <v>9</v>
      </c>
    </row>
    <row r="16" customFormat="false" ht="15" hidden="false" customHeight="false" outlineLevel="0" collapsed="false">
      <c r="C16" s="1" t="s">
        <v>91</v>
      </c>
      <c r="D16" s="1" t="n">
        <v>10</v>
      </c>
    </row>
    <row r="17" customFormat="false" ht="15" hidden="false" customHeight="false" outlineLevel="0" collapsed="false">
      <c r="C17" s="1" t="s">
        <v>91</v>
      </c>
      <c r="D17" s="1" t="n">
        <v>9</v>
      </c>
    </row>
    <row r="18" customFormat="false" ht="15" hidden="false" customHeight="false" outlineLevel="0" collapsed="false">
      <c r="C18" s="1" t="s">
        <v>91</v>
      </c>
      <c r="D18" s="1" t="n">
        <v>6</v>
      </c>
    </row>
    <row r="19" customFormat="false" ht="15" hidden="false" customHeight="false" outlineLevel="0" collapsed="false">
      <c r="C19" s="1" t="s">
        <v>91</v>
      </c>
      <c r="D19" s="1" t="n">
        <v>4</v>
      </c>
    </row>
    <row r="20" customFormat="false" ht="15" hidden="false" customHeight="false" outlineLevel="0" collapsed="false">
      <c r="C20" s="1" t="s">
        <v>91</v>
      </c>
      <c r="D20" s="1" t="n">
        <v>2</v>
      </c>
    </row>
    <row r="21" customFormat="false" ht="15" hidden="false" customHeight="false" outlineLevel="0" collapsed="false">
      <c r="A21" s="1" t="n">
        <v>13</v>
      </c>
      <c r="B21" s="6" t="s">
        <v>39</v>
      </c>
      <c r="C21" s="1" t="s">
        <v>92</v>
      </c>
      <c r="D21" s="1" t="n">
        <v>10</v>
      </c>
      <c r="G21" s="1" t="n">
        <v>10</v>
      </c>
    </row>
    <row r="22" customFormat="false" ht="15" hidden="false" customHeight="false" outlineLevel="0" collapsed="false">
      <c r="A22" s="1" t="n">
        <v>26</v>
      </c>
      <c r="B22" s="2" t="s">
        <v>93</v>
      </c>
      <c r="C22" s="1" t="s">
        <v>94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14</v>
      </c>
      <c r="B23" s="2" t="s">
        <v>95</v>
      </c>
      <c r="C23" s="1" t="s">
        <v>96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24</v>
      </c>
      <c r="B24" s="2" t="s">
        <v>43</v>
      </c>
      <c r="C24" s="1" t="s">
        <v>97</v>
      </c>
      <c r="D24" s="1" t="n">
        <v>9</v>
      </c>
      <c r="G24" s="1" t="n">
        <v>9</v>
      </c>
    </row>
    <row r="25" customFormat="false" ht="15" hidden="false" customHeight="false" outlineLevel="0" collapsed="false">
      <c r="A25" s="1" t="n">
        <v>15</v>
      </c>
      <c r="B25" s="2" t="s">
        <v>45</v>
      </c>
      <c r="C25" s="1" t="s">
        <v>98</v>
      </c>
      <c r="D25" s="1" t="n">
        <v>10</v>
      </c>
      <c r="E25" s="1" t="n">
        <f aca="false">ROUND(AVERAGE(D25:D26),0)</f>
        <v>8</v>
      </c>
      <c r="F25" s="1" t="n">
        <v>5</v>
      </c>
      <c r="G25" s="1" t="n">
        <f aca="false">MAX(F25,E25)</f>
        <v>8</v>
      </c>
    </row>
    <row r="26" customFormat="false" ht="15" hidden="false" customHeight="false" outlineLevel="0" collapsed="false">
      <c r="C26" s="1" t="s">
        <v>98</v>
      </c>
      <c r="D26" s="1" t="n">
        <v>5</v>
      </c>
    </row>
    <row r="27" customFormat="false" ht="15" hidden="false" customHeight="false" outlineLevel="0" collapsed="false">
      <c r="A27" s="1" t="n">
        <v>16</v>
      </c>
      <c r="B27" s="2" t="s">
        <v>47</v>
      </c>
      <c r="C27" s="1" t="s">
        <v>99</v>
      </c>
      <c r="D27" s="1" t="n">
        <v>8</v>
      </c>
      <c r="G27" s="1" t="n">
        <v>8</v>
      </c>
    </row>
    <row r="28" customFormat="false" ht="15" hidden="false" customHeight="false" outlineLevel="0" collapsed="false">
      <c r="A28" s="1" t="n">
        <v>17</v>
      </c>
      <c r="B28" s="1" t="s">
        <v>49</v>
      </c>
      <c r="C28" s="1" t="s">
        <v>100</v>
      </c>
      <c r="D28" s="1" t="n">
        <v>10</v>
      </c>
      <c r="G28" s="1" t="n">
        <v>10</v>
      </c>
    </row>
    <row r="29" customFormat="false" ht="15" hidden="false" customHeight="false" outlineLevel="0" collapsed="false">
      <c r="A29" s="1" t="n">
        <v>18</v>
      </c>
      <c r="B29" s="2" t="s">
        <v>51</v>
      </c>
      <c r="C29" s="1" t="s">
        <v>101</v>
      </c>
      <c r="D29" s="1" t="n">
        <v>10</v>
      </c>
      <c r="G29" s="1" t="n">
        <v>10</v>
      </c>
    </row>
    <row r="30" customFormat="false" ht="15" hidden="false" customHeight="false" outlineLevel="0" collapsed="false">
      <c r="A30" s="1" t="n">
        <v>19</v>
      </c>
      <c r="B30" s="2" t="s">
        <v>53</v>
      </c>
      <c r="C30" s="1" t="s">
        <v>102</v>
      </c>
      <c r="D30" s="1" t="n">
        <v>3</v>
      </c>
      <c r="G30" s="1" t="n">
        <v>3</v>
      </c>
    </row>
    <row r="31" customFormat="false" ht="15" hidden="false" customHeight="false" outlineLevel="0" collapsed="false">
      <c r="A31" s="1" t="n">
        <v>20</v>
      </c>
      <c r="B31" s="2" t="s">
        <v>55</v>
      </c>
      <c r="D31" s="1" t="n">
        <v>1</v>
      </c>
      <c r="G31" s="1" t="n">
        <v>1</v>
      </c>
    </row>
    <row r="32" customFormat="false" ht="15" hidden="false" customHeight="false" outlineLevel="0" collapsed="false">
      <c r="A32" s="1" t="n">
        <v>21</v>
      </c>
      <c r="B32" s="2" t="s">
        <v>56</v>
      </c>
      <c r="C32" s="1" t="s">
        <v>56</v>
      </c>
      <c r="D32" s="1" t="n">
        <v>10</v>
      </c>
      <c r="G32" s="1" t="n">
        <v>10</v>
      </c>
    </row>
    <row r="33" customFormat="false" ht="15" hidden="false" customHeight="false" outlineLevel="0" collapsed="false">
      <c r="A33" s="1" t="n">
        <v>22</v>
      </c>
      <c r="B33" s="2" t="s">
        <v>58</v>
      </c>
      <c r="C33" s="1" t="s">
        <v>103</v>
      </c>
      <c r="D33" s="1" t="n">
        <v>9</v>
      </c>
      <c r="G33" s="1" t="n">
        <v>9</v>
      </c>
    </row>
    <row r="34" customFormat="false" ht="15" hidden="false" customHeight="false" outlineLevel="0" collapsed="false">
      <c r="A34" s="1" t="n">
        <v>23</v>
      </c>
      <c r="B34" s="2" t="s">
        <v>60</v>
      </c>
      <c r="C34" s="1" t="s">
        <v>104</v>
      </c>
      <c r="D34" s="1" t="n">
        <v>7</v>
      </c>
      <c r="G34" s="1" t="n">
        <v>7</v>
      </c>
    </row>
    <row r="35" customFormat="false" ht="15" hidden="false" customHeight="false" outlineLevel="0" collapsed="false">
      <c r="A35" s="1" t="n">
        <v>27</v>
      </c>
      <c r="B35" s="1" t="s">
        <v>62</v>
      </c>
      <c r="C35" s="1" t="s">
        <v>105</v>
      </c>
      <c r="D35" s="1" t="n">
        <v>8</v>
      </c>
      <c r="E35" s="1" t="n">
        <f aca="false">ROUND(AVERAGE(D35:D37),0)</f>
        <v>6</v>
      </c>
      <c r="F35" s="1" t="n">
        <v>3</v>
      </c>
      <c r="G35" s="1" t="n">
        <f aca="false">MAX(F35,E35)</f>
        <v>6</v>
      </c>
    </row>
    <row r="36" customFormat="false" ht="15" hidden="false" customHeight="false" outlineLevel="0" collapsed="false">
      <c r="C36" s="1" t="s">
        <v>105</v>
      </c>
      <c r="D36" s="1" t="n">
        <v>8</v>
      </c>
    </row>
    <row r="37" customFormat="false" ht="15" hidden="false" customHeight="false" outlineLevel="0" collapsed="false">
      <c r="C37" s="1" t="s">
        <v>105</v>
      </c>
      <c r="D37" s="1" t="n">
        <v>3</v>
      </c>
    </row>
    <row r="38" customFormat="false" ht="15" hidden="false" customHeight="false" outlineLevel="0" collapsed="false">
      <c r="F38" s="1" t="s">
        <v>8</v>
      </c>
      <c r="G38" s="1" t="n">
        <f aca="false">COUNTIF(G2:G36,"&gt;0")</f>
        <v>27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1" sqref="L3:L25 A25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1.86"/>
    <col collapsed="false" customWidth="true" hidden="false" outlineLevel="0" max="3" min="3" style="1" width="20.07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1" t="s">
        <v>65</v>
      </c>
      <c r="C1" s="1" t="s">
        <v>2</v>
      </c>
      <c r="D1" s="1" t="s">
        <v>77</v>
      </c>
      <c r="E1" s="1" t="s">
        <v>78</v>
      </c>
      <c r="F1" s="1" t="s">
        <v>79</v>
      </c>
      <c r="G1" s="1" t="s">
        <v>80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81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82</v>
      </c>
      <c r="D3" s="1" t="n">
        <v>10</v>
      </c>
      <c r="E3" s="1" t="n">
        <f aca="false">ROUND(AVERAGE(D3:D4),0)</f>
        <v>10</v>
      </c>
      <c r="F3" s="1" t="n">
        <v>0</v>
      </c>
      <c r="G3" s="1" t="n">
        <f aca="false">MAX(F3,E3)</f>
        <v>10</v>
      </c>
    </row>
    <row r="4" customFormat="false" ht="15" hidden="false" customHeight="false" outlineLevel="0" collapsed="false">
      <c r="C4" s="1" t="s">
        <v>82</v>
      </c>
      <c r="D4" s="1" t="n">
        <v>10</v>
      </c>
    </row>
    <row r="5" customFormat="false" ht="15" hidden="false" customHeight="false" outlineLevel="0" collapsed="false">
      <c r="A5" s="1" t="n">
        <v>3</v>
      </c>
      <c r="B5" s="2" t="s">
        <v>17</v>
      </c>
      <c r="C5" s="1" t="s">
        <v>106</v>
      </c>
      <c r="D5" s="1" t="n">
        <v>9</v>
      </c>
      <c r="E5" s="1" t="n">
        <f aca="false">ROUND(AVERAGE(D5:D9),0)</f>
        <v>5</v>
      </c>
      <c r="F5" s="1" t="n">
        <v>8</v>
      </c>
      <c r="G5" s="1" t="n">
        <f aca="false">MAX(F5,E5)</f>
        <v>8</v>
      </c>
    </row>
    <row r="6" customFormat="false" ht="15" hidden="false" customHeight="false" outlineLevel="0" collapsed="false">
      <c r="C6" s="1" t="s">
        <v>106</v>
      </c>
      <c r="D6" s="1" t="n">
        <v>8</v>
      </c>
    </row>
    <row r="7" customFormat="false" ht="15" hidden="false" customHeight="false" outlineLevel="0" collapsed="false">
      <c r="C7" s="1" t="s">
        <v>106</v>
      </c>
      <c r="D7" s="1" t="n">
        <v>8</v>
      </c>
    </row>
    <row r="8" customFormat="false" ht="15" hidden="false" customHeight="false" outlineLevel="0" collapsed="false">
      <c r="C8" s="1" t="s">
        <v>106</v>
      </c>
      <c r="D8" s="1" t="n">
        <v>1</v>
      </c>
    </row>
    <row r="9" customFormat="false" ht="15" hidden="false" customHeight="false" outlineLevel="0" collapsed="false">
      <c r="C9" s="1" t="s">
        <v>106</v>
      </c>
      <c r="D9" s="1" t="n">
        <v>1</v>
      </c>
    </row>
    <row r="10" customFormat="false" ht="15" hidden="false" customHeight="false" outlineLevel="0" collapsed="false">
      <c r="A10" s="1" t="n">
        <v>4</v>
      </c>
      <c r="B10" s="2" t="s">
        <v>21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5</v>
      </c>
      <c r="B11" s="2" t="s">
        <v>23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6</v>
      </c>
      <c r="B12" s="2" t="s">
        <v>25</v>
      </c>
      <c r="C12" s="1" t="s">
        <v>85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7</v>
      </c>
      <c r="B13" s="2" t="s">
        <v>27</v>
      </c>
      <c r="C13" s="1" t="s">
        <v>86</v>
      </c>
      <c r="D13" s="1" t="n">
        <v>2</v>
      </c>
      <c r="E13" s="1" t="n">
        <f aca="false">ROUND(AVERAGE(D13:D14),0)</f>
        <v>2</v>
      </c>
      <c r="F13" s="1" t="n">
        <v>1</v>
      </c>
      <c r="G13" s="1" t="n">
        <f aca="false">MAX(F13,E13)</f>
        <v>2</v>
      </c>
    </row>
    <row r="14" customFormat="false" ht="15" hidden="false" customHeight="false" outlineLevel="0" collapsed="false">
      <c r="C14" s="1" t="s">
        <v>86</v>
      </c>
      <c r="D14" s="1" t="n">
        <v>1</v>
      </c>
    </row>
    <row r="15" customFormat="false" ht="15" hidden="false" customHeight="false" outlineLevel="0" collapsed="false">
      <c r="A15" s="1" t="n">
        <v>25</v>
      </c>
      <c r="B15" s="2" t="s">
        <v>28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8</v>
      </c>
      <c r="B16" s="2" t="s">
        <v>30</v>
      </c>
      <c r="C16" s="1" t="s">
        <v>88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9</v>
      </c>
      <c r="B17" s="2" t="s">
        <v>32</v>
      </c>
      <c r="C17" s="1" t="s">
        <v>89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10</v>
      </c>
      <c r="B18" s="2" t="s">
        <v>34</v>
      </c>
      <c r="C18" s="1" t="s">
        <v>107</v>
      </c>
      <c r="D18" s="1" t="n">
        <v>3</v>
      </c>
      <c r="G18" s="1" t="n">
        <v>3</v>
      </c>
    </row>
    <row r="19" customFormat="false" ht="15" hidden="false" customHeight="false" outlineLevel="0" collapsed="false">
      <c r="A19" s="1" t="n">
        <v>11</v>
      </c>
      <c r="B19" s="2" t="s">
        <v>36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12</v>
      </c>
      <c r="B20" s="2" t="s">
        <v>37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13</v>
      </c>
      <c r="B21" s="2" t="s">
        <v>75</v>
      </c>
      <c r="C21" s="1" t="s">
        <v>92</v>
      </c>
      <c r="D21" s="1" t="n">
        <v>10</v>
      </c>
      <c r="E21" s="1" t="n">
        <f aca="false">ROUND(AVERAGE(D21:D23),0)</f>
        <v>6</v>
      </c>
      <c r="F21" s="1" t="n">
        <v>7</v>
      </c>
      <c r="G21" s="1" t="n">
        <f aca="false">MAX(F21,E21)</f>
        <v>7</v>
      </c>
    </row>
    <row r="22" customFormat="false" ht="15" hidden="false" customHeight="false" outlineLevel="0" collapsed="false">
      <c r="C22" s="1" t="s">
        <v>92</v>
      </c>
      <c r="D22" s="1" t="n">
        <v>7</v>
      </c>
    </row>
    <row r="23" customFormat="false" ht="15" hidden="false" customHeight="false" outlineLevel="0" collapsed="false">
      <c r="C23" s="1" t="s">
        <v>92</v>
      </c>
      <c r="D23" s="1" t="n">
        <v>2</v>
      </c>
    </row>
    <row r="24" customFormat="false" ht="15" hidden="false" customHeight="false" outlineLevel="0" collapsed="false">
      <c r="A24" s="1" t="n">
        <v>26</v>
      </c>
      <c r="B24" s="2" t="s">
        <v>40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14</v>
      </c>
      <c r="B25" s="2" t="s">
        <v>108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24</v>
      </c>
      <c r="B26" s="2" t="s">
        <v>43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15</v>
      </c>
      <c r="B27" s="2" t="s">
        <v>45</v>
      </c>
      <c r="D27" s="1" t="n">
        <v>1</v>
      </c>
      <c r="G27" s="1" t="n">
        <v>1</v>
      </c>
    </row>
    <row r="28" customFormat="false" ht="15" hidden="false" customHeight="false" outlineLevel="0" collapsed="false">
      <c r="A28" s="1" t="n">
        <v>16</v>
      </c>
      <c r="B28" s="2" t="s">
        <v>47</v>
      </c>
      <c r="C28" s="1" t="s">
        <v>99</v>
      </c>
      <c r="D28" s="1" t="n">
        <v>3</v>
      </c>
      <c r="G28" s="1" t="n">
        <v>3</v>
      </c>
    </row>
    <row r="29" customFormat="false" ht="15" hidden="false" customHeight="false" outlineLevel="0" collapsed="false">
      <c r="A29" s="1" t="n">
        <v>17</v>
      </c>
      <c r="B29" s="1" t="s">
        <v>49</v>
      </c>
      <c r="C29" s="1" t="s">
        <v>100</v>
      </c>
      <c r="D29" s="1" t="n">
        <v>9</v>
      </c>
      <c r="G29" s="1" t="n">
        <v>9</v>
      </c>
    </row>
    <row r="30" customFormat="false" ht="15" hidden="false" customHeight="false" outlineLevel="0" collapsed="false">
      <c r="A30" s="1" t="n">
        <v>18</v>
      </c>
      <c r="B30" s="2" t="s">
        <v>51</v>
      </c>
      <c r="C30" s="1" t="s">
        <v>101</v>
      </c>
      <c r="D30" s="1" t="n">
        <v>6</v>
      </c>
      <c r="G30" s="1" t="n">
        <v>6</v>
      </c>
    </row>
    <row r="31" customFormat="false" ht="15" hidden="false" customHeight="false" outlineLevel="0" collapsed="false">
      <c r="A31" s="1" t="n">
        <v>19</v>
      </c>
      <c r="B31" s="2" t="s">
        <v>53</v>
      </c>
      <c r="D31" s="1" t="n">
        <v>1</v>
      </c>
      <c r="G31" s="1" t="n">
        <v>1</v>
      </c>
    </row>
    <row r="32" customFormat="false" ht="15" hidden="false" customHeight="false" outlineLevel="0" collapsed="false">
      <c r="A32" s="1" t="n">
        <v>20</v>
      </c>
      <c r="B32" s="2" t="s">
        <v>55</v>
      </c>
      <c r="D32" s="1" t="n">
        <v>1</v>
      </c>
      <c r="G32" s="1" t="n">
        <v>1</v>
      </c>
    </row>
    <row r="33" customFormat="false" ht="15" hidden="false" customHeight="false" outlineLevel="0" collapsed="false">
      <c r="A33" s="1" t="n">
        <v>21</v>
      </c>
      <c r="B33" s="2" t="s">
        <v>56</v>
      </c>
      <c r="C33" s="1" t="s">
        <v>56</v>
      </c>
      <c r="D33" s="1" t="n">
        <v>10</v>
      </c>
      <c r="G33" s="1" t="n">
        <v>10</v>
      </c>
    </row>
    <row r="34" customFormat="false" ht="15" hidden="false" customHeight="false" outlineLevel="0" collapsed="false">
      <c r="A34" s="1" t="n">
        <v>22</v>
      </c>
      <c r="B34" s="2" t="s">
        <v>58</v>
      </c>
      <c r="C34" s="1" t="s">
        <v>103</v>
      </c>
      <c r="D34" s="1" t="n">
        <v>9</v>
      </c>
      <c r="E34" s="1" t="n">
        <f aca="false">ROUND(AVERAGE(D34:D35),0)</f>
        <v>6</v>
      </c>
      <c r="F34" s="1" t="n">
        <v>3</v>
      </c>
      <c r="G34" s="1" t="n">
        <f aca="false">MAX(F34,E34)</f>
        <v>6</v>
      </c>
    </row>
    <row r="35" customFormat="false" ht="15" hidden="false" customHeight="false" outlineLevel="0" collapsed="false">
      <c r="C35" s="1" t="s">
        <v>103</v>
      </c>
      <c r="D35" s="1" t="n">
        <v>3</v>
      </c>
    </row>
    <row r="36" customFormat="false" ht="15" hidden="false" customHeight="false" outlineLevel="0" collapsed="false">
      <c r="A36" s="1" t="n">
        <v>23</v>
      </c>
      <c r="B36" s="2" t="s">
        <v>60</v>
      </c>
      <c r="C36" s="1" t="s">
        <v>104</v>
      </c>
      <c r="D36" s="1" t="n">
        <v>3</v>
      </c>
      <c r="E36" s="1" t="n">
        <f aca="false">ROUND(AVERAGE(D36:D37),0)</f>
        <v>2</v>
      </c>
      <c r="F36" s="1" t="n">
        <v>3</v>
      </c>
      <c r="G36" s="1" t="n">
        <f aca="false">MAX(F36,E36)</f>
        <v>3</v>
      </c>
    </row>
    <row r="37" customFormat="false" ht="15" hidden="false" customHeight="false" outlineLevel="0" collapsed="false">
      <c r="C37" s="1" t="s">
        <v>104</v>
      </c>
      <c r="D37" s="1" t="n">
        <v>1</v>
      </c>
    </row>
    <row r="38" customFormat="false" ht="15" hidden="false" customHeight="false" outlineLevel="0" collapsed="false">
      <c r="A38" s="1" t="n">
        <v>27</v>
      </c>
      <c r="B38" s="1" t="s">
        <v>62</v>
      </c>
      <c r="D38" s="1" t="n">
        <v>1</v>
      </c>
      <c r="G38" s="1" t="n">
        <v>1</v>
      </c>
    </row>
    <row r="39" customFormat="false" ht="15" hidden="false" customHeight="false" outlineLevel="0" collapsed="false">
      <c r="F39" s="1" t="s">
        <v>8</v>
      </c>
      <c r="G39" s="1" t="n">
        <f aca="false">COUNTIF(G2:G38,"&gt;0")</f>
        <v>27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56" activeCellId="1" sqref="L3:L25 G5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21.86"/>
    <col collapsed="false" customWidth="true" hidden="false" outlineLevel="0" max="3" min="3" style="1" width="20.07"/>
  </cols>
  <sheetData>
    <row r="1" customFormat="false" ht="15" hidden="false" customHeight="false" outlineLevel="0" collapsed="false">
      <c r="A1" s="1" t="s">
        <v>0</v>
      </c>
      <c r="B1" s="1" t="s">
        <v>65</v>
      </c>
      <c r="C1" s="1" t="s">
        <v>2</v>
      </c>
      <c r="D1" s="1" t="s">
        <v>77</v>
      </c>
      <c r="E1" s="1" t="s">
        <v>78</v>
      </c>
      <c r="F1" s="1" t="s">
        <v>79</v>
      </c>
      <c r="G1" s="1" t="s">
        <v>80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81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82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n">
        <v>3</v>
      </c>
      <c r="B4" s="2" t="s">
        <v>17</v>
      </c>
      <c r="C4" s="1" t="s">
        <v>106</v>
      </c>
      <c r="D4" s="1" t="n">
        <v>3</v>
      </c>
      <c r="G4" s="1" t="n">
        <v>3</v>
      </c>
    </row>
    <row r="5" customFormat="false" ht="15" hidden="false" customHeight="false" outlineLevel="0" collapsed="false">
      <c r="A5" s="1" t="n">
        <v>4</v>
      </c>
      <c r="B5" s="2" t="s">
        <v>21</v>
      </c>
      <c r="C5" s="1" t="s">
        <v>83</v>
      </c>
      <c r="D5" s="1" t="n">
        <v>4</v>
      </c>
      <c r="G5" s="1" t="n">
        <v>4</v>
      </c>
    </row>
    <row r="6" customFormat="false" ht="15" hidden="false" customHeight="false" outlineLevel="0" collapsed="false">
      <c r="A6" s="1" t="n">
        <v>5</v>
      </c>
      <c r="B6" s="2" t="s">
        <v>23</v>
      </c>
      <c r="C6" s="1" t="s">
        <v>84</v>
      </c>
      <c r="D6" s="1" t="n">
        <v>9</v>
      </c>
      <c r="E6" s="1" t="n">
        <f aca="false">ROUND(AVERAGE(D6:D11),0)</f>
        <v>7</v>
      </c>
      <c r="F6" s="1" t="n">
        <v>8</v>
      </c>
      <c r="G6" s="1" t="n">
        <f aca="false">MAX(F6,E6)</f>
        <v>8</v>
      </c>
    </row>
    <row r="7" customFormat="false" ht="15" hidden="false" customHeight="false" outlineLevel="0" collapsed="false">
      <c r="C7" s="1" t="s">
        <v>84</v>
      </c>
      <c r="D7" s="1" t="n">
        <v>8</v>
      </c>
    </row>
    <row r="8" customFormat="false" ht="15" hidden="false" customHeight="false" outlineLevel="0" collapsed="false">
      <c r="C8" s="1" t="s">
        <v>84</v>
      </c>
      <c r="D8" s="1" t="n">
        <v>8</v>
      </c>
    </row>
    <row r="9" customFormat="false" ht="15" hidden="false" customHeight="false" outlineLevel="0" collapsed="false">
      <c r="C9" s="1" t="s">
        <v>84</v>
      </c>
      <c r="D9" s="1" t="n">
        <v>7</v>
      </c>
    </row>
    <row r="10" customFormat="false" ht="15" hidden="false" customHeight="false" outlineLevel="0" collapsed="false">
      <c r="C10" s="1" t="s">
        <v>84</v>
      </c>
      <c r="D10" s="1" t="n">
        <v>6</v>
      </c>
    </row>
    <row r="11" customFormat="false" ht="15" hidden="false" customHeight="false" outlineLevel="0" collapsed="false">
      <c r="C11" s="1" t="s">
        <v>84</v>
      </c>
      <c r="D11" s="1" t="n">
        <v>3</v>
      </c>
    </row>
    <row r="12" customFormat="false" ht="15" hidden="false" customHeight="false" outlineLevel="0" collapsed="false">
      <c r="A12" s="1" t="n">
        <v>6</v>
      </c>
      <c r="B12" s="2" t="s">
        <v>25</v>
      </c>
      <c r="C12" s="1" t="s">
        <v>85</v>
      </c>
      <c r="D12" s="1" t="n">
        <v>7</v>
      </c>
      <c r="G12" s="1" t="n">
        <v>7</v>
      </c>
    </row>
    <row r="13" customFormat="false" ht="15" hidden="false" customHeight="false" outlineLevel="0" collapsed="false">
      <c r="A13" s="1" t="n">
        <v>7</v>
      </c>
      <c r="B13" s="2" t="s">
        <v>27</v>
      </c>
      <c r="C13" s="1" t="s">
        <v>86</v>
      </c>
      <c r="D13" s="1" t="n">
        <v>7</v>
      </c>
      <c r="G13" s="1" t="n">
        <v>7</v>
      </c>
    </row>
    <row r="14" customFormat="false" ht="15" hidden="false" customHeight="false" outlineLevel="0" collapsed="false">
      <c r="A14" s="1" t="n">
        <v>25</v>
      </c>
      <c r="B14" s="2" t="s">
        <v>28</v>
      </c>
      <c r="C14" s="1" t="s">
        <v>87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8</v>
      </c>
      <c r="B15" s="2" t="s">
        <v>30</v>
      </c>
      <c r="C15" s="1" t="s">
        <v>88</v>
      </c>
      <c r="D15" s="1" t="n">
        <v>10</v>
      </c>
      <c r="E15" s="1" t="n">
        <f aca="false">ROUND(AVERAGE(D15:D23),0)</f>
        <v>7</v>
      </c>
      <c r="F15" s="1" t="n">
        <v>8</v>
      </c>
      <c r="G15" s="1" t="n">
        <f aca="false">MAX(F15,E15)</f>
        <v>8</v>
      </c>
    </row>
    <row r="16" customFormat="false" ht="15" hidden="false" customHeight="false" outlineLevel="0" collapsed="false">
      <c r="C16" s="1" t="s">
        <v>88</v>
      </c>
      <c r="D16" s="1" t="n">
        <v>10</v>
      </c>
    </row>
    <row r="17" customFormat="false" ht="15" hidden="false" customHeight="false" outlineLevel="0" collapsed="false">
      <c r="C17" s="1" t="s">
        <v>88</v>
      </c>
      <c r="D17" s="1" t="n">
        <v>10</v>
      </c>
    </row>
    <row r="18" customFormat="false" ht="15" hidden="false" customHeight="false" outlineLevel="0" collapsed="false">
      <c r="C18" s="1" t="s">
        <v>88</v>
      </c>
      <c r="D18" s="1" t="n">
        <v>8</v>
      </c>
    </row>
    <row r="19" customFormat="false" ht="15" hidden="false" customHeight="false" outlineLevel="0" collapsed="false">
      <c r="C19" s="1" t="s">
        <v>88</v>
      </c>
      <c r="D19" s="1" t="n">
        <v>7</v>
      </c>
    </row>
    <row r="20" customFormat="false" ht="15" hidden="false" customHeight="false" outlineLevel="0" collapsed="false">
      <c r="C20" s="1" t="s">
        <v>88</v>
      </c>
      <c r="D20" s="1" t="n">
        <v>6</v>
      </c>
    </row>
    <row r="21" customFormat="false" ht="15" hidden="false" customHeight="false" outlineLevel="0" collapsed="false">
      <c r="C21" s="1" t="s">
        <v>88</v>
      </c>
      <c r="D21" s="1" t="n">
        <v>5</v>
      </c>
    </row>
    <row r="22" customFormat="false" ht="15" hidden="false" customHeight="false" outlineLevel="0" collapsed="false">
      <c r="C22" s="1" t="s">
        <v>88</v>
      </c>
      <c r="D22" s="1" t="n">
        <v>5</v>
      </c>
    </row>
    <row r="23" customFormat="false" ht="15" hidden="false" customHeight="false" outlineLevel="0" collapsed="false">
      <c r="C23" s="1" t="s">
        <v>88</v>
      </c>
      <c r="D23" s="1" t="n">
        <v>3</v>
      </c>
    </row>
    <row r="24" customFormat="false" ht="15" hidden="false" customHeight="false" outlineLevel="0" collapsed="false">
      <c r="A24" s="1" t="n">
        <v>9</v>
      </c>
      <c r="B24" s="2" t="s">
        <v>32</v>
      </c>
      <c r="C24" s="1" t="s">
        <v>89</v>
      </c>
      <c r="D24" s="1" t="n">
        <v>4</v>
      </c>
      <c r="G24" s="1" t="n">
        <v>4</v>
      </c>
    </row>
    <row r="25" customFormat="false" ht="15" hidden="false" customHeight="false" outlineLevel="0" collapsed="false">
      <c r="A25" s="1" t="n">
        <v>10</v>
      </c>
      <c r="B25" s="2" t="s">
        <v>34</v>
      </c>
      <c r="C25" s="1" t="s">
        <v>107</v>
      </c>
      <c r="D25" s="1" t="n">
        <v>8</v>
      </c>
      <c r="G25" s="1" t="n">
        <v>8</v>
      </c>
    </row>
    <row r="26" customFormat="false" ht="15" hidden="false" customHeight="false" outlineLevel="0" collapsed="false">
      <c r="A26" s="1" t="n">
        <v>11</v>
      </c>
      <c r="B26" s="2" t="s">
        <v>36</v>
      </c>
      <c r="C26" s="1" t="s">
        <v>90</v>
      </c>
      <c r="D26" s="1" t="n">
        <v>10</v>
      </c>
      <c r="E26" s="1" t="n">
        <f aca="false">ROUND(AVERAGE(D26:D29),0)</f>
        <v>9</v>
      </c>
      <c r="F26" s="1" t="n">
        <v>9</v>
      </c>
      <c r="G26" s="1" t="n">
        <f aca="false">MAX(F26,E26)</f>
        <v>9</v>
      </c>
    </row>
    <row r="27" customFormat="false" ht="15" hidden="false" customHeight="false" outlineLevel="0" collapsed="false">
      <c r="C27" s="1" t="s">
        <v>90</v>
      </c>
      <c r="D27" s="1" t="n">
        <v>9</v>
      </c>
    </row>
    <row r="28" customFormat="false" ht="15" hidden="false" customHeight="false" outlineLevel="0" collapsed="false">
      <c r="C28" s="1" t="s">
        <v>90</v>
      </c>
      <c r="D28" s="1" t="n">
        <v>9</v>
      </c>
    </row>
    <row r="29" customFormat="false" ht="15" hidden="false" customHeight="false" outlineLevel="0" collapsed="false">
      <c r="C29" s="1" t="s">
        <v>90</v>
      </c>
      <c r="D29" s="1" t="n">
        <v>7</v>
      </c>
    </row>
    <row r="30" customFormat="false" ht="15" hidden="false" customHeight="false" outlineLevel="0" collapsed="false">
      <c r="A30" s="1" t="n">
        <v>12</v>
      </c>
      <c r="B30" s="2" t="s">
        <v>37</v>
      </c>
      <c r="C30" s="1" t="s">
        <v>91</v>
      </c>
      <c r="D30" s="1" t="n">
        <v>9</v>
      </c>
      <c r="G30" s="1" t="n">
        <v>9</v>
      </c>
    </row>
    <row r="31" customFormat="false" ht="15" hidden="false" customHeight="false" outlineLevel="0" collapsed="false">
      <c r="A31" s="1" t="n">
        <v>13</v>
      </c>
      <c r="B31" s="2" t="s">
        <v>75</v>
      </c>
      <c r="C31" s="1" t="s">
        <v>92</v>
      </c>
      <c r="D31" s="1" t="n">
        <v>8</v>
      </c>
      <c r="G31" s="1" t="n">
        <v>8</v>
      </c>
    </row>
    <row r="32" customFormat="false" ht="15" hidden="false" customHeight="false" outlineLevel="0" collapsed="false">
      <c r="A32" s="1" t="n">
        <v>26</v>
      </c>
      <c r="B32" s="2" t="s">
        <v>40</v>
      </c>
      <c r="C32" s="1" t="s">
        <v>94</v>
      </c>
      <c r="D32" s="1" t="n">
        <v>8</v>
      </c>
      <c r="G32" s="1" t="n">
        <v>8</v>
      </c>
    </row>
    <row r="33" customFormat="false" ht="15" hidden="false" customHeight="false" outlineLevel="0" collapsed="false">
      <c r="A33" s="1" t="n">
        <v>14</v>
      </c>
      <c r="B33" s="2" t="s">
        <v>76</v>
      </c>
      <c r="C33" s="1" t="s">
        <v>96</v>
      </c>
      <c r="D33" s="1" t="n">
        <v>6</v>
      </c>
      <c r="G33" s="1" t="n">
        <v>6</v>
      </c>
    </row>
    <row r="34" customFormat="false" ht="15" hidden="false" customHeight="false" outlineLevel="0" collapsed="false">
      <c r="A34" s="1" t="n">
        <v>24</v>
      </c>
      <c r="B34" s="2" t="s">
        <v>43</v>
      </c>
      <c r="C34" s="1" t="s">
        <v>97</v>
      </c>
      <c r="D34" s="1" t="n">
        <v>9</v>
      </c>
      <c r="E34" s="1" t="n">
        <f aca="false">ROUND(AVERAGE(D34:D35),0)</f>
        <v>8</v>
      </c>
      <c r="F34" s="1" t="n">
        <v>7</v>
      </c>
      <c r="G34" s="1" t="n">
        <f aca="false">MAX(F34,E34)</f>
        <v>8</v>
      </c>
    </row>
    <row r="35" customFormat="false" ht="15" hidden="false" customHeight="false" outlineLevel="0" collapsed="false">
      <c r="C35" s="1" t="s">
        <v>97</v>
      </c>
      <c r="D35" s="1" t="n">
        <v>7</v>
      </c>
    </row>
    <row r="36" customFormat="false" ht="15" hidden="false" customHeight="false" outlineLevel="0" collapsed="false">
      <c r="A36" s="1" t="n">
        <v>15</v>
      </c>
      <c r="B36" s="2" t="s">
        <v>45</v>
      </c>
      <c r="C36" s="1" t="s">
        <v>98</v>
      </c>
      <c r="D36" s="1" t="n">
        <v>7</v>
      </c>
      <c r="G36" s="1" t="n">
        <v>7</v>
      </c>
    </row>
    <row r="37" customFormat="false" ht="15" hidden="false" customHeight="false" outlineLevel="0" collapsed="false">
      <c r="A37" s="1" t="n">
        <v>16</v>
      </c>
      <c r="B37" s="2" t="s">
        <v>47</v>
      </c>
      <c r="C37" s="1" t="s">
        <v>99</v>
      </c>
      <c r="D37" s="1" t="n">
        <v>8</v>
      </c>
      <c r="E37" s="1" t="n">
        <f aca="false">ROUND(AVERAGE(D37:D40),0)</f>
        <v>6</v>
      </c>
      <c r="F37" s="1" t="n">
        <v>6</v>
      </c>
      <c r="G37" s="1" t="n">
        <f aca="false">MAX(F37,E37)</f>
        <v>6</v>
      </c>
    </row>
    <row r="38" customFormat="false" ht="15" hidden="false" customHeight="false" outlineLevel="0" collapsed="false">
      <c r="C38" s="1" t="s">
        <v>99</v>
      </c>
      <c r="D38" s="1" t="n">
        <v>6</v>
      </c>
    </row>
    <row r="39" customFormat="false" ht="15" hidden="false" customHeight="false" outlineLevel="0" collapsed="false">
      <c r="C39" s="1" t="s">
        <v>99</v>
      </c>
      <c r="D39" s="1" t="n">
        <v>6</v>
      </c>
    </row>
    <row r="40" customFormat="false" ht="15" hidden="false" customHeight="false" outlineLevel="0" collapsed="false">
      <c r="C40" s="1" t="s">
        <v>99</v>
      </c>
      <c r="D40" s="1" t="n">
        <v>5</v>
      </c>
    </row>
    <row r="41" customFormat="false" ht="15" hidden="false" customHeight="false" outlineLevel="0" collapsed="false">
      <c r="A41" s="1" t="n">
        <v>17</v>
      </c>
      <c r="B41" s="1" t="s">
        <v>49</v>
      </c>
      <c r="C41" s="1" t="s">
        <v>100</v>
      </c>
      <c r="D41" s="1" t="n">
        <v>9</v>
      </c>
      <c r="G41" s="1" t="n">
        <v>9</v>
      </c>
    </row>
    <row r="42" customFormat="false" ht="15" hidden="false" customHeight="false" outlineLevel="0" collapsed="false">
      <c r="A42" s="1" t="n">
        <v>18</v>
      </c>
      <c r="B42" s="2" t="s">
        <v>51</v>
      </c>
      <c r="C42" s="1" t="s">
        <v>101</v>
      </c>
      <c r="D42" s="1" t="n">
        <v>7</v>
      </c>
      <c r="G42" s="1" t="n">
        <v>7</v>
      </c>
    </row>
    <row r="43" customFormat="false" ht="15" hidden="false" customHeight="false" outlineLevel="0" collapsed="false">
      <c r="A43" s="1" t="n">
        <v>19</v>
      </c>
      <c r="B43" s="2" t="s">
        <v>53</v>
      </c>
      <c r="D43" s="1" t="n">
        <v>1</v>
      </c>
      <c r="G43" s="1" t="n">
        <v>1</v>
      </c>
    </row>
    <row r="44" customFormat="false" ht="15" hidden="false" customHeight="false" outlineLevel="0" collapsed="false">
      <c r="A44" s="1" t="n">
        <v>20</v>
      </c>
      <c r="B44" s="2" t="s">
        <v>55</v>
      </c>
      <c r="D44" s="1" t="n">
        <v>1</v>
      </c>
      <c r="G44" s="1" t="n">
        <v>1</v>
      </c>
    </row>
    <row r="45" customFormat="false" ht="15" hidden="false" customHeight="false" outlineLevel="0" collapsed="false">
      <c r="A45" s="1" t="n">
        <v>21</v>
      </c>
      <c r="B45" s="2" t="s">
        <v>56</v>
      </c>
      <c r="C45" s="1" t="s">
        <v>56</v>
      </c>
      <c r="D45" s="1" t="n">
        <v>10</v>
      </c>
      <c r="E45" s="1" t="n">
        <f aca="false">ROUND(AVERAGE(D45:D49),0)</f>
        <v>8</v>
      </c>
      <c r="F45" s="1" t="n">
        <v>8</v>
      </c>
      <c r="G45" s="1" t="n">
        <f aca="false">MAX(F45,E45)</f>
        <v>8</v>
      </c>
    </row>
    <row r="46" customFormat="false" ht="15" hidden="false" customHeight="false" outlineLevel="0" collapsed="false">
      <c r="C46" s="1" t="s">
        <v>56</v>
      </c>
      <c r="D46" s="1" t="n">
        <v>10</v>
      </c>
    </row>
    <row r="47" customFormat="false" ht="15" hidden="false" customHeight="false" outlineLevel="0" collapsed="false">
      <c r="C47" s="1" t="s">
        <v>56</v>
      </c>
      <c r="D47" s="1" t="n">
        <v>8</v>
      </c>
    </row>
    <row r="48" customFormat="false" ht="15" hidden="false" customHeight="false" outlineLevel="0" collapsed="false">
      <c r="C48" s="1" t="s">
        <v>56</v>
      </c>
      <c r="D48" s="1" t="n">
        <v>7</v>
      </c>
    </row>
    <row r="49" customFormat="false" ht="15" hidden="false" customHeight="false" outlineLevel="0" collapsed="false">
      <c r="C49" s="1" t="s">
        <v>56</v>
      </c>
      <c r="D49" s="1" t="n">
        <v>5</v>
      </c>
    </row>
    <row r="50" customFormat="false" ht="15" hidden="false" customHeight="false" outlineLevel="0" collapsed="false">
      <c r="A50" s="1" t="n">
        <v>22</v>
      </c>
      <c r="B50" s="2" t="s">
        <v>58</v>
      </c>
      <c r="C50" s="1" t="s">
        <v>103</v>
      </c>
      <c r="D50" s="1" t="n">
        <v>7</v>
      </c>
      <c r="G50" s="1" t="n">
        <v>7</v>
      </c>
    </row>
    <row r="51" customFormat="false" ht="15" hidden="false" customHeight="false" outlineLevel="0" collapsed="false">
      <c r="A51" s="1" t="n">
        <v>23</v>
      </c>
      <c r="B51" s="2" t="s">
        <v>60</v>
      </c>
      <c r="C51" s="1" t="s">
        <v>104</v>
      </c>
      <c r="D51" s="1" t="n">
        <v>9</v>
      </c>
      <c r="E51" s="1" t="n">
        <f aca="false">ROUND(AVERAGE(D51:D55),0)</f>
        <v>6</v>
      </c>
      <c r="F51" s="1" t="n">
        <v>8</v>
      </c>
      <c r="G51" s="1" t="n">
        <f aca="false">MAX(F51,E51)</f>
        <v>8</v>
      </c>
    </row>
    <row r="52" customFormat="false" ht="15" hidden="false" customHeight="false" outlineLevel="0" collapsed="false">
      <c r="C52" s="1" t="s">
        <v>104</v>
      </c>
      <c r="D52" s="1" t="n">
        <v>8</v>
      </c>
    </row>
    <row r="53" customFormat="false" ht="15" hidden="false" customHeight="false" outlineLevel="0" collapsed="false">
      <c r="C53" s="1" t="s">
        <v>104</v>
      </c>
      <c r="D53" s="1" t="n">
        <v>5</v>
      </c>
    </row>
    <row r="54" customFormat="false" ht="15" hidden="false" customHeight="false" outlineLevel="0" collapsed="false">
      <c r="C54" s="1" t="s">
        <v>104</v>
      </c>
      <c r="D54" s="1" t="n">
        <v>5</v>
      </c>
    </row>
    <row r="55" customFormat="false" ht="15" hidden="false" customHeight="false" outlineLevel="0" collapsed="false">
      <c r="C55" s="1" t="s">
        <v>104</v>
      </c>
      <c r="D55" s="1" t="n">
        <v>3</v>
      </c>
    </row>
    <row r="56" customFormat="false" ht="15" hidden="false" customHeight="false" outlineLevel="0" collapsed="false">
      <c r="A56" s="1" t="n">
        <v>27</v>
      </c>
      <c r="B56" s="1" t="s">
        <v>62</v>
      </c>
      <c r="C56" s="1" t="s">
        <v>105</v>
      </c>
      <c r="D56" s="1" t="n">
        <v>9</v>
      </c>
      <c r="G56" s="1" t="n">
        <v>9</v>
      </c>
    </row>
    <row r="57" customFormat="false" ht="15" hidden="false" customHeight="false" outlineLevel="0" collapsed="false">
      <c r="F57" s="1" t="s">
        <v>8</v>
      </c>
      <c r="G57" s="1" t="n">
        <f aca="false">COUNTIF(G2:G56,"&gt;0")</f>
        <v>27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8" activeCellId="1" sqref="L3:L25 D28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19"/>
    <col collapsed="false" customWidth="true" hidden="false" outlineLevel="0" max="2" min="2" style="1" width="20.92"/>
    <col collapsed="false" customWidth="true" hidden="false" outlineLevel="0" max="3" min="3" style="1" width="18.37"/>
  </cols>
  <sheetData>
    <row r="1" customFormat="false" ht="15" hidden="false" customHeight="false" outlineLevel="0" collapsed="false">
      <c r="A1" s="1" t="s">
        <v>0</v>
      </c>
      <c r="B1" s="1" t="s">
        <v>65</v>
      </c>
      <c r="C1" s="1" t="s">
        <v>2</v>
      </c>
      <c r="D1" s="1" t="s">
        <v>77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82</v>
      </c>
      <c r="D3" s="1" t="n">
        <v>7</v>
      </c>
    </row>
    <row r="4" customFormat="false" ht="15" hidden="false" customHeight="false" outlineLevel="0" collapsed="false">
      <c r="A4" s="1" t="n">
        <v>3</v>
      </c>
      <c r="B4" s="2" t="s">
        <v>17</v>
      </c>
      <c r="D4" s="1" t="n">
        <v>1</v>
      </c>
    </row>
    <row r="5" customFormat="false" ht="15" hidden="false" customHeight="false" outlineLevel="0" collapsed="false">
      <c r="A5" s="1" t="n">
        <v>4</v>
      </c>
      <c r="B5" s="2" t="s">
        <v>21</v>
      </c>
      <c r="D5" s="1" t="n">
        <v>1</v>
      </c>
    </row>
    <row r="6" customFormat="false" ht="15" hidden="false" customHeight="false" outlineLevel="0" collapsed="false">
      <c r="A6" s="1" t="n">
        <v>5</v>
      </c>
      <c r="B6" s="2" t="s">
        <v>23</v>
      </c>
      <c r="D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C7" s="1" t="s">
        <v>85</v>
      </c>
      <c r="D7" s="1" t="n">
        <v>7</v>
      </c>
    </row>
    <row r="8" customFormat="false" ht="15" hidden="false" customHeight="false" outlineLevel="0" collapsed="false">
      <c r="A8" s="1" t="n">
        <v>7</v>
      </c>
      <c r="B8" s="2" t="s">
        <v>27</v>
      </c>
      <c r="D8" s="1" t="n">
        <v>1</v>
      </c>
    </row>
    <row r="9" customFormat="false" ht="15" hidden="false" customHeight="false" outlineLevel="0" collapsed="false">
      <c r="A9" s="1" t="n">
        <v>25</v>
      </c>
      <c r="B9" s="2" t="s">
        <v>28</v>
      </c>
      <c r="C9" s="1" t="s">
        <v>87</v>
      </c>
      <c r="D9" s="1" t="n">
        <v>7</v>
      </c>
    </row>
    <row r="10" customFormat="false" ht="15" hidden="false" customHeight="false" outlineLevel="0" collapsed="false">
      <c r="A10" s="1" t="n">
        <v>8</v>
      </c>
      <c r="B10" s="2" t="s">
        <v>30</v>
      </c>
      <c r="C10" s="1" t="s">
        <v>88</v>
      </c>
      <c r="D10" s="1" t="n">
        <v>6</v>
      </c>
    </row>
    <row r="11" customFormat="false" ht="15" hidden="false" customHeight="false" outlineLevel="0" collapsed="false">
      <c r="A11" s="1" t="n">
        <v>9</v>
      </c>
      <c r="B11" s="2" t="s">
        <v>32</v>
      </c>
      <c r="D11" s="1" t="n">
        <v>1</v>
      </c>
    </row>
    <row r="12" customFormat="false" ht="15" hidden="false" customHeight="false" outlineLevel="0" collapsed="false">
      <c r="A12" s="1" t="n">
        <v>10</v>
      </c>
      <c r="B12" s="2" t="s">
        <v>34</v>
      </c>
      <c r="D12" s="1" t="n">
        <v>1</v>
      </c>
    </row>
    <row r="13" customFormat="false" ht="15" hidden="false" customHeight="false" outlineLevel="0" collapsed="false">
      <c r="A13" s="1" t="n">
        <v>11</v>
      </c>
      <c r="B13" s="2" t="s">
        <v>36</v>
      </c>
      <c r="C13" s="1" t="s">
        <v>90</v>
      </c>
      <c r="D13" s="1" t="n">
        <v>7</v>
      </c>
    </row>
    <row r="14" customFormat="false" ht="15" hidden="false" customHeight="false" outlineLevel="0" collapsed="false">
      <c r="A14" s="1" t="n">
        <v>12</v>
      </c>
      <c r="B14" s="2" t="s">
        <v>37</v>
      </c>
      <c r="C14" s="1" t="s">
        <v>91</v>
      </c>
      <c r="D14" s="1" t="n">
        <v>8</v>
      </c>
    </row>
    <row r="15" customFormat="false" ht="15" hidden="false" customHeight="false" outlineLevel="0" collapsed="false">
      <c r="A15" s="1" t="n">
        <v>13</v>
      </c>
      <c r="B15" s="2" t="s">
        <v>75</v>
      </c>
      <c r="D15" s="1" t="n">
        <v>1</v>
      </c>
    </row>
    <row r="16" customFormat="false" ht="15" hidden="false" customHeight="false" outlineLevel="0" collapsed="false">
      <c r="A16" s="1" t="n">
        <v>26</v>
      </c>
      <c r="B16" s="2" t="s">
        <v>40</v>
      </c>
      <c r="C16" s="1" t="s">
        <v>94</v>
      </c>
      <c r="D16" s="1" t="n">
        <v>6</v>
      </c>
    </row>
    <row r="17" customFormat="false" ht="15" hidden="false" customHeight="false" outlineLevel="0" collapsed="false">
      <c r="A17" s="1" t="n">
        <v>14</v>
      </c>
      <c r="B17" s="2" t="s">
        <v>76</v>
      </c>
      <c r="D17" s="1" t="n">
        <v>1</v>
      </c>
    </row>
    <row r="18" customFormat="false" ht="15" hidden="false" customHeight="false" outlineLevel="0" collapsed="false">
      <c r="A18" s="1" t="n">
        <v>24</v>
      </c>
      <c r="B18" s="2" t="s">
        <v>43</v>
      </c>
      <c r="C18" s="1" t="s">
        <v>97</v>
      </c>
      <c r="D18" s="1" t="n">
        <v>7</v>
      </c>
    </row>
    <row r="19" customFormat="false" ht="15" hidden="false" customHeight="false" outlineLevel="0" collapsed="false">
      <c r="A19" s="1" t="n">
        <v>15</v>
      </c>
      <c r="B19" s="2" t="s">
        <v>45</v>
      </c>
      <c r="C19" s="1" t="s">
        <v>98</v>
      </c>
      <c r="D19" s="1" t="n">
        <v>7</v>
      </c>
    </row>
    <row r="20" customFormat="false" ht="15" hidden="false" customHeight="false" outlineLevel="0" collapsed="false">
      <c r="A20" s="1" t="n">
        <v>16</v>
      </c>
      <c r="B20" s="2" t="s">
        <v>47</v>
      </c>
      <c r="C20" s="1" t="s">
        <v>99</v>
      </c>
      <c r="D20" s="1" t="n">
        <v>7</v>
      </c>
    </row>
    <row r="21" customFormat="false" ht="15" hidden="false" customHeight="false" outlineLevel="0" collapsed="false">
      <c r="A21" s="1" t="n">
        <v>17</v>
      </c>
      <c r="B21" s="1" t="s">
        <v>49</v>
      </c>
      <c r="C21" s="1" t="s">
        <v>100</v>
      </c>
      <c r="D21" s="1" t="n">
        <v>10</v>
      </c>
    </row>
    <row r="22" customFormat="false" ht="15" hidden="false" customHeight="false" outlineLevel="0" collapsed="false">
      <c r="A22" s="1" t="n">
        <v>18</v>
      </c>
      <c r="B22" s="2" t="s">
        <v>51</v>
      </c>
      <c r="D22" s="1" t="n">
        <v>1</v>
      </c>
    </row>
    <row r="23" customFormat="false" ht="15" hidden="false" customHeight="false" outlineLevel="0" collapsed="false">
      <c r="A23" s="1" t="n">
        <v>19</v>
      </c>
      <c r="B23" s="2" t="s">
        <v>53</v>
      </c>
      <c r="D23" s="1" t="n">
        <v>1</v>
      </c>
    </row>
    <row r="24" customFormat="false" ht="15" hidden="false" customHeight="false" outlineLevel="0" collapsed="false">
      <c r="A24" s="1" t="n">
        <v>20</v>
      </c>
      <c r="B24" s="2" t="s">
        <v>55</v>
      </c>
      <c r="D24" s="1" t="n">
        <v>1</v>
      </c>
    </row>
    <row r="25" customFormat="false" ht="15" hidden="false" customHeight="false" outlineLevel="0" collapsed="false">
      <c r="A25" s="1" t="n">
        <v>21</v>
      </c>
      <c r="B25" s="2" t="s">
        <v>56</v>
      </c>
      <c r="C25" s="1" t="s">
        <v>56</v>
      </c>
      <c r="D25" s="1" t="n">
        <v>8</v>
      </c>
    </row>
    <row r="26" customFormat="false" ht="15" hidden="false" customHeight="false" outlineLevel="0" collapsed="false">
      <c r="A26" s="1" t="n">
        <v>22</v>
      </c>
      <c r="B26" s="2" t="s">
        <v>58</v>
      </c>
      <c r="C26" s="1" t="s">
        <v>103</v>
      </c>
      <c r="D26" s="1" t="n">
        <v>7</v>
      </c>
    </row>
    <row r="27" customFormat="false" ht="15" hidden="false" customHeight="false" outlineLevel="0" collapsed="false">
      <c r="A27" s="1" t="n">
        <v>23</v>
      </c>
      <c r="B27" s="2" t="s">
        <v>60</v>
      </c>
      <c r="C27" s="1" t="s">
        <v>104</v>
      </c>
      <c r="D27" s="1" t="n">
        <v>7</v>
      </c>
    </row>
    <row r="28" customFormat="false" ht="15" hidden="false" customHeight="false" outlineLevel="0" collapsed="false">
      <c r="A28" s="1" t="n">
        <v>27</v>
      </c>
      <c r="B28" s="1" t="s">
        <v>62</v>
      </c>
      <c r="C28" s="1" t="s">
        <v>105</v>
      </c>
      <c r="D28" s="1" t="n">
        <v>6</v>
      </c>
    </row>
    <row r="29" customFormat="false" ht="15" hidden="false" customHeight="false" outlineLevel="0" collapsed="false">
      <c r="C29" s="1" t="s">
        <v>109</v>
      </c>
      <c r="D29" s="1" t="n">
        <f aca="false">COUNTIF(D2:D28,"&gt;0")</f>
        <v>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2" activeCellId="1" sqref="L3:L25 F32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19"/>
    <col collapsed="false" customWidth="true" hidden="false" outlineLevel="0" max="2" min="2" style="1" width="20.92"/>
    <col collapsed="false" customWidth="true" hidden="false" outlineLevel="0" max="3" min="3" style="1" width="19.94"/>
    <col collapsed="false" customWidth="true" hidden="false" outlineLevel="0" max="4" min="4" style="1" width="15.54"/>
  </cols>
  <sheetData>
    <row r="3" customFormat="false" ht="15" hidden="false" customHeight="false" outlineLevel="0" collapsed="false">
      <c r="A3" s="1" t="s">
        <v>0</v>
      </c>
      <c r="B3" s="1" t="s">
        <v>65</v>
      </c>
      <c r="C3" s="1" t="s">
        <v>2</v>
      </c>
      <c r="D3" s="1" t="s">
        <v>77</v>
      </c>
      <c r="E3" s="1" t="s">
        <v>78</v>
      </c>
      <c r="F3" s="1" t="s">
        <v>80</v>
      </c>
    </row>
    <row r="4" customFormat="false" ht="15" hidden="false" customHeight="false" outlineLevel="0" collapsed="false">
      <c r="A4" s="1" t="n">
        <v>1</v>
      </c>
      <c r="B4" s="2" t="s">
        <v>11</v>
      </c>
      <c r="C4" s="1" t="s">
        <v>81</v>
      </c>
      <c r="D4" s="1" t="n">
        <v>6.25</v>
      </c>
      <c r="F4" s="1" t="n">
        <v>6.25</v>
      </c>
    </row>
    <row r="5" customFormat="false" ht="15" hidden="false" customHeight="false" outlineLevel="0" collapsed="false">
      <c r="A5" s="1" t="n">
        <v>2</v>
      </c>
      <c r="B5" s="2" t="s">
        <v>15</v>
      </c>
      <c r="C5" s="1" t="s">
        <v>82</v>
      </c>
      <c r="D5" s="1" t="n">
        <v>7</v>
      </c>
      <c r="F5" s="1" t="n">
        <v>7</v>
      </c>
    </row>
    <row r="6" customFormat="false" ht="15" hidden="false" customHeight="false" outlineLevel="0" collapsed="false">
      <c r="A6" s="1" t="n">
        <v>3</v>
      </c>
      <c r="B6" s="2" t="s">
        <v>17</v>
      </c>
      <c r="C6" s="1" t="s">
        <v>106</v>
      </c>
      <c r="D6" s="1" t="n">
        <v>7</v>
      </c>
      <c r="E6" s="1" t="n">
        <f aca="false">AVERAGE(D6:D7)</f>
        <v>6</v>
      </c>
      <c r="F6" s="1" t="n">
        <v>6</v>
      </c>
    </row>
    <row r="7" customFormat="false" ht="15" hidden="false" customHeight="false" outlineLevel="0" collapsed="false">
      <c r="C7" s="1" t="s">
        <v>106</v>
      </c>
      <c r="D7" s="1" t="n">
        <v>5</v>
      </c>
    </row>
    <row r="8" customFormat="false" ht="15" hidden="false" customHeight="false" outlineLevel="0" collapsed="false">
      <c r="A8" s="1" t="n">
        <v>4</v>
      </c>
      <c r="B8" s="2" t="s">
        <v>21</v>
      </c>
      <c r="C8" s="1" t="s">
        <v>83</v>
      </c>
      <c r="D8" s="1" t="n">
        <v>4.25</v>
      </c>
      <c r="F8" s="1" t="n">
        <v>4.25</v>
      </c>
    </row>
    <row r="9" customFormat="false" ht="15" hidden="false" customHeight="false" outlineLevel="0" collapsed="false">
      <c r="A9" s="1" t="n">
        <v>5</v>
      </c>
      <c r="B9" s="2" t="s">
        <v>23</v>
      </c>
      <c r="C9" s="1" t="s">
        <v>84</v>
      </c>
      <c r="D9" s="1" t="n">
        <v>7.75</v>
      </c>
      <c r="F9" s="1" t="n">
        <v>7.75</v>
      </c>
    </row>
    <row r="10" customFormat="false" ht="15" hidden="false" customHeight="false" outlineLevel="0" collapsed="false">
      <c r="A10" s="1" t="n">
        <v>6</v>
      </c>
      <c r="B10" s="2" t="s">
        <v>25</v>
      </c>
      <c r="C10" s="1" t="s">
        <v>85</v>
      </c>
      <c r="D10" s="1" t="n">
        <v>9</v>
      </c>
      <c r="F10" s="1" t="n">
        <v>9</v>
      </c>
    </row>
    <row r="11" customFormat="false" ht="15" hidden="false" customHeight="false" outlineLevel="0" collapsed="false">
      <c r="A11" s="1" t="n">
        <v>7</v>
      </c>
      <c r="B11" s="2" t="s">
        <v>27</v>
      </c>
      <c r="C11" s="1" t="s">
        <v>86</v>
      </c>
      <c r="D11" s="1" t="n">
        <v>6.5</v>
      </c>
      <c r="F11" s="1" t="n">
        <v>6.5</v>
      </c>
    </row>
    <row r="12" customFormat="false" ht="15" hidden="false" customHeight="false" outlineLevel="0" collapsed="false">
      <c r="A12" s="1" t="n">
        <v>25</v>
      </c>
      <c r="B12" s="2" t="s">
        <v>28</v>
      </c>
      <c r="C12" s="1" t="s">
        <v>87</v>
      </c>
      <c r="D12" s="1" t="n">
        <v>6.5</v>
      </c>
      <c r="F12" s="1" t="n">
        <v>6.5</v>
      </c>
    </row>
    <row r="13" customFormat="false" ht="15" hidden="false" customHeight="false" outlineLevel="0" collapsed="false">
      <c r="A13" s="1" t="n">
        <v>8</v>
      </c>
      <c r="B13" s="2" t="s">
        <v>30</v>
      </c>
      <c r="C13" s="1" t="s">
        <v>88</v>
      </c>
      <c r="D13" s="1" t="n">
        <v>8.5</v>
      </c>
      <c r="F13" s="1" t="n">
        <v>8.5</v>
      </c>
    </row>
    <row r="14" customFormat="false" ht="15" hidden="false" customHeight="false" outlineLevel="0" collapsed="false">
      <c r="A14" s="1" t="n">
        <v>9</v>
      </c>
      <c r="B14" s="2" t="s">
        <v>32</v>
      </c>
      <c r="C14" s="1" t="s">
        <v>89</v>
      </c>
      <c r="D14" s="1" t="n">
        <v>5.25</v>
      </c>
      <c r="F14" s="1" t="n">
        <v>5.25</v>
      </c>
    </row>
    <row r="15" customFormat="false" ht="15" hidden="false" customHeight="false" outlineLevel="0" collapsed="false">
      <c r="A15" s="1" t="n">
        <v>10</v>
      </c>
      <c r="B15" s="2" t="s">
        <v>34</v>
      </c>
      <c r="C15" s="1" t="s">
        <v>107</v>
      </c>
      <c r="D15" s="1" t="n">
        <v>5.5</v>
      </c>
      <c r="F15" s="1" t="n">
        <v>5.5</v>
      </c>
    </row>
    <row r="16" customFormat="false" ht="15" hidden="false" customHeight="false" outlineLevel="0" collapsed="false">
      <c r="A16" s="1" t="n">
        <v>11</v>
      </c>
      <c r="B16" s="2" t="s">
        <v>36</v>
      </c>
      <c r="C16" s="1" t="s">
        <v>90</v>
      </c>
      <c r="D16" s="1" t="n">
        <v>10</v>
      </c>
      <c r="F16" s="1" t="n">
        <v>10</v>
      </c>
    </row>
    <row r="17" customFormat="false" ht="15" hidden="false" customHeight="false" outlineLevel="0" collapsed="false">
      <c r="A17" s="1" t="n">
        <v>12</v>
      </c>
      <c r="B17" s="2" t="s">
        <v>37</v>
      </c>
      <c r="C17" s="1" t="s">
        <v>91</v>
      </c>
      <c r="D17" s="1" t="n">
        <v>8</v>
      </c>
      <c r="F17" s="1" t="n">
        <v>8</v>
      </c>
    </row>
    <row r="18" customFormat="false" ht="15" hidden="false" customHeight="false" outlineLevel="0" collapsed="false">
      <c r="A18" s="1" t="n">
        <v>13</v>
      </c>
      <c r="B18" s="2" t="s">
        <v>75</v>
      </c>
      <c r="C18" s="1" t="s">
        <v>92</v>
      </c>
      <c r="D18" s="1" t="n">
        <v>6.75</v>
      </c>
      <c r="F18" s="1" t="n">
        <v>6.75</v>
      </c>
    </row>
    <row r="19" customFormat="false" ht="15" hidden="false" customHeight="false" outlineLevel="0" collapsed="false">
      <c r="A19" s="1" t="n">
        <v>26</v>
      </c>
      <c r="B19" s="2" t="s">
        <v>40</v>
      </c>
      <c r="C19" s="1" t="s">
        <v>94</v>
      </c>
      <c r="D19" s="1" t="n">
        <v>4.75</v>
      </c>
      <c r="F19" s="1" t="n">
        <v>4.75</v>
      </c>
    </row>
    <row r="20" customFormat="false" ht="15" hidden="false" customHeight="false" outlineLevel="0" collapsed="false">
      <c r="A20" s="1" t="n">
        <v>14</v>
      </c>
      <c r="B20" s="2" t="s">
        <v>76</v>
      </c>
      <c r="C20" s="1" t="s">
        <v>96</v>
      </c>
      <c r="D20" s="1" t="n">
        <v>5.5</v>
      </c>
      <c r="F20" s="1" t="n">
        <v>5.5</v>
      </c>
    </row>
    <row r="21" customFormat="false" ht="15" hidden="false" customHeight="false" outlineLevel="0" collapsed="false">
      <c r="A21" s="1" t="n">
        <v>24</v>
      </c>
      <c r="B21" s="2" t="s">
        <v>43</v>
      </c>
      <c r="F21" s="1" t="n">
        <v>1</v>
      </c>
    </row>
    <row r="22" customFormat="false" ht="15" hidden="false" customHeight="false" outlineLevel="0" collapsed="false">
      <c r="A22" s="1" t="n">
        <v>15</v>
      </c>
      <c r="B22" s="2" t="s">
        <v>45</v>
      </c>
      <c r="C22" s="1" t="s">
        <v>98</v>
      </c>
      <c r="D22" s="1" t="n">
        <v>5.25</v>
      </c>
      <c r="F22" s="1" t="n">
        <v>5.25</v>
      </c>
    </row>
    <row r="23" customFormat="false" ht="15" hidden="false" customHeight="false" outlineLevel="0" collapsed="false">
      <c r="A23" s="1" t="n">
        <v>16</v>
      </c>
      <c r="B23" s="2" t="s">
        <v>47</v>
      </c>
      <c r="C23" s="1" t="s">
        <v>99</v>
      </c>
      <c r="D23" s="1" t="n">
        <v>7.25</v>
      </c>
      <c r="F23" s="1" t="n">
        <v>7.25</v>
      </c>
    </row>
    <row r="24" customFormat="false" ht="15" hidden="false" customHeight="false" outlineLevel="0" collapsed="false">
      <c r="A24" s="1" t="n">
        <v>17</v>
      </c>
      <c r="B24" s="1" t="s">
        <v>49</v>
      </c>
      <c r="C24" s="1" t="s">
        <v>100</v>
      </c>
      <c r="D24" s="1" t="n">
        <v>9</v>
      </c>
      <c r="F24" s="1" t="n">
        <v>9</v>
      </c>
    </row>
    <row r="25" customFormat="false" ht="15" hidden="false" customHeight="false" outlineLevel="0" collapsed="false">
      <c r="A25" s="1" t="n">
        <v>18</v>
      </c>
      <c r="B25" s="2" t="s">
        <v>51</v>
      </c>
      <c r="C25" s="1" t="s">
        <v>101</v>
      </c>
      <c r="D25" s="1" t="n">
        <v>8.25</v>
      </c>
      <c r="F25" s="1" t="n">
        <v>8.25</v>
      </c>
    </row>
    <row r="26" customFormat="false" ht="15" hidden="false" customHeight="false" outlineLevel="0" collapsed="false">
      <c r="A26" s="1" t="n">
        <v>19</v>
      </c>
      <c r="B26" s="2" t="s">
        <v>53</v>
      </c>
      <c r="C26" s="1" t="s">
        <v>102</v>
      </c>
      <c r="D26" s="1" t="n">
        <v>4</v>
      </c>
      <c r="F26" s="1" t="n">
        <v>4</v>
      </c>
    </row>
    <row r="27" customFormat="false" ht="15" hidden="false" customHeight="false" outlineLevel="0" collapsed="false">
      <c r="A27" s="1" t="n">
        <v>20</v>
      </c>
      <c r="B27" s="2" t="s">
        <v>55</v>
      </c>
      <c r="C27" s="1" t="s">
        <v>110</v>
      </c>
      <c r="D27" s="1" t="n">
        <v>6.25</v>
      </c>
      <c r="F27" s="1" t="n">
        <v>6.25</v>
      </c>
    </row>
    <row r="28" customFormat="false" ht="15" hidden="false" customHeight="false" outlineLevel="0" collapsed="false">
      <c r="A28" s="1" t="n">
        <v>21</v>
      </c>
      <c r="B28" s="2" t="s">
        <v>56</v>
      </c>
      <c r="C28" s="1" t="s">
        <v>56</v>
      </c>
      <c r="D28" s="1" t="n">
        <v>9.5</v>
      </c>
      <c r="F28" s="1" t="n">
        <v>9.5</v>
      </c>
    </row>
    <row r="29" customFormat="false" ht="15" hidden="false" customHeight="false" outlineLevel="0" collapsed="false">
      <c r="A29" s="1" t="n">
        <v>22</v>
      </c>
      <c r="B29" s="2" t="s">
        <v>58</v>
      </c>
      <c r="C29" s="1" t="s">
        <v>103</v>
      </c>
      <c r="D29" s="1" t="n">
        <v>7.25</v>
      </c>
      <c r="F29" s="1" t="n">
        <v>7.25</v>
      </c>
    </row>
    <row r="30" customFormat="false" ht="15" hidden="false" customHeight="false" outlineLevel="0" collapsed="false">
      <c r="A30" s="1" t="n">
        <v>23</v>
      </c>
      <c r="B30" s="2" t="s">
        <v>60</v>
      </c>
      <c r="C30" s="1" t="s">
        <v>104</v>
      </c>
      <c r="D30" s="1" t="n">
        <v>9</v>
      </c>
      <c r="E30" s="1" t="n">
        <f aca="false">AVERAGE(D30:D31)</f>
        <v>7.375</v>
      </c>
      <c r="F30" s="1" t="n">
        <v>7.375</v>
      </c>
    </row>
    <row r="31" customFormat="false" ht="15" hidden="false" customHeight="false" outlineLevel="0" collapsed="false">
      <c r="C31" s="1" t="s">
        <v>104</v>
      </c>
      <c r="D31" s="1" t="n">
        <v>5.75</v>
      </c>
    </row>
    <row r="32" customFormat="false" ht="15" hidden="false" customHeight="false" outlineLevel="0" collapsed="false">
      <c r="A32" s="1" t="n">
        <v>27</v>
      </c>
      <c r="B32" s="1" t="s">
        <v>62</v>
      </c>
      <c r="C32" s="1" t="s">
        <v>105</v>
      </c>
      <c r="D32" s="1" t="n">
        <v>7.75</v>
      </c>
      <c r="F32" s="1" t="n">
        <v>7.75</v>
      </c>
    </row>
    <row r="35" customFormat="false" ht="15" hidden="false" customHeight="false" outlineLevel="0" collapsed="false">
      <c r="C35" s="1" t="s">
        <v>111</v>
      </c>
      <c r="D35" s="1" t="n">
        <v>6.75</v>
      </c>
      <c r="F35" s="1" t="n">
        <v>6.75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10133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2026-06-09T12:08:49Z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