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7-Recup-Bertola" sheetId="3" state="visible" r:id="rId5"/>
    <sheet name="7-2c-Recup" sheetId="4" state="visible" r:id="rId6"/>
    <sheet name="a-Evaluar" sheetId="5" state="visible" r:id="rId7"/>
    <sheet name="positivos" sheetId="6" state="visible" r:id="rId8"/>
    <sheet name="2C-6-puenteH" sheetId="7" state="visible" r:id="rId9"/>
    <sheet name="2C-7diseño" sheetId="8" state="visible" r:id="rId10"/>
    <sheet name="1-2fuentes" sheetId="9" state="visible" r:id="rId11"/>
    <sheet name="1-Recup" sheetId="10" state="visible" r:id="rId12"/>
    <sheet name="2-Real Col-base" sheetId="11" state="visible" r:id="rId13"/>
    <sheet name="2-REcup" sheetId="12" state="visible" r:id="rId14"/>
    <sheet name="3-Thev-Nor" sheetId="13" state="visible" r:id="rId15"/>
    <sheet name="3-Recup" sheetId="14" state="visible" r:id="rId16"/>
    <sheet name="4-Div Resist" sheetId="15" state="visible" r:id="rId17"/>
    <sheet name="4-Recup" sheetId="16" state="visible" r:id="rId18"/>
    <sheet name="5-parDarlington" sheetId="17" state="visible" r:id="rId19"/>
    <sheet name="Evaluacion" sheetId="18" state="visible" r:id="rId20"/>
    <sheet name="Recuperacoin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<sst xmlns="http://schemas.openxmlformats.org/spreadsheetml/2006/main" count="1691" uniqueCount="622">
  <si>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</si>
  <si>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</si>
  <si>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</si>
  <si>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</si>
  <si>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</si>
  <si>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Joaquin</t>
  </si>
  <si>
    <t xml:space="preserve">Alcaraz</t>
  </si>
  <si>
    <t xml:space="preserve">P</t>
  </si>
  <si>
    <t xml:space="preserve">Facundo</t>
  </si>
  <si>
    <t xml:space="preserve">Arredondo</t>
  </si>
  <si>
    <t xml:space="preserve">Agustin</t>
  </si>
  <si>
    <t xml:space="preserve">Coronel</t>
  </si>
  <si>
    <t xml:space="preserve">A</t>
  </si>
  <si>
    <t xml:space="preserve">Recursante</t>
  </si>
  <si>
    <t xml:space="preserve">Reursante</t>
  </si>
  <si>
    <t xml:space="preserve">Santiago</t>
  </si>
  <si>
    <t xml:space="preserve">Diaz</t>
  </si>
  <si>
    <t xml:space="preserve">Candelaria</t>
  </si>
  <si>
    <t xml:space="preserve">Farias Ruiz</t>
  </si>
  <si>
    <t xml:space="preserve">Oriana</t>
  </si>
  <si>
    <t xml:space="preserve">Francolino</t>
  </si>
  <si>
    <t xml:space="preserve">Juan</t>
  </si>
  <si>
    <t xml:space="preserve">Giraldo</t>
  </si>
  <si>
    <t xml:space="preserve">Demain</t>
  </si>
  <si>
    <t xml:space="preserve">Juncal</t>
  </si>
  <si>
    <t xml:space="preserve">Geremias</t>
  </si>
  <si>
    <t xml:space="preserve">Lesme</t>
  </si>
  <si>
    <t xml:space="preserve">Laionel</t>
  </si>
  <si>
    <t xml:space="preserve">Loaiza</t>
  </si>
  <si>
    <t xml:space="preserve">Thiago</t>
  </si>
  <si>
    <t xml:space="preserve">Lucero</t>
  </si>
  <si>
    <t xml:space="preserve">Lujan</t>
  </si>
  <si>
    <t xml:space="preserve">Tahiel</t>
  </si>
  <si>
    <t xml:space="preserve">Manrique</t>
  </si>
  <si>
    <t xml:space="preserve">Fabricio</t>
  </si>
  <si>
    <t xml:space="preserve">Martinez</t>
  </si>
  <si>
    <t xml:space="preserve">Franco</t>
  </si>
  <si>
    <t xml:space="preserve">Melin</t>
  </si>
  <si>
    <t xml:space="preserve">Uma</t>
  </si>
  <si>
    <t xml:space="preserve">Olivera</t>
  </si>
  <si>
    <t xml:space="preserve">Delfina</t>
  </si>
  <si>
    <t xml:space="preserve">Ortega</t>
  </si>
  <si>
    <t xml:space="preserve">Alejo</t>
  </si>
  <si>
    <t xml:space="preserve">Palermo</t>
  </si>
  <si>
    <t xml:space="preserve">Mateo</t>
  </si>
  <si>
    <t xml:space="preserve">Prado</t>
  </si>
  <si>
    <t xml:space="preserve">Ivan</t>
  </si>
  <si>
    <t xml:space="preserve">Ravanelli</t>
  </si>
  <si>
    <t xml:space="preserve">Romero</t>
  </si>
  <si>
    <t xml:space="preserve">Matias</t>
  </si>
  <si>
    <t xml:space="preserve">Saigua</t>
  </si>
  <si>
    <t xml:space="preserve">Giuliana</t>
  </si>
  <si>
    <t xml:space="preserve">Videla</t>
  </si>
  <si>
    <t xml:space="preserve">Medina (reucr)</t>
  </si>
  <si>
    <t xml:space="preserve">Hoyos  (recur)</t>
  </si>
  <si>
    <t xml:space="preserve">Martinez (recur)</t>
  </si>
  <si>
    <t xml:space="preserve">Zarraga (recur)</t>
  </si>
  <si>
    <t xml:space="preserve">nombres</t>
  </si>
  <si>
    <t xml:space="preserve">apellido</t>
  </si>
  <si>
    <t xml:space="preserve">carpeta</t>
  </si>
  <si>
    <t xml:space="preserve">S</t>
  </si>
  <si>
    <t xml:space="preserve">Tiempo requerido</t>
  </si>
  <si>
    <t xml:space="preserve">Calificación/8,00</t>
  </si>
  <si>
    <t xml:space="preserve">promedio</t>
  </si>
  <si>
    <t xml:space="preserve">segundo</t>
  </si>
  <si>
    <t xml:space="preserve">final</t>
  </si>
  <si>
    <t xml:space="preserve">bertola galizzi</t>
  </si>
  <si>
    <t xml:space="preserve">Sathya</t>
  </si>
  <si>
    <t xml:space="preserve">7 minutos 42 segundos</t>
  </si>
  <si>
    <t xml:space="preserve">8 minutos</t>
  </si>
  <si>
    <t xml:space="preserve">3 minutos 24 segundos</t>
  </si>
  <si>
    <t xml:space="preserve">7 minutos 43 segundos</t>
  </si>
  <si>
    <t xml:space="preserve">5 minutos 58 segundos</t>
  </si>
  <si>
    <t xml:space="preserve">5 minutos 57 segundos</t>
  </si>
  <si>
    <t xml:space="preserve">5 minutos 20 segundos</t>
  </si>
  <si>
    <t xml:space="preserve">prom</t>
  </si>
  <si>
    <t xml:space="preserve">AMIGO</t>
  </si>
  <si>
    <t xml:space="preserve">Lucila Yanel</t>
  </si>
  <si>
    <t xml:space="preserve">3 minutos 7 segundos</t>
  </si>
  <si>
    <t xml:space="preserve">3 minutos 50 segundos</t>
  </si>
  <si>
    <t xml:space="preserve">3 minutos 4 segundos</t>
  </si>
  <si>
    <t xml:space="preserve">5 minutos 18 segundos</t>
  </si>
  <si>
    <t xml:space="preserve">4 minutos 46 segundos</t>
  </si>
  <si>
    <t xml:space="preserve">7 minutos 40 segundos</t>
  </si>
  <si>
    <t xml:space="preserve">DI FEBO</t>
  </si>
  <si>
    <t xml:space="preserve">Liam Yoel</t>
  </si>
  <si>
    <t xml:space="preserve">6 minutos 47 segundos</t>
  </si>
  <si>
    <t xml:space="preserve">SUAREZ</t>
  </si>
  <si>
    <t xml:space="preserve">Matías</t>
  </si>
  <si>
    <t xml:space="preserve">5 minutos 3 segundos</t>
  </si>
  <si>
    <t xml:space="preserve">3 minutos 20 segundos</t>
  </si>
  <si>
    <t xml:space="preserve">6 minutos 43 segundos</t>
  </si>
  <si>
    <t xml:space="preserve">5 minutos 53 segundos</t>
  </si>
  <si>
    <t xml:space="preserve">4 minutos 8 segundos</t>
  </si>
  <si>
    <t xml:space="preserve">8 minutos 1 segundos</t>
  </si>
  <si>
    <t xml:space="preserve">4 minutos 44 segundos</t>
  </si>
  <si>
    <t xml:space="preserve">8-par dar</t>
  </si>
  <si>
    <t xml:space="preserve">Lourdes Elizabeth</t>
  </si>
  <si>
    <t xml:space="preserve">ANDRADA BASCOPE</t>
  </si>
  <si>
    <t xml:space="preserve">Germán Ezequiel</t>
  </si>
  <si>
    <t xml:space="preserve">APURIL</t>
  </si>
  <si>
    <t xml:space="preserve">Lautaro Francisco</t>
  </si>
  <si>
    <t xml:space="preserve">AYBAR</t>
  </si>
  <si>
    <t xml:space="preserve">BIROCCO FRETES</t>
  </si>
  <si>
    <t xml:space="preserve">Mateo Ignacio</t>
  </si>
  <si>
    <t xml:space="preserve">BRUNO</t>
  </si>
  <si>
    <t xml:space="preserve">Mirko</t>
  </si>
  <si>
    <t xml:space="preserve">Dellana</t>
  </si>
  <si>
    <t xml:space="preserve">Francisco Gael</t>
  </si>
  <si>
    <t xml:space="preserve">Dimeo</t>
  </si>
  <si>
    <t xml:space="preserve">Facundo Agustin</t>
  </si>
  <si>
    <t xml:space="preserve">ENGERS GONZALEZ</t>
  </si>
  <si>
    <t xml:space="preserve">Pedro Gabriel</t>
  </si>
  <si>
    <t xml:space="preserve">GERAGHTY</t>
  </si>
  <si>
    <t xml:space="preserve">Miqueas Ariel</t>
  </si>
  <si>
    <t xml:space="preserve">Hoyos</t>
  </si>
  <si>
    <t xml:space="preserve">Tobias</t>
  </si>
  <si>
    <t xml:space="preserve">Ibarra Yegro</t>
  </si>
  <si>
    <t xml:space="preserve">Zoe Antonella</t>
  </si>
  <si>
    <t xml:space="preserve">LOPEZ BERZA</t>
  </si>
  <si>
    <t xml:space="preserve">Gabriel Lautaro</t>
  </si>
  <si>
    <t xml:space="preserve">MARTINEZ DEL PINO</t>
  </si>
  <si>
    <t xml:space="preserve">Facundo Ariel</t>
  </si>
  <si>
    <t xml:space="preserve">MEDINA</t>
  </si>
  <si>
    <t xml:space="preserve">Avril</t>
  </si>
  <si>
    <t xml:space="preserve">RODRIGUEZ MIÑO</t>
  </si>
  <si>
    <t xml:space="preserve">Araceli Rosario Abigail</t>
  </si>
  <si>
    <t xml:space="preserve">SANTIBAÑEZ RAMÍREZ</t>
  </si>
  <si>
    <t xml:space="preserve">Franco Joaquín</t>
  </si>
  <si>
    <t xml:space="preserve">VILLCA</t>
  </si>
  <si>
    <t xml:space="preserve">Ramiro Demian</t>
  </si>
  <si>
    <t xml:space="preserve">ZARRAGA</t>
  </si>
  <si>
    <t xml:space="preserve">Nro</t>
  </si>
  <si>
    <t xml:space="preserve">positivos</t>
  </si>
  <si>
    <t xml:space="preserve">Calificación/10,00</t>
  </si>
  <si>
    <t xml:space="preserve">PROMEDIO</t>
  </si>
  <si>
    <t xml:space="preserve">SEGUNDO</t>
  </si>
  <si>
    <t xml:space="preserve">FINAL</t>
  </si>
  <si>
    <t xml:space="preserve">14 minutos 58 segundos</t>
  </si>
  <si>
    <t xml:space="preserve">44 minutos 2 segundos</t>
  </si>
  <si>
    <t xml:space="preserve">19 minutos 9 segundos</t>
  </si>
  <si>
    <t xml:space="preserve">8 minutos 26 segundos</t>
  </si>
  <si>
    <t xml:space="preserve">8 minutos 58 segundos</t>
  </si>
  <si>
    <t xml:space="preserve">9 minutos 3 segundos</t>
  </si>
  <si>
    <t xml:space="preserve">13 minutos 2 segundos</t>
  </si>
  <si>
    <t xml:space="preserve">7 minutos 19 segundos</t>
  </si>
  <si>
    <t xml:space="preserve">6 minutos 35 segundos</t>
  </si>
  <si>
    <t xml:space="preserve">5 minutos 32 segundos</t>
  </si>
  <si>
    <t xml:space="preserve">7 minutos 56 segundos</t>
  </si>
  <si>
    <t xml:space="preserve">18 minutos 28 segundos</t>
  </si>
  <si>
    <t xml:space="preserve">14 minutos 51 segundos</t>
  </si>
  <si>
    <t xml:space="preserve">9 minutos 34 segundos</t>
  </si>
  <si>
    <t xml:space="preserve">3 minutos 54 segundos</t>
  </si>
  <si>
    <t xml:space="preserve">4 minutos 54 segundos</t>
  </si>
  <si>
    <t xml:space="preserve">12 minutos 48 segundos</t>
  </si>
  <si>
    <t xml:space="preserve">7 minutos 32 segundos</t>
  </si>
  <si>
    <t xml:space="preserve">2 minutos 23 segundos</t>
  </si>
  <si>
    <t xml:space="preserve">15 minutos 47 segundos</t>
  </si>
  <si>
    <t xml:space="preserve">12 minutos 34 segundos</t>
  </si>
  <si>
    <t xml:space="preserve">9 minutos 1 segundos</t>
  </si>
  <si>
    <t xml:space="preserve">13 minutos 32 segundos</t>
  </si>
  <si>
    <t xml:space="preserve">cant</t>
  </si>
  <si>
    <t xml:space="preserve">9 minutos 52 segundos</t>
  </si>
  <si>
    <t xml:space="preserve">7 minutos 35 segundos</t>
  </si>
  <si>
    <t xml:space="preserve">7 minutos 41 segundos</t>
  </si>
  <si>
    <t xml:space="preserve">9 minutos 35 segundos</t>
  </si>
  <si>
    <t xml:space="preserve">9 minutos 5 segundos</t>
  </si>
  <si>
    <t xml:space="preserve">10 minutos</t>
  </si>
  <si>
    <t xml:space="preserve">15 segundos</t>
  </si>
  <si>
    <t xml:space="preserve">4 minutos 41 segundos</t>
  </si>
  <si>
    <t xml:space="preserve">5 minutos 22 segundos</t>
  </si>
  <si>
    <t xml:space="preserve">4 minutos 29 segundos</t>
  </si>
  <si>
    <t xml:space="preserve">7 minutos 38 segundos</t>
  </si>
  <si>
    <t xml:space="preserve">9 minutos 14 segundos</t>
  </si>
  <si>
    <t xml:space="preserve">9 minutos 6 segundos</t>
  </si>
  <si>
    <t xml:space="preserve">8 minutos 45 segundos</t>
  </si>
  <si>
    <t xml:space="preserve">8 minutos 13 segundos</t>
  </si>
  <si>
    <t xml:space="preserve">7 minutos 17 segundos</t>
  </si>
  <si>
    <t xml:space="preserve">10 minutos 1 segundos</t>
  </si>
  <si>
    <t xml:space="preserve">9 minutos 59 segundos</t>
  </si>
  <si>
    <t xml:space="preserve">7 minutos 47 segundos</t>
  </si>
  <si>
    <t xml:space="preserve">7 minutos 33 segundos</t>
  </si>
  <si>
    <t xml:space="preserve">7 minutos 48 segundos</t>
  </si>
  <si>
    <t xml:space="preserve">CANT</t>
  </si>
  <si>
    <t xml:space="preserve">Finalizado</t>
  </si>
  <si>
    <t xml:space="preserve">11 de abril de 2025  23:49</t>
  </si>
  <si>
    <t xml:space="preserve">27 minutos 11 segundos</t>
  </si>
  <si>
    <t xml:space="preserve">11 de abril de 2025  23:19</t>
  </si>
  <si>
    <t xml:space="preserve">9 minutos 31 segundos</t>
  </si>
  <si>
    <t xml:space="preserve">11 de abril de 2025  22:03</t>
  </si>
  <si>
    <t xml:space="preserve">48 minutos 57 segundos</t>
  </si>
  <si>
    <t xml:space="preserve">11 de abril de 2025  22:46</t>
  </si>
  <si>
    <t xml:space="preserve">37 minutos 57 segundos</t>
  </si>
  <si>
    <t xml:space="preserve">11 de abril de 2025  21:13</t>
  </si>
  <si>
    <t xml:space="preserve">30 minutos 41 segundos</t>
  </si>
  <si>
    <t xml:space="preserve">9 de abril de 2025  19:02</t>
  </si>
  <si>
    <t xml:space="preserve">45 minutos 57 segundos</t>
  </si>
  <si>
    <t xml:space="preserve">11 de abril de 2025  20:41</t>
  </si>
  <si>
    <t xml:space="preserve">39 minutos 51 segundos</t>
  </si>
  <si>
    <t xml:space="preserve">11 de abril de 2025  23:10</t>
  </si>
  <si>
    <t xml:space="preserve">4 minutos 40 segundos</t>
  </si>
  <si>
    <t xml:space="preserve">11 de abril de 2025  23:58</t>
  </si>
  <si>
    <t xml:space="preserve">3 minutos 43 segundos</t>
  </si>
  <si>
    <t xml:space="preserve">11 de abril de 2025  23:31</t>
  </si>
  <si>
    <t xml:space="preserve">3 minutos 56 segundos</t>
  </si>
  <si>
    <t xml:space="preserve">11 de abril de 2025  23:36</t>
  </si>
  <si>
    <t xml:space="preserve">11 de abril de 2025  23:54</t>
  </si>
  <si>
    <t xml:space="preserve">7 minutos 16 segundos</t>
  </si>
  <si>
    <t xml:space="preserve">11 de abril de 2025  22:27</t>
  </si>
  <si>
    <t xml:space="preserve">2 días 3 horas</t>
  </si>
  <si>
    <t xml:space="preserve">11 de abril de 2025  23:05</t>
  </si>
  <si>
    <t xml:space="preserve">11 minutos 50 segundos</t>
  </si>
  <si>
    <t xml:space="preserve">11 de abril de 2025  23:14</t>
  </si>
  <si>
    <t xml:space="preserve">2 minutos 48 segundos</t>
  </si>
  <si>
    <t xml:space="preserve">9 de abril de 2025  19:09</t>
  </si>
  <si>
    <t xml:space="preserve">52 minutos 49 segundos</t>
  </si>
  <si>
    <t xml:space="preserve">11 de abril de 2025  01:33</t>
  </si>
  <si>
    <t xml:space="preserve">13 minutos 56 segundos</t>
  </si>
  <si>
    <t xml:space="preserve">11 de abril de 2025  01:47</t>
  </si>
  <si>
    <t xml:space="preserve">12 minutos 36 segundos</t>
  </si>
  <si>
    <t xml:space="preserve">11 de abril de 2025  01:17</t>
  </si>
  <si>
    <t xml:space="preserve">9 minutos 10 segundos</t>
  </si>
  <si>
    <t xml:space="preserve">9 de abril de 2025  18:57</t>
  </si>
  <si>
    <t xml:space="preserve">15 minutos 57 segundos</t>
  </si>
  <si>
    <t xml:space="preserve">9 de abril de 2025  18:47</t>
  </si>
  <si>
    <t xml:space="preserve">31 minutos 17 segundos</t>
  </si>
  <si>
    <t xml:space="preserve">9 de abril de 2025  18:44</t>
  </si>
  <si>
    <t xml:space="preserve">28 minutos 31 segundos</t>
  </si>
  <si>
    <t xml:space="preserve">9 de abril de 2025  21:56</t>
  </si>
  <si>
    <t xml:space="preserve">1 hora 27 minutos</t>
  </si>
  <si>
    <t xml:space="preserve">9 de abril de 2025  20:27</t>
  </si>
  <si>
    <t xml:space="preserve">28 minutos 24 segundos</t>
  </si>
  <si>
    <t xml:space="preserve">43 minutos 59 segundos</t>
  </si>
  <si>
    <t xml:space="preserve">9 de abril de 2025  19:50</t>
  </si>
  <si>
    <t xml:space="preserve">31 minutos 12 segundos</t>
  </si>
  <si>
    <t xml:space="preserve">11 de abril de 2025  22:48</t>
  </si>
  <si>
    <t xml:space="preserve">30 minutos 44 segundos</t>
  </si>
  <si>
    <t xml:space="preserve">11 de abril de 2025  21:02</t>
  </si>
  <si>
    <t xml:space="preserve">38 minutos 41 segundos</t>
  </si>
  <si>
    <t xml:space="preserve">9 de abril de 2025  18:58</t>
  </si>
  <si>
    <t xml:space="preserve">42 minutos 11 segundos</t>
  </si>
  <si>
    <t xml:space="preserve">9 de abril de 2025  18:37</t>
  </si>
  <si>
    <t xml:space="preserve">21 minutos 31 segundos</t>
  </si>
  <si>
    <t xml:space="preserve">7 de mayo de 2025  17:59</t>
  </si>
  <si>
    <t xml:space="preserve">27 días 23 horas</t>
  </si>
  <si>
    <t xml:space="preserve">9 de abril de 2025  19:06</t>
  </si>
  <si>
    <t xml:space="preserve">49 minutos 14 segundos</t>
  </si>
  <si>
    <t xml:space="preserve">11 de abril de 2025  23:42</t>
  </si>
  <si>
    <t xml:space="preserve">16 minutos 26 segundos</t>
  </si>
  <si>
    <t xml:space="preserve">11 de abril de 2025  23:09</t>
  </si>
  <si>
    <t xml:space="preserve">18 minutos 42 segundos</t>
  </si>
  <si>
    <t xml:space="preserve">25 minutos 14 segundos</t>
  </si>
  <si>
    <t xml:space="preserve">11 de abril de 2025  22:13</t>
  </si>
  <si>
    <t xml:space="preserve">8 minutos 54 segundos</t>
  </si>
  <si>
    <t xml:space="preserve">11 de abril de 2025  23:21</t>
  </si>
  <si>
    <t xml:space="preserve">11 minutos 25 segundos</t>
  </si>
  <si>
    <t xml:space="preserve">46 minutos 47 segundos</t>
  </si>
  <si>
    <t xml:space="preserve">11 de abril de 2025  22:25</t>
  </si>
  <si>
    <t xml:space="preserve">7 minutos 34 segundos</t>
  </si>
  <si>
    <t xml:space="preserve">11 de abril de 2025  22:17</t>
  </si>
  <si>
    <t xml:space="preserve">12 minutos 56 segundos</t>
  </si>
  <si>
    <t xml:space="preserve">6 minutos 38 segundos</t>
  </si>
  <si>
    <t xml:space="preserve">9 de abril de 2025  22:31</t>
  </si>
  <si>
    <t xml:space="preserve">6 minutos 26 segundos</t>
  </si>
  <si>
    <t xml:space="preserve">9 de abril de 2025  22:57</t>
  </si>
  <si>
    <t xml:space="preserve">3 minutos 22 segundos</t>
  </si>
  <si>
    <t xml:space="preserve">9 de abril de 2025  22:45</t>
  </si>
  <si>
    <t xml:space="preserve">11 minutos 59 segundos</t>
  </si>
  <si>
    <t xml:space="preserve">11 de abril de 2025  23:34</t>
  </si>
  <si>
    <t xml:space="preserve">4 minutos 56 segundos</t>
  </si>
  <si>
    <t xml:space="preserve">11 de abril de 2025  23:29</t>
  </si>
  <si>
    <t xml:space="preserve">13 minutos 19 segundos</t>
  </si>
  <si>
    <t xml:space="preserve">11 de abril de 2025  23:53</t>
  </si>
  <si>
    <t xml:space="preserve">7 minutos 53 segundos</t>
  </si>
  <si>
    <t xml:space="preserve">11 de abril de 2025  23:45</t>
  </si>
  <si>
    <t xml:space="preserve">5 minutos 27 segundos</t>
  </si>
  <si>
    <t xml:space="preserve">29 minutos 2 segundos</t>
  </si>
  <si>
    <t xml:space="preserve">9 de abril de 2025  19:20</t>
  </si>
  <si>
    <t xml:space="preserve">55 minutos 13 segundos</t>
  </si>
  <si>
    <t xml:space="preserve">35 minutos 30 segundos</t>
  </si>
  <si>
    <t xml:space="preserve">15 minutos 58 segundos</t>
  </si>
  <si>
    <t xml:space="preserve">11 de abril de 2025  23:59</t>
  </si>
  <si>
    <t xml:space="preserve">4 minutos 37 segundos</t>
  </si>
  <si>
    <t xml:space="preserve">9 de abril de 2025  18:56</t>
  </si>
  <si>
    <t xml:space="preserve">40 minutos 19 segundos</t>
  </si>
  <si>
    <t xml:space="preserve">Calificación/9,00</t>
  </si>
  <si>
    <t xml:space="preserve">6 de mayo de 2025  15:04</t>
  </si>
  <si>
    <t xml:space="preserve">3 minutos 9 segundos</t>
  </si>
  <si>
    <t xml:space="preserve">20 de abril de 2025  17:11</t>
  </si>
  <si>
    <t xml:space="preserve">7 minutos 4 segundos</t>
  </si>
  <si>
    <t xml:space="preserve">21 de abril de 2025  23:12</t>
  </si>
  <si>
    <t xml:space="preserve">1 día 6 horas</t>
  </si>
  <si>
    <t xml:space="preserve">17 de abril de 2025  00:24</t>
  </si>
  <si>
    <t xml:space="preserve">46 minutos 16 segundos</t>
  </si>
  <si>
    <t xml:space="preserve">20 de abril de 2025  17:03</t>
  </si>
  <si>
    <t xml:space="preserve">13 minutos 11 segundos</t>
  </si>
  <si>
    <t xml:space="preserve">12 de abril de 2025  23:43</t>
  </si>
  <si>
    <t xml:space="preserve">23 minutos 57 segundos</t>
  </si>
  <si>
    <t xml:space="preserve">16 de abril de 2025  22:21</t>
  </si>
  <si>
    <t xml:space="preserve">7 minutos 10 segundos</t>
  </si>
  <si>
    <t xml:space="preserve">16 de abril de 2025  23:31</t>
  </si>
  <si>
    <t xml:space="preserve">53 minutos 46 segundos</t>
  </si>
  <si>
    <t xml:space="preserve">12 de abril de 2025  00:03</t>
  </si>
  <si>
    <t xml:space="preserve">12 de abril de 2025  00:20</t>
  </si>
  <si>
    <t xml:space="preserve">10 minutos 29 segundos</t>
  </si>
  <si>
    <t xml:space="preserve">16 de abril de 2025  22:30</t>
  </si>
  <si>
    <t xml:space="preserve">11 de abril de 2025  23:44</t>
  </si>
  <si>
    <t xml:space="preserve">32 minutos 24 segundos</t>
  </si>
  <si>
    <t xml:space="preserve">10 de abril de 2025  21:51</t>
  </si>
  <si>
    <t xml:space="preserve">55 minutos 12 segundos</t>
  </si>
  <si>
    <t xml:space="preserve">17 de abril de 2025  19:24</t>
  </si>
  <si>
    <t xml:space="preserve">6 días 17 horas</t>
  </si>
  <si>
    <t xml:space="preserve">16 de abril de 2025  22:08</t>
  </si>
  <si>
    <t xml:space="preserve">7 minutos 20 segundos</t>
  </si>
  <si>
    <t xml:space="preserve">16 de abril de 2025  22:13</t>
  </si>
  <si>
    <t xml:space="preserve">16 de abril de 2025  22:00</t>
  </si>
  <si>
    <t xml:space="preserve">4 minutos 21 segundos</t>
  </si>
  <si>
    <t xml:space="preserve">16 de abril de 2025  11:17</t>
  </si>
  <si>
    <t xml:space="preserve">1 hora 7 minutos</t>
  </si>
  <si>
    <t xml:space="preserve">16 de abril de 2025  10:09</t>
  </si>
  <si>
    <t xml:space="preserve">25 minutos 49 segundos</t>
  </si>
  <si>
    <t xml:space="preserve">10 de abril de 2025  21:16</t>
  </si>
  <si>
    <t xml:space="preserve">1 hora 11 minutos</t>
  </si>
  <si>
    <t xml:space="preserve">12 de abril de 2025  02:32</t>
  </si>
  <si>
    <t xml:space="preserve">12 minutos 32 segundos</t>
  </si>
  <si>
    <t xml:space="preserve">12 de abril de 2025  02:40</t>
  </si>
  <si>
    <t xml:space="preserve">4 minutos 12 segundos</t>
  </si>
  <si>
    <t xml:space="preserve">12 de abril de 2025  02:07</t>
  </si>
  <si>
    <t xml:space="preserve">4 minutos 42 segundos</t>
  </si>
  <si>
    <t xml:space="preserve">12 de abril de 2025  02:35</t>
  </si>
  <si>
    <t xml:space="preserve">3 minutos 26 segundos</t>
  </si>
  <si>
    <t xml:space="preserve">12 de abril de 2025  02:02</t>
  </si>
  <si>
    <t xml:space="preserve">6 minutos 29 segundos</t>
  </si>
  <si>
    <t xml:space="preserve">12 de abril de 2025  02:12</t>
  </si>
  <si>
    <t xml:space="preserve">4 minutos 34 segundos</t>
  </si>
  <si>
    <t xml:space="preserve">12 de abril de 2025  02:19</t>
  </si>
  <si>
    <t xml:space="preserve">6 minutos 34 segundos</t>
  </si>
  <si>
    <t xml:space="preserve">11 de abril de 2025  23:25</t>
  </si>
  <si>
    <t xml:space="preserve">3 minutos 33 segundos</t>
  </si>
  <si>
    <t xml:space="preserve">46 minutos 26 segundos</t>
  </si>
  <si>
    <t xml:space="preserve">10 de abril de 2025  15:51</t>
  </si>
  <si>
    <t xml:space="preserve">22 minutos 42 segundos</t>
  </si>
  <si>
    <t xml:space="preserve">16 de abril de 2025  10:30</t>
  </si>
  <si>
    <t xml:space="preserve">2 días 21 horas</t>
  </si>
  <si>
    <t xml:space="preserve">11 de abril de 2025  23:57</t>
  </si>
  <si>
    <t xml:space="preserve">12 minutos 3 segundos</t>
  </si>
  <si>
    <t xml:space="preserve">14 de abril de 2025  18:41</t>
  </si>
  <si>
    <t xml:space="preserve">8 minutos 5 segundos</t>
  </si>
  <si>
    <t xml:space="preserve">14 de abril de 2025  21:25</t>
  </si>
  <si>
    <t xml:space="preserve">10 minutos 55 segundos</t>
  </si>
  <si>
    <t xml:space="preserve">16 de abril de 2025  22:32</t>
  </si>
  <si>
    <t xml:space="preserve">5 minutos 21 segundos</t>
  </si>
  <si>
    <t xml:space="preserve">16 de abril de 2025  23:29</t>
  </si>
  <si>
    <t xml:space="preserve">35 minutos 19 segundos</t>
  </si>
  <si>
    <t xml:space="preserve">16 de abril de 2025  09:13</t>
  </si>
  <si>
    <t xml:space="preserve">7 de mayo de 2025  22:35</t>
  </si>
  <si>
    <t xml:space="preserve">7 de mayo de 2025  19:00</t>
  </si>
  <si>
    <t xml:space="preserve">6 minutos 44 segundos</t>
  </si>
  <si>
    <t xml:space="preserve">6 de mayo de 2025  17:43</t>
  </si>
  <si>
    <t xml:space="preserve">38 minutos 22 segundos</t>
  </si>
  <si>
    <t xml:space="preserve">1 de mayo de 2025  15:39</t>
  </si>
  <si>
    <t xml:space="preserve">6 de mayo de 2025  16:51</t>
  </si>
  <si>
    <t xml:space="preserve">6 de mayo de 2025  15:23</t>
  </si>
  <si>
    <t xml:space="preserve">26 minutos 3 segundos</t>
  </si>
  <si>
    <t xml:space="preserve">1 de mayo de 2025  15:31</t>
  </si>
  <si>
    <t xml:space="preserve">8 minutos 36 segundos</t>
  </si>
  <si>
    <t xml:space="preserve">1 de mayo de 2025  16:01</t>
  </si>
  <si>
    <t xml:space="preserve">18 minutos 44 segundos</t>
  </si>
  <si>
    <t xml:space="preserve">6 de mayo de 2025  14:53</t>
  </si>
  <si>
    <t xml:space="preserve">6 de mayo de 2025  14:58</t>
  </si>
  <si>
    <t xml:space="preserve">4 minutos 30 segundos</t>
  </si>
  <si>
    <t xml:space="preserve">7 de mayo de 2025  23:20</t>
  </si>
  <si>
    <t xml:space="preserve">7 de mayo de 2025  23:24</t>
  </si>
  <si>
    <t xml:space="preserve">7 de mayo de 2025  22:41</t>
  </si>
  <si>
    <t xml:space="preserve">2 minutos 12 segundos</t>
  </si>
  <si>
    <t xml:space="preserve">4 minutos 35 segundos</t>
  </si>
  <si>
    <t xml:space="preserve">6 de mayo de 2025  22:07</t>
  </si>
  <si>
    <t xml:space="preserve">6 minutos 39 segundos</t>
  </si>
  <si>
    <t xml:space="preserve">6 de mayo de 2025  22:16</t>
  </si>
  <si>
    <t xml:space="preserve">8 minutos 40 segundos</t>
  </si>
  <si>
    <t xml:space="preserve">6 de mayo de 2025  22:18</t>
  </si>
  <si>
    <t xml:space="preserve">1 minutos 37 segundos</t>
  </si>
  <si>
    <t xml:space="preserve">6 de mayo de 2025  22:22</t>
  </si>
  <si>
    <t xml:space="preserve">2 minutos 56 segundos</t>
  </si>
  <si>
    <t xml:space="preserve">6 de mayo de 2025  22:26</t>
  </si>
  <si>
    <t xml:space="preserve">2 minutos 54 segundos</t>
  </si>
  <si>
    <t xml:space="preserve">7 de mayo de 2025  21:27</t>
  </si>
  <si>
    <t xml:space="preserve">5 minutos 15 segundos</t>
  </si>
  <si>
    <t xml:space="preserve">7 de mayo de 2025  22:20</t>
  </si>
  <si>
    <t xml:space="preserve">4 minutos 16 segundos</t>
  </si>
  <si>
    <t xml:space="preserve">7 de mayo de 2025  22:24</t>
  </si>
  <si>
    <t xml:space="preserve">3 minutos 21 segundos</t>
  </si>
  <si>
    <t xml:space="preserve">7 de mayo de 2025  22:28</t>
  </si>
  <si>
    <t xml:space="preserve">3 minutos 28 segundos</t>
  </si>
  <si>
    <t xml:space="preserve">21 de abril de 2025  10:33</t>
  </si>
  <si>
    <t xml:space="preserve">37 minutos 4 segundos</t>
  </si>
  <si>
    <t xml:space="preserve">21 de abril de 2025  10:58</t>
  </si>
  <si>
    <t xml:space="preserve">24 minutos 19 segundos</t>
  </si>
  <si>
    <t xml:space="preserve">19 de abril de 2025  20:49</t>
  </si>
  <si>
    <t xml:space="preserve">1 hora 43 minutos</t>
  </si>
  <si>
    <t xml:space="preserve">19 de abril de 2025  22:02</t>
  </si>
  <si>
    <t xml:space="preserve">35 minutos 33 segundos</t>
  </si>
  <si>
    <t xml:space="preserve">18 de abril de 2025  15:55</t>
  </si>
  <si>
    <t xml:space="preserve">1 día 21 horas</t>
  </si>
  <si>
    <t xml:space="preserve">19 de abril de 2025  23:11</t>
  </si>
  <si>
    <t xml:space="preserve">41 minutos 31 segundos</t>
  </si>
  <si>
    <t xml:space="preserve">21 de abril de 2025  17:25</t>
  </si>
  <si>
    <t xml:space="preserve">12 minutos 23 segundos</t>
  </si>
  <si>
    <t xml:space="preserve">17 de abril de 2025  20:13</t>
  </si>
  <si>
    <t xml:space="preserve">6 minutos 24 segundos</t>
  </si>
  <si>
    <t xml:space="preserve">17 de abril de 2025  22:53</t>
  </si>
  <si>
    <t xml:space="preserve">24 minutos 38 segundos</t>
  </si>
  <si>
    <t xml:space="preserve">16 de abril de 2025  19:32</t>
  </si>
  <si>
    <t xml:space="preserve">56 minutos 14 segundos</t>
  </si>
  <si>
    <t xml:space="preserve">17 de abril de 2025  20:01</t>
  </si>
  <si>
    <t xml:space="preserve">48 minutos 6 segundos</t>
  </si>
  <si>
    <t xml:space="preserve">17 de abril de 2025  21:34</t>
  </si>
  <si>
    <t xml:space="preserve">9 minutos 22 segundos</t>
  </si>
  <si>
    <t xml:space="preserve">17 de abril de 2025  21:51</t>
  </si>
  <si>
    <t xml:space="preserve">16 minutos 16 segundos</t>
  </si>
  <si>
    <t xml:space="preserve">17 de abril de 2025  21:58</t>
  </si>
  <si>
    <t xml:space="preserve">6 minutos 2 segundos</t>
  </si>
  <si>
    <t xml:space="preserve">17 de abril de 2025  21:03</t>
  </si>
  <si>
    <t xml:space="preserve">1 minutos 46 segundos</t>
  </si>
  <si>
    <t xml:space="preserve">17 de abril de 2025  21:23</t>
  </si>
  <si>
    <t xml:space="preserve">18 minutos 18 segundos</t>
  </si>
  <si>
    <t xml:space="preserve">17 de abril de 2025  22:28</t>
  </si>
  <si>
    <t xml:space="preserve">15 minutos 2 segundos</t>
  </si>
  <si>
    <t xml:space="preserve">17 de abril de 2025  20:21</t>
  </si>
  <si>
    <t xml:space="preserve">6 minutos 17 segundos</t>
  </si>
  <si>
    <t xml:space="preserve">17 de abril de 2025  21:01</t>
  </si>
  <si>
    <t xml:space="preserve">9 minutos 23 segundos</t>
  </si>
  <si>
    <t xml:space="preserve">21 de abril de 2025  23:24</t>
  </si>
  <si>
    <t xml:space="preserve">6 minutos 33 segundos</t>
  </si>
  <si>
    <t xml:space="preserve">21 de abril de 2025  23:38</t>
  </si>
  <si>
    <t xml:space="preserve">9 minutos 9 segundos</t>
  </si>
  <si>
    <t xml:space="preserve">21 de abril de 2025  23:44</t>
  </si>
  <si>
    <t xml:space="preserve">5 minutos 34 segundos</t>
  </si>
  <si>
    <t xml:space="preserve">21 de abril de 2025  23:56</t>
  </si>
  <si>
    <t xml:space="preserve">21 de abril de 2025  23:29</t>
  </si>
  <si>
    <t xml:space="preserve">25 minutos 27 segundos</t>
  </si>
  <si>
    <t xml:space="preserve">21 de abril de 2025  23:48</t>
  </si>
  <si>
    <t xml:space="preserve">3 minutos 17 segundos</t>
  </si>
  <si>
    <t xml:space="preserve">20 de abril de 2025  20:22</t>
  </si>
  <si>
    <t xml:space="preserve">4 días</t>
  </si>
  <si>
    <t xml:space="preserve">16 de abril de 2025  19:10</t>
  </si>
  <si>
    <t xml:space="preserve">34 minutos 57 segundos</t>
  </si>
  <si>
    <t xml:space="preserve">16 de abril de 2025  19:22</t>
  </si>
  <si>
    <t xml:space="preserve">44 minutos 7 segundos</t>
  </si>
  <si>
    <t xml:space="preserve">19 de abril de 2025  21:07</t>
  </si>
  <si>
    <t xml:space="preserve">6 minutos 57 segundos</t>
  </si>
  <si>
    <t xml:space="preserve">19 de abril de 2025  20:59</t>
  </si>
  <si>
    <t xml:space="preserve">3 minutos 40 segundos</t>
  </si>
  <si>
    <t xml:space="preserve">21 de abril de 2025  17:15</t>
  </si>
  <si>
    <t xml:space="preserve">1 día 20 horas</t>
  </si>
  <si>
    <t xml:space="preserve">21 de abril de 2025  17:18</t>
  </si>
  <si>
    <t xml:space="preserve">1 minutos 28 segundos</t>
  </si>
  <si>
    <t xml:space="preserve">21 de abril de 2025  17:22</t>
  </si>
  <si>
    <t xml:space="preserve">3 minutos 11 segundos</t>
  </si>
  <si>
    <t xml:space="preserve">16 de abril de 2025  23:03</t>
  </si>
  <si>
    <t xml:space="preserve">6 minutos 6 segundos</t>
  </si>
  <si>
    <t xml:space="preserve">16 de abril de 2025  23:07</t>
  </si>
  <si>
    <t xml:space="preserve">4 minutos 3 segundos</t>
  </si>
  <si>
    <t xml:space="preserve">16 de abril de 2025  23:12</t>
  </si>
  <si>
    <t xml:space="preserve">5 minutos 6 segundos</t>
  </si>
  <si>
    <t xml:space="preserve">16 de abril de 2025  23:17</t>
  </si>
  <si>
    <t xml:space="preserve">4 minutos 19 segundos</t>
  </si>
  <si>
    <t xml:space="preserve">17 de abril de 2025  00:07</t>
  </si>
  <si>
    <t xml:space="preserve">5 horas 30 minutos</t>
  </si>
  <si>
    <t xml:space="preserve">16 de abril de 2025  19:09</t>
  </si>
  <si>
    <t xml:space="preserve">34 minutos 41 segundos</t>
  </si>
  <si>
    <t xml:space="preserve">17 de abril de 2025  18:03</t>
  </si>
  <si>
    <t xml:space="preserve">42 minutos 47 segundos</t>
  </si>
  <si>
    <t xml:space="preserve">21 de abril de 2025  11:25</t>
  </si>
  <si>
    <t xml:space="preserve">55 minutos 57 segundos</t>
  </si>
  <si>
    <t xml:space="preserve">21 de abril de 2025  17:04</t>
  </si>
  <si>
    <t xml:space="preserve">9 minutos 21 segundos</t>
  </si>
  <si>
    <t xml:space="preserve">20 de abril de 2025  19:22</t>
  </si>
  <si>
    <t xml:space="preserve">20 de abril de 2025  19:31</t>
  </si>
  <si>
    <t xml:space="preserve">20 de abril de 2025  19:49</t>
  </si>
  <si>
    <t xml:space="preserve">16 minutos 44 segundos</t>
  </si>
  <si>
    <t xml:space="preserve">21 de abril de 2025  00:33</t>
  </si>
  <si>
    <t xml:space="preserve">1 hora 39 minutos</t>
  </si>
  <si>
    <t xml:space="preserve">21 de abril de 2025  20:47</t>
  </si>
  <si>
    <t xml:space="preserve">6 minutos 49 segundos</t>
  </si>
  <si>
    <t xml:space="preserve">20 de abril de 2025  23:44</t>
  </si>
  <si>
    <t xml:space="preserve">11 minutos 16 segundos</t>
  </si>
  <si>
    <t xml:space="preserve">20 de abril de 2025  23:48</t>
  </si>
  <si>
    <t xml:space="preserve">4 minutos 1 segundos</t>
  </si>
  <si>
    <t xml:space="preserve">21 de abril de 2025  23:31</t>
  </si>
  <si>
    <t xml:space="preserve">5 horas 50 minutos</t>
  </si>
  <si>
    <t xml:space="preserve">21 de abril de 2025  23:47</t>
  </si>
  <si>
    <t xml:space="preserve">8 minutos 43 segundos</t>
  </si>
  <si>
    <t xml:space="preserve">20 de abril de 2025  23:32</t>
  </si>
  <si>
    <t xml:space="preserve">6 horas 19 minutos</t>
  </si>
  <si>
    <t xml:space="preserve">21 de abril de 2025  00:55</t>
  </si>
  <si>
    <t xml:space="preserve">1 hora 5 minutos</t>
  </si>
  <si>
    <t xml:space="preserve">16 de abril de 2025  22:50</t>
  </si>
  <si>
    <t xml:space="preserve">4 horas 8 minutos</t>
  </si>
  <si>
    <t xml:space="preserve">7 de mayo de 2025  23:34</t>
  </si>
  <si>
    <t xml:space="preserve">14 minutos 23 segundos</t>
  </si>
  <si>
    <t xml:space="preserve">5 de mayo de 2025  19:45</t>
  </si>
  <si>
    <t xml:space="preserve">14 minutos 49 segundos</t>
  </si>
  <si>
    <t xml:space="preserve">5 de mayo de 2025  23:43</t>
  </si>
  <si>
    <t xml:space="preserve">32 minutos 38 segundos</t>
  </si>
  <si>
    <t xml:space="preserve">5 de mayo de 2025  17:41</t>
  </si>
  <si>
    <t xml:space="preserve">10 minutos 7 segundos</t>
  </si>
  <si>
    <t xml:space="preserve">7 de mayo de 2025  23:11</t>
  </si>
  <si>
    <t xml:space="preserve">34 minutos 9 segundos</t>
  </si>
  <si>
    <t xml:space="preserve">5 de mayo de 2025  18:43</t>
  </si>
  <si>
    <t xml:space="preserve">1 hora 25 minutos</t>
  </si>
  <si>
    <t xml:space="preserve">5 de mayo de 2025  17:48</t>
  </si>
  <si>
    <t xml:space="preserve">8 minutos 14 segundos</t>
  </si>
  <si>
    <t xml:space="preserve">7 de mayo de 2025  18:34</t>
  </si>
  <si>
    <t xml:space="preserve">29 minutos 51 segundos</t>
  </si>
  <si>
    <t xml:space="preserve">7 de mayo de 2025  18:46</t>
  </si>
  <si>
    <t xml:space="preserve">11 minutos 11 segundos</t>
  </si>
  <si>
    <t xml:space="preserve">7 de mayo de 2025  23:55</t>
  </si>
  <si>
    <t xml:space="preserve">26 minutos 15 segundos</t>
  </si>
  <si>
    <t xml:space="preserve">5 de mayo de 2025  23:47</t>
  </si>
  <si>
    <t xml:space="preserve">13 minutos 33 segundos</t>
  </si>
  <si>
    <t xml:space="preserve">5 de mayo de 2025  22:12</t>
  </si>
  <si>
    <t xml:space="preserve">34 minutos 50 segundos</t>
  </si>
  <si>
    <t xml:space="preserve">7 de mayo de 2025  22:40</t>
  </si>
  <si>
    <t xml:space="preserve">11 minutos 1 segundos</t>
  </si>
  <si>
    <t xml:space="preserve">7 de mayo de 2025  21:37</t>
  </si>
  <si>
    <t xml:space="preserve">2 de mayo de 2025  10:08</t>
  </si>
  <si>
    <t xml:space="preserve">34 minutos 5 segundos</t>
  </si>
  <si>
    <t xml:space="preserve">1 de mayo de 2025  23:13</t>
  </si>
  <si>
    <t xml:space="preserve">43 minutos 22 segundos</t>
  </si>
  <si>
    <t xml:space="preserve">3 de mayo de 2025  23:06</t>
  </si>
  <si>
    <t xml:space="preserve">10 minutos 52 segundos</t>
  </si>
  <si>
    <t xml:space="preserve">2 de mayo de 2025  00:17</t>
  </si>
  <si>
    <t xml:space="preserve">13 minutos 50 segundos</t>
  </si>
  <si>
    <t xml:space="preserve">2 de mayo de 2025  00:30</t>
  </si>
  <si>
    <t xml:space="preserve">11 minutos 46 segundos</t>
  </si>
  <si>
    <t xml:space="preserve">2 de mayo de 2025  00:01</t>
  </si>
  <si>
    <t xml:space="preserve">36 minutos 9 segundos</t>
  </si>
  <si>
    <t xml:space="preserve">30 de abril de 2025  17:35</t>
  </si>
  <si>
    <t xml:space="preserve">13 segundos</t>
  </si>
  <si>
    <t xml:space="preserve">1 de mayo de 2025  17:11</t>
  </si>
  <si>
    <t xml:space="preserve">31 minutos 46 segundos</t>
  </si>
  <si>
    <t xml:space="preserve">7 de mayo de 2025  18:29</t>
  </si>
  <si>
    <t xml:space="preserve">5 minutos 25 segundos</t>
  </si>
  <si>
    <t xml:space="preserve">7 de mayo de 2025  18:24</t>
  </si>
  <si>
    <t xml:space="preserve">6 minutos 31 segundos</t>
  </si>
  <si>
    <t xml:space="preserve">7 de mayo de 2025  23:21</t>
  </si>
  <si>
    <t xml:space="preserve">9 minutos 11 segundos</t>
  </si>
  <si>
    <t xml:space="preserve">7 de mayo de 2025  15:15</t>
  </si>
  <si>
    <t xml:space="preserve">4 minutos 33 segundos</t>
  </si>
  <si>
    <t xml:space="preserve">6 de mayo de 2025  15:09</t>
  </si>
  <si>
    <t xml:space="preserve">3 minutos 58 segundos</t>
  </si>
  <si>
    <t xml:space="preserve">5 de mayo de 2025  22:50</t>
  </si>
  <si>
    <t xml:space="preserve">44 minutos 38 segundos</t>
  </si>
  <si>
    <t xml:space="preserve">7 de mayo de 2025  10:38</t>
  </si>
  <si>
    <t xml:space="preserve">21 minutos 27 segundos</t>
  </si>
  <si>
    <t xml:space="preserve">7 de mayo de 2025  10:08</t>
  </si>
  <si>
    <t xml:space="preserve">34 minutos 12 segundos</t>
  </si>
  <si>
    <t xml:space="preserve">7 de mayo de 2025  23:39</t>
  </si>
  <si>
    <t xml:space="preserve">7 de mayo de 2025  18:51</t>
  </si>
  <si>
    <t xml:space="preserve">7 de mayo de 2025  18:55</t>
  </si>
  <si>
    <t xml:space="preserve">6 de mayo de 2025  23:13</t>
  </si>
  <si>
    <t xml:space="preserve">33 minutos 41 segundos</t>
  </si>
  <si>
    <t xml:space="preserve">10 minutos 23 segundos</t>
  </si>
  <si>
    <t xml:space="preserve">7 de mayo de 2025  23:10</t>
  </si>
  <si>
    <t xml:space="preserve">6 horas 8 minutos</t>
  </si>
  <si>
    <t xml:space="preserve">3 minutos 47 segundos</t>
  </si>
  <si>
    <t xml:space="preserve">4 minutos 53 segundos</t>
  </si>
  <si>
    <t xml:space="preserve">4 minutos 55 segundos</t>
  </si>
  <si>
    <t xml:space="preserve">4 minutos 31 segundos</t>
  </si>
  <si>
    <t xml:space="preserve">4 minutos 23 segundos</t>
  </si>
  <si>
    <t xml:space="preserve">3 minutos 57 segundos</t>
  </si>
  <si>
    <t xml:space="preserve">1 minutos 42 segundos</t>
  </si>
  <si>
    <t xml:space="preserve">8 minutos 10 segundos</t>
  </si>
  <si>
    <t xml:space="preserve">5 minutos 24 segundos</t>
  </si>
  <si>
    <t xml:space="preserve">9 minutos 39 segundos</t>
  </si>
  <si>
    <t xml:space="preserve">9 minutos 17 segundos</t>
  </si>
  <si>
    <t xml:space="preserve">9 minutos 57 segundos</t>
  </si>
  <si>
    <t xml:space="preserve">5 minutos 45 segundos</t>
  </si>
  <si>
    <t xml:space="preserve">5 minutos 46 segundos</t>
  </si>
  <si>
    <t xml:space="preserve">8 minutos 31 segundos</t>
  </si>
  <si>
    <t xml:space="preserve">7 minutos</t>
  </si>
  <si>
    <t xml:space="preserve">3 minutos 23 segundos</t>
  </si>
  <si>
    <t xml:space="preserve">7 minutos 5 segundos</t>
  </si>
  <si>
    <t xml:space="preserve">6 minutos 53 segundos</t>
  </si>
  <si>
    <t xml:space="preserve">3 minutos 42 segundos</t>
  </si>
  <si>
    <t xml:space="preserve">3 minutos 18 segundos</t>
  </si>
  <si>
    <t xml:space="preserve">7 minutos 23 segundos</t>
  </si>
  <si>
    <t xml:space="preserve">6 minutos 59 segundos</t>
  </si>
  <si>
    <t xml:space="preserve">7 minutos 31 segundos</t>
  </si>
  <si>
    <t xml:space="preserve">7 minutos 36 segundos</t>
  </si>
  <si>
    <t xml:space="preserve">8 minutos 55 segundos</t>
  </si>
  <si>
    <t xml:space="preserve">8 minutos 12 segundos</t>
  </si>
  <si>
    <t xml:space="preserve">6 minutos 3 segundos</t>
  </si>
  <si>
    <t xml:space="preserve">6 minutos 5 segundos</t>
  </si>
  <si>
    <t xml:space="preserve">7 minutos 3 segundos</t>
  </si>
  <si>
    <t xml:space="preserve">total</t>
  </si>
  <si>
    <t xml:space="preserve">44 minutos 36 segundos</t>
  </si>
  <si>
    <t xml:space="preserve">46 minutos 42 segundos</t>
  </si>
  <si>
    <t xml:space="preserve">47 minutos 22 segundos</t>
  </si>
  <si>
    <t xml:space="preserve">50 minutos 7 segundos</t>
  </si>
  <si>
    <t xml:space="preserve">43 minutos 13 segundos</t>
  </si>
  <si>
    <t xml:space="preserve">55 minutos 32 segundos</t>
  </si>
  <si>
    <t xml:space="preserve">29 minutos 56 segundos</t>
  </si>
  <si>
    <t xml:space="preserve">36 minutos 22 segundos</t>
  </si>
  <si>
    <t xml:space="preserve">43 minutos 5 segundos</t>
  </si>
  <si>
    <t xml:space="preserve">51 minutos 10 segundos</t>
  </si>
  <si>
    <t xml:space="preserve">48 minutos</t>
  </si>
  <si>
    <t xml:space="preserve">37 minutos 17 segundos</t>
  </si>
  <si>
    <t xml:space="preserve">43 minutos 18 segundos</t>
  </si>
  <si>
    <t xml:space="preserve">53 minutos 17 segundos</t>
  </si>
  <si>
    <t xml:space="preserve">57 minutos 7 segundos</t>
  </si>
  <si>
    <t xml:space="preserve">59 minutos 10 segundos</t>
  </si>
  <si>
    <t xml:space="preserve">42 minutos 54 segundos</t>
  </si>
  <si>
    <t xml:space="preserve">51 minutos 42 segundos</t>
  </si>
  <si>
    <t xml:space="preserve">33 minutos 50 segundos</t>
  </si>
  <si>
    <t xml:space="preserve">40 minutos 9 segundos</t>
  </si>
  <si>
    <t xml:space="preserve">51 minutos 29 segundos</t>
  </si>
  <si>
    <t xml:space="preserve">Apellido</t>
  </si>
  <si>
    <t xml:space="preserve">1-Act fij polariz</t>
  </si>
  <si>
    <t xml:space="preserve">2- par darlington</t>
  </si>
  <si>
    <t xml:space="preserve">Evaluacion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</si>
</sst>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" activeCellId="0" sqref="M5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true" hidden="false" outlineLevel="0" max="981" min="981" style="1" width="9.33"/>
    <col collapsed="false" customWidth="true" hidden="false" outlineLevel="0" max="16384" min="16342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46189</v>
      </c>
      <c r="F2" s="2" t="s">
        <v>4</v>
      </c>
      <c r="G2" s="3" t="n">
        <v>46111</v>
      </c>
      <c r="H2" s="3" t="s">
        <v>4</v>
      </c>
      <c r="I2" s="3" t="n">
        <v>46118</v>
      </c>
      <c r="J2" s="3" t="n">
        <v>46125</v>
      </c>
      <c r="K2" s="3" t="n">
        <v>46132</v>
      </c>
      <c r="L2" s="3" t="n">
        <v>46139</v>
      </c>
      <c r="M2" s="3" t="n">
        <v>46146</v>
      </c>
      <c r="N2" s="3" t="n">
        <v>46153</v>
      </c>
      <c r="O2" s="3" t="n">
        <v>46160</v>
      </c>
      <c r="P2" s="3" t="n">
        <v>46167</v>
      </c>
      <c r="Q2" s="3" t="n">
        <v>46174</v>
      </c>
      <c r="R2" s="3" t="n">
        <v>46181</v>
      </c>
      <c r="S2" s="3" t="n">
        <v>46188</v>
      </c>
      <c r="T2" s="3" t="n">
        <v>46195</v>
      </c>
      <c r="U2" s="3" t="n">
        <v>46202</v>
      </c>
      <c r="V2" s="3" t="n">
        <v>46209</v>
      </c>
      <c r="W2" s="3" t="n">
        <v>46216</v>
      </c>
      <c r="X2" s="3" t="n">
        <v>46223</v>
      </c>
      <c r="Y2" s="3" t="n">
        <v>46230</v>
      </c>
      <c r="Z2" s="3" t="n">
        <v>46237</v>
      </c>
      <c r="AA2" s="3" t="n">
        <v>46244</v>
      </c>
      <c r="AB2" s="3" t="n">
        <v>46251</v>
      </c>
      <c r="AC2" s="3" t="n">
        <v>46258</v>
      </c>
      <c r="AD2" s="3" t="n">
        <v>46265</v>
      </c>
      <c r="AE2" s="3" t="n">
        <v>46272</v>
      </c>
      <c r="AF2" s="3" t="n">
        <v>46279</v>
      </c>
      <c r="AG2" s="3" t="n">
        <v>46286</v>
      </c>
      <c r="AH2" s="3" t="n">
        <v>46293</v>
      </c>
      <c r="AI2" s="3" t="n">
        <v>46300</v>
      </c>
      <c r="AJ2" s="3" t="n">
        <v>46307</v>
      </c>
      <c r="AK2" s="3" t="n">
        <v>46314</v>
      </c>
      <c r="AL2" s="3" t="n">
        <v>46321</v>
      </c>
      <c r="AM2" s="3" t="n">
        <v>46328</v>
      </c>
      <c r="AN2" s="3" t="n">
        <v>46335</v>
      </c>
      <c r="AO2" s="3" t="n">
        <v>46342</v>
      </c>
      <c r="AP2" s="3" t="n">
        <v>46349</v>
      </c>
      <c r="AQ2" s="3" t="n">
        <v>46356</v>
      </c>
      <c r="AR2" s="3" t="n">
        <v>46363</v>
      </c>
      <c r="AS2" s="3" t="n">
        <v>46370</v>
      </c>
      <c r="AT2" s="3" t="n">
        <v>46377</v>
      </c>
      <c r="AU2" s="3" t="n">
        <v>46384</v>
      </c>
    </row>
    <row r="3" customFormat="false" ht="15" hidden="false" customHeight="false" outlineLevel="0" collapsed="false">
      <c r="A3" s="1" t="n">
        <v>1</v>
      </c>
      <c r="B3" s="2" t="s">
        <v>5</v>
      </c>
      <c r="C3" s="2" t="s">
        <v>6</v>
      </c>
      <c r="D3" s="2"/>
      <c r="E3" s="2" t="s">
        <v>7</v>
      </c>
      <c r="G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4" t="s">
        <v>7</v>
      </c>
    </row>
    <row r="4" customFormat="false" ht="15" hidden="false" customHeight="false" outlineLevel="0" collapsed="false">
      <c r="A4" s="1" t="n">
        <v>2</v>
      </c>
      <c r="B4" s="2" t="s">
        <v>8</v>
      </c>
      <c r="C4" s="2" t="s">
        <v>9</v>
      </c>
      <c r="D4" s="2"/>
      <c r="E4" s="2" t="s">
        <v>7</v>
      </c>
      <c r="G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4" t="s">
        <v>7</v>
      </c>
    </row>
    <row r="5" customFormat="false" ht="15" hidden="false" customHeight="false" outlineLevel="0" collapsed="false">
      <c r="A5" s="1" t="n">
        <v>3</v>
      </c>
      <c r="B5" s="2" t="s">
        <v>10</v>
      </c>
      <c r="C5" s="2" t="s">
        <v>11</v>
      </c>
      <c r="D5" s="2"/>
      <c r="E5" s="2" t="s">
        <v>12</v>
      </c>
      <c r="F5" s="2" t="s">
        <v>13</v>
      </c>
      <c r="G5" s="2" t="s">
        <v>12</v>
      </c>
      <c r="H5" s="2" t="s">
        <v>14</v>
      </c>
      <c r="I5" s="2" t="s">
        <v>12</v>
      </c>
      <c r="J5" s="2" t="s">
        <v>7</v>
      </c>
      <c r="K5" s="2" t="s">
        <v>12</v>
      </c>
      <c r="L5" s="2" t="s">
        <v>12</v>
      </c>
      <c r="M5" s="4" t="s">
        <v>12</v>
      </c>
    </row>
    <row r="6" customFormat="false" ht="15" hidden="false" customHeight="false" outlineLevel="0" collapsed="false">
      <c r="A6" s="1" t="n">
        <v>4</v>
      </c>
      <c r="B6" s="2" t="s">
        <v>15</v>
      </c>
      <c r="C6" s="2" t="s">
        <v>16</v>
      </c>
      <c r="D6" s="2"/>
      <c r="E6" s="2" t="s">
        <v>7</v>
      </c>
      <c r="G6" s="2" t="s">
        <v>7</v>
      </c>
      <c r="I6" s="2" t="s">
        <v>7</v>
      </c>
      <c r="J6" s="2" t="s">
        <v>7</v>
      </c>
      <c r="K6" s="2" t="s">
        <v>7</v>
      </c>
      <c r="L6" s="2" t="s">
        <v>12</v>
      </c>
      <c r="M6" s="4" t="s">
        <v>7</v>
      </c>
    </row>
    <row r="7" customFormat="false" ht="15" hidden="false" customHeight="false" outlineLevel="0" collapsed="false">
      <c r="A7" s="1" t="n">
        <v>5</v>
      </c>
      <c r="B7" s="2" t="s">
        <v>17</v>
      </c>
      <c r="C7" s="2" t="s">
        <v>18</v>
      </c>
      <c r="D7" s="2"/>
      <c r="E7" s="2" t="s">
        <v>7</v>
      </c>
      <c r="G7" s="2" t="s">
        <v>7</v>
      </c>
      <c r="I7" s="2" t="s">
        <v>12</v>
      </c>
      <c r="J7" s="2" t="s">
        <v>7</v>
      </c>
      <c r="K7" s="2" t="s">
        <v>7</v>
      </c>
      <c r="L7" s="2" t="s">
        <v>7</v>
      </c>
      <c r="M7" s="4" t="s">
        <v>7</v>
      </c>
    </row>
    <row r="8" customFormat="false" ht="15" hidden="false" customHeight="false" outlineLevel="0" collapsed="false">
      <c r="A8" s="1" t="n">
        <v>6</v>
      </c>
      <c r="B8" s="2" t="s">
        <v>19</v>
      </c>
      <c r="C8" s="2" t="s">
        <v>20</v>
      </c>
      <c r="D8" s="2"/>
      <c r="E8" s="2" t="s">
        <v>7</v>
      </c>
      <c r="G8" s="2" t="s">
        <v>7</v>
      </c>
      <c r="I8" s="2" t="s">
        <v>7</v>
      </c>
      <c r="J8" s="2" t="s">
        <v>7</v>
      </c>
      <c r="K8" s="2" t="s">
        <v>7</v>
      </c>
      <c r="L8" s="2" t="s">
        <v>7</v>
      </c>
      <c r="M8" s="4" t="s">
        <v>7</v>
      </c>
    </row>
    <row r="9" customFormat="false" ht="15" hidden="false" customHeight="false" outlineLevel="0" collapsed="false">
      <c r="A9" s="1" t="n">
        <v>7</v>
      </c>
      <c r="B9" s="2" t="s">
        <v>21</v>
      </c>
      <c r="C9" s="2" t="s">
        <v>22</v>
      </c>
      <c r="D9" s="2"/>
      <c r="E9" s="2" t="s">
        <v>7</v>
      </c>
      <c r="G9" s="2" t="s">
        <v>7</v>
      </c>
      <c r="I9" s="2" t="s">
        <v>7</v>
      </c>
      <c r="J9" s="2" t="s">
        <v>7</v>
      </c>
      <c r="K9" s="2" t="s">
        <v>7</v>
      </c>
      <c r="L9" s="2" t="s">
        <v>12</v>
      </c>
      <c r="M9" s="4" t="s">
        <v>7</v>
      </c>
    </row>
    <row r="10" customFormat="false" ht="15" hidden="false" customHeight="false" outlineLevel="0" collapsed="false">
      <c r="A10" s="1" t="n">
        <v>8</v>
      </c>
      <c r="B10" s="2" t="s">
        <v>23</v>
      </c>
      <c r="C10" s="2" t="s">
        <v>24</v>
      </c>
      <c r="D10" s="2"/>
      <c r="E10" s="2" t="s">
        <v>7</v>
      </c>
      <c r="G10" s="2" t="s">
        <v>7</v>
      </c>
      <c r="I10" s="2" t="s">
        <v>7</v>
      </c>
      <c r="J10" s="2" t="s">
        <v>7</v>
      </c>
      <c r="K10" s="2" t="s">
        <v>7</v>
      </c>
      <c r="L10" s="2" t="s">
        <v>7</v>
      </c>
      <c r="M10" s="4" t="s">
        <v>7</v>
      </c>
    </row>
    <row r="11" customFormat="false" ht="15" hidden="false" customHeight="false" outlineLevel="0" collapsed="false">
      <c r="A11" s="1" t="n">
        <v>9</v>
      </c>
      <c r="B11" s="2" t="s">
        <v>25</v>
      </c>
      <c r="C11" s="2" t="s">
        <v>26</v>
      </c>
      <c r="D11" s="2"/>
      <c r="E11" s="2" t="s">
        <v>7</v>
      </c>
      <c r="G11" s="2" t="s">
        <v>7</v>
      </c>
      <c r="I11" s="2" t="s">
        <v>7</v>
      </c>
      <c r="J11" s="2" t="s">
        <v>7</v>
      </c>
      <c r="K11" s="2" t="s">
        <v>7</v>
      </c>
      <c r="L11" s="2" t="s">
        <v>7</v>
      </c>
      <c r="M11" s="4" t="s">
        <v>7</v>
      </c>
    </row>
    <row r="12" customFormat="false" ht="15" hidden="false" customHeight="false" outlineLevel="0" collapsed="false">
      <c r="A12" s="1" t="n">
        <v>10</v>
      </c>
      <c r="B12" s="2" t="s">
        <v>27</v>
      </c>
      <c r="C12" s="2" t="s">
        <v>28</v>
      </c>
      <c r="D12" s="2"/>
      <c r="E12" s="2" t="s">
        <v>7</v>
      </c>
      <c r="G12" s="2" t="s">
        <v>7</v>
      </c>
      <c r="I12" s="2" t="s">
        <v>7</v>
      </c>
      <c r="J12" s="2" t="s">
        <v>7</v>
      </c>
      <c r="K12" s="2" t="s">
        <v>7</v>
      </c>
      <c r="L12" s="2" t="s">
        <v>7</v>
      </c>
      <c r="M12" s="4" t="s">
        <v>7</v>
      </c>
    </row>
    <row r="13" customFormat="false" ht="15" hidden="false" customHeight="false" outlineLevel="0" collapsed="false">
      <c r="A13" s="1" t="n">
        <v>11</v>
      </c>
      <c r="B13" s="2" t="s">
        <v>29</v>
      </c>
      <c r="C13" s="2" t="s">
        <v>30</v>
      </c>
      <c r="D13" s="2"/>
      <c r="E13" s="2" t="s">
        <v>7</v>
      </c>
      <c r="G13" s="2" t="s">
        <v>7</v>
      </c>
      <c r="I13" s="2" t="s">
        <v>7</v>
      </c>
      <c r="J13" s="2" t="s">
        <v>7</v>
      </c>
      <c r="K13" s="2" t="s">
        <v>7</v>
      </c>
      <c r="L13" s="2" t="s">
        <v>7</v>
      </c>
      <c r="M13" s="4" t="s">
        <v>12</v>
      </c>
    </row>
    <row r="14" customFormat="false" ht="15" hidden="false" customHeight="false" outlineLevel="0" collapsed="false">
      <c r="A14" s="1" t="n">
        <v>12</v>
      </c>
      <c r="B14" s="2" t="s">
        <v>29</v>
      </c>
      <c r="C14" s="2" t="s">
        <v>31</v>
      </c>
      <c r="D14" s="2"/>
      <c r="E14" s="2" t="s">
        <v>7</v>
      </c>
      <c r="G14" s="2" t="s">
        <v>7</v>
      </c>
      <c r="I14" s="2" t="s">
        <v>12</v>
      </c>
      <c r="J14" s="2" t="s">
        <v>7</v>
      </c>
      <c r="K14" s="2" t="s">
        <v>7</v>
      </c>
      <c r="L14" s="2" t="s">
        <v>7</v>
      </c>
      <c r="M14" s="4" t="s">
        <v>12</v>
      </c>
    </row>
    <row r="15" s="2" customFormat="true" ht="15" hidden="false" customHeight="false" outlineLevel="0" collapsed="false">
      <c r="A15" s="1" t="n">
        <v>13</v>
      </c>
      <c r="B15" s="2" t="s">
        <v>32</v>
      </c>
      <c r="C15" s="2" t="s">
        <v>33</v>
      </c>
      <c r="E15" s="2" t="s">
        <v>7</v>
      </c>
      <c r="G15" s="2" t="s">
        <v>7</v>
      </c>
      <c r="I15" s="2" t="s">
        <v>7</v>
      </c>
      <c r="J15" s="2" t="s">
        <v>12</v>
      </c>
      <c r="K15" s="2" t="s">
        <v>7</v>
      </c>
      <c r="L15" s="2" t="s">
        <v>7</v>
      </c>
      <c r="M15" s="2" t="s">
        <v>7</v>
      </c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34</v>
      </c>
      <c r="C16" s="2" t="s">
        <v>35</v>
      </c>
      <c r="D16" s="2"/>
      <c r="E16" s="1" t="s">
        <v>7</v>
      </c>
      <c r="G16" s="1" t="s">
        <v>7</v>
      </c>
      <c r="I16" s="1" t="s">
        <v>12</v>
      </c>
      <c r="J16" s="1" t="s">
        <v>7</v>
      </c>
      <c r="K16" s="1" t="s">
        <v>7</v>
      </c>
      <c r="L16" s="1" t="s">
        <v>7</v>
      </c>
      <c r="M16" s="1" t="s">
        <v>7</v>
      </c>
    </row>
    <row r="17" s="1" customFormat="true" ht="15" hidden="false" customHeight="false" outlineLevel="0" collapsed="false">
      <c r="A17" s="1" t="n">
        <v>15</v>
      </c>
      <c r="B17" s="2" t="s">
        <v>36</v>
      </c>
      <c r="C17" s="2" t="s">
        <v>37</v>
      </c>
      <c r="D17" s="2"/>
      <c r="E17" s="1" t="s">
        <v>7</v>
      </c>
      <c r="G17" s="1" t="s">
        <v>7</v>
      </c>
      <c r="I17" s="1" t="s">
        <v>12</v>
      </c>
      <c r="J17" s="1" t="s">
        <v>7</v>
      </c>
      <c r="K17" s="1" t="s">
        <v>7</v>
      </c>
      <c r="L17" s="1" t="s">
        <v>7</v>
      </c>
      <c r="M17" s="1" t="s">
        <v>7</v>
      </c>
    </row>
    <row r="18" s="2" customFormat="true" ht="15" hidden="false" customHeight="false" outlineLevel="0" collapsed="false">
      <c r="A18" s="1" t="n">
        <v>16</v>
      </c>
      <c r="B18" s="2" t="s">
        <v>38</v>
      </c>
      <c r="C18" s="2" t="s">
        <v>39</v>
      </c>
      <c r="E18" s="2" t="s">
        <v>7</v>
      </c>
      <c r="G18" s="2" t="s">
        <v>7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1" t="s">
        <v>40</v>
      </c>
      <c r="C19" s="1" t="s">
        <v>41</v>
      </c>
      <c r="E19" s="2" t="s">
        <v>7</v>
      </c>
      <c r="G19" s="2" t="s">
        <v>7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42</v>
      </c>
      <c r="C20" s="2" t="s">
        <v>43</v>
      </c>
      <c r="D20" s="2"/>
      <c r="E20" s="1" t="s">
        <v>7</v>
      </c>
      <c r="G20" s="1" t="s">
        <v>7</v>
      </c>
      <c r="I20" s="1" t="s">
        <v>12</v>
      </c>
      <c r="J20" s="1" t="s">
        <v>7</v>
      </c>
      <c r="K20" s="1" t="s">
        <v>7</v>
      </c>
      <c r="L20" s="1" t="s">
        <v>7</v>
      </c>
      <c r="M20" s="1" t="s">
        <v>7</v>
      </c>
    </row>
    <row r="21" customFormat="false" ht="15" hidden="false" customHeight="false" outlineLevel="0" collapsed="false">
      <c r="A21" s="1" t="n">
        <v>19</v>
      </c>
      <c r="B21" s="2" t="s">
        <v>44</v>
      </c>
      <c r="C21" s="2" t="s">
        <v>45</v>
      </c>
      <c r="D21" s="2"/>
      <c r="E21" s="2" t="s">
        <v>7</v>
      </c>
      <c r="G21" s="2" t="s">
        <v>7</v>
      </c>
      <c r="I21" s="2" t="s">
        <v>12</v>
      </c>
      <c r="J21" s="2" t="s">
        <v>7</v>
      </c>
      <c r="K21" s="2" t="s">
        <v>12</v>
      </c>
      <c r="L21" s="2" t="s">
        <v>7</v>
      </c>
      <c r="M21" s="4" t="s">
        <v>12</v>
      </c>
    </row>
    <row r="22" customFormat="false" ht="15" hidden="false" customHeight="false" outlineLevel="0" collapsed="false">
      <c r="A22" s="1" t="n">
        <v>20</v>
      </c>
      <c r="B22" s="2" t="s">
        <v>46</v>
      </c>
      <c r="C22" s="2" t="s">
        <v>47</v>
      </c>
      <c r="D22" s="2"/>
      <c r="E22" s="2" t="s">
        <v>7</v>
      </c>
      <c r="G22" s="2" t="s">
        <v>7</v>
      </c>
      <c r="I22" s="2" t="s">
        <v>7</v>
      </c>
      <c r="J22" s="2" t="s">
        <v>7</v>
      </c>
      <c r="K22" s="2" t="s">
        <v>12</v>
      </c>
      <c r="L22" s="2" t="s">
        <v>7</v>
      </c>
      <c r="M22" s="4" t="s">
        <v>7</v>
      </c>
    </row>
    <row r="23" customFormat="false" ht="15" hidden="false" customHeight="false" outlineLevel="0" collapsed="false">
      <c r="A23" s="1" t="n">
        <v>21</v>
      </c>
      <c r="B23" s="2" t="s">
        <v>10</v>
      </c>
      <c r="C23" s="2" t="s">
        <v>48</v>
      </c>
      <c r="D23" s="2"/>
      <c r="E23" s="2" t="s">
        <v>7</v>
      </c>
      <c r="G23" s="2" t="s">
        <v>7</v>
      </c>
      <c r="I23" s="2" t="s">
        <v>7</v>
      </c>
      <c r="J23" s="2" t="s">
        <v>7</v>
      </c>
      <c r="K23" s="2" t="s">
        <v>7</v>
      </c>
      <c r="L23" s="2" t="s">
        <v>7</v>
      </c>
      <c r="M23" s="4" t="s">
        <v>7</v>
      </c>
    </row>
    <row r="24" s="2" customFormat="true" ht="15" hidden="false" customHeight="false" outlineLevel="0" collapsed="false">
      <c r="A24" s="1" t="n">
        <v>22</v>
      </c>
      <c r="B24" s="2" t="s">
        <v>49</v>
      </c>
      <c r="C24" s="2" t="s">
        <v>50</v>
      </c>
      <c r="E24" s="2" t="s">
        <v>7</v>
      </c>
      <c r="G24" s="2" t="s">
        <v>7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2" t="s">
        <v>51</v>
      </c>
      <c r="C25" s="2" t="s">
        <v>52</v>
      </c>
      <c r="E25" s="2" t="s">
        <v>7</v>
      </c>
      <c r="G25" s="2" t="s">
        <v>7</v>
      </c>
      <c r="I25" s="2" t="s">
        <v>12</v>
      </c>
      <c r="J25" s="2" t="s">
        <v>7</v>
      </c>
      <c r="K25" s="2" t="s">
        <v>7</v>
      </c>
      <c r="L25" s="2" t="s">
        <v>7</v>
      </c>
      <c r="M25" s="4" t="s">
        <v>7</v>
      </c>
    </row>
    <row r="26" customFormat="false" ht="15" hidden="false" customHeight="false" outlineLevel="0" collapsed="false">
      <c r="A26" s="1" t="n">
        <v>24</v>
      </c>
      <c r="B26" s="2"/>
      <c r="C26" s="2" t="s">
        <v>53</v>
      </c>
      <c r="E26" s="2"/>
      <c r="I26" s="2" t="s">
        <v>7</v>
      </c>
      <c r="J26" s="2" t="s">
        <v>7</v>
      </c>
      <c r="K26" s="2" t="s">
        <v>7</v>
      </c>
      <c r="L26" s="2" t="s">
        <v>7</v>
      </c>
      <c r="M26" s="4" t="s">
        <v>12</v>
      </c>
    </row>
    <row r="27" customFormat="false" ht="15" hidden="false" customHeight="false" outlineLevel="0" collapsed="false">
      <c r="A27" s="1" t="n">
        <v>25</v>
      </c>
      <c r="B27" s="2"/>
      <c r="C27" s="2" t="s">
        <v>54</v>
      </c>
      <c r="E27" s="2"/>
      <c r="I27" s="2" t="s">
        <v>7</v>
      </c>
      <c r="J27" s="2" t="s">
        <v>7</v>
      </c>
      <c r="K27" s="2" t="s">
        <v>7</v>
      </c>
      <c r="L27" s="2" t="s">
        <v>7</v>
      </c>
      <c r="M27" s="4" t="s">
        <v>7</v>
      </c>
    </row>
    <row r="28" customFormat="false" ht="15" hidden="false" customHeight="false" outlineLevel="0" collapsed="false">
      <c r="A28" s="1" t="n">
        <v>26</v>
      </c>
      <c r="B28" s="2"/>
      <c r="C28" s="2" t="s">
        <v>55</v>
      </c>
      <c r="E28" s="2"/>
      <c r="I28" s="2" t="s">
        <v>7</v>
      </c>
      <c r="J28" s="2" t="s">
        <v>7</v>
      </c>
      <c r="K28" s="2" t="s">
        <v>7</v>
      </c>
      <c r="L28" s="2" t="s">
        <v>7</v>
      </c>
      <c r="M28" s="4" t="s">
        <v>7</v>
      </c>
    </row>
    <row r="29" customFormat="false" ht="15" hidden="false" customHeight="false" outlineLevel="0" collapsed="false">
      <c r="A29" s="1" t="n">
        <v>27</v>
      </c>
      <c r="C29" s="1" t="s">
        <v>56</v>
      </c>
      <c r="E29" s="2" t="n">
        <f aca="false">COUNTIF(E3:E25,"p")</f>
        <v>22</v>
      </c>
      <c r="I29" s="2" t="s">
        <v>7</v>
      </c>
      <c r="J29" s="2" t="s">
        <v>7</v>
      </c>
      <c r="K29" s="2" t="s">
        <v>7</v>
      </c>
      <c r="L29" s="2" t="s">
        <v>7</v>
      </c>
      <c r="M29" s="4" t="s">
        <v>7</v>
      </c>
    </row>
    <row r="30" customFormat="false" ht="15" hidden="false" customHeight="false" outlineLevel="0" collapsed="false">
      <c r="I30" s="2" t="n">
        <f aca="false">COUNTIF(I3:I29,"P")</f>
        <v>19</v>
      </c>
      <c r="J30" s="2" t="n">
        <f aca="false">COUNTIF(J3:J29,"P")</f>
        <v>26</v>
      </c>
      <c r="K30" s="2" t="n">
        <f aca="false">COUNTIF(K3:K29,"P")</f>
        <v>24</v>
      </c>
      <c r="L30" s="2" t="n">
        <f aca="false">COUNTIF(L3:L29,"P")</f>
        <v>24</v>
      </c>
      <c r="M30" s="2" t="n">
        <f aca="false">COUNTIF(M3:M29,"P")</f>
        <v>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D21" activeCellId="0" sqref="D2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16384" min="16333" style="0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57</v>
      </c>
      <c r="C2" s="0" t="s">
        <v>58</v>
      </c>
      <c r="D2" s="0" t="s">
        <v>59</v>
      </c>
    </row>
    <row r="3" customFormat="false" ht="15" hidden="false" customHeight="false" outlineLevel="0" collapsed="false">
      <c r="A3" s="1" t="n">
        <v>1</v>
      </c>
      <c r="B3" s="2" t="s">
        <v>5</v>
      </c>
      <c r="C3" s="2" t="s">
        <v>6</v>
      </c>
      <c r="D3" s="0" t="n">
        <v>10</v>
      </c>
    </row>
    <row r="4" customFormat="false" ht="15" hidden="false" customHeight="false" outlineLevel="0" collapsed="false">
      <c r="A4" s="1" t="n">
        <v>2</v>
      </c>
      <c r="B4" s="2" t="s">
        <v>8</v>
      </c>
      <c r="C4" s="2" t="s">
        <v>9</v>
      </c>
      <c r="D4" s="0" t="n">
        <v>10</v>
      </c>
    </row>
    <row r="5" customFormat="false" ht="15" hidden="false" customHeight="false" outlineLevel="0" collapsed="false">
      <c r="A5" s="1" t="n">
        <v>3</v>
      </c>
      <c r="B5" s="2" t="s">
        <v>10</v>
      </c>
      <c r="C5" s="2" t="s">
        <v>11</v>
      </c>
    </row>
    <row r="6" customFormat="false" ht="15" hidden="false" customHeight="false" outlineLevel="0" collapsed="false">
      <c r="A6" s="1" t="n">
        <v>4</v>
      </c>
      <c r="B6" s="2" t="s">
        <v>15</v>
      </c>
      <c r="C6" s="2" t="s">
        <v>16</v>
      </c>
      <c r="D6" s="0" t="n">
        <v>8</v>
      </c>
    </row>
    <row r="7" customFormat="false" ht="15" hidden="false" customHeight="false" outlineLevel="0" collapsed="false">
      <c r="A7" s="1" t="n">
        <v>5</v>
      </c>
      <c r="B7" s="2" t="s">
        <v>17</v>
      </c>
      <c r="C7" s="2" t="s">
        <v>18</v>
      </c>
    </row>
    <row r="8" customFormat="false" ht="15" hidden="false" customHeight="false" outlineLevel="0" collapsed="false">
      <c r="A8" s="1" t="n">
        <v>6</v>
      </c>
      <c r="B8" s="2" t="s">
        <v>19</v>
      </c>
      <c r="C8" s="2" t="s">
        <v>20</v>
      </c>
      <c r="D8" s="0" t="n">
        <v>10</v>
      </c>
    </row>
    <row r="9" customFormat="false" ht="15" hidden="false" customHeight="false" outlineLevel="0" collapsed="false">
      <c r="A9" s="1" t="n">
        <v>7</v>
      </c>
      <c r="B9" s="2" t="s">
        <v>21</v>
      </c>
      <c r="C9" s="2" t="s">
        <v>22</v>
      </c>
      <c r="D9" s="0" t="n">
        <v>8</v>
      </c>
    </row>
    <row r="10" customFormat="false" ht="15" hidden="false" customHeight="false" outlineLevel="0" collapsed="false">
      <c r="A10" s="1" t="n">
        <v>8</v>
      </c>
      <c r="B10" s="2" t="s">
        <v>23</v>
      </c>
      <c r="C10" s="2" t="s">
        <v>24</v>
      </c>
      <c r="D10" s="0" t="n">
        <v>9</v>
      </c>
    </row>
    <row r="11" customFormat="false" ht="15" hidden="false" customHeight="false" outlineLevel="0" collapsed="false">
      <c r="A11" s="1" t="n">
        <v>9</v>
      </c>
      <c r="B11" s="2" t="s">
        <v>25</v>
      </c>
      <c r="C11" s="2" t="s">
        <v>26</v>
      </c>
      <c r="D11" s="0" t="n">
        <v>5</v>
      </c>
    </row>
    <row r="12" customFormat="false" ht="15" hidden="false" customHeight="false" outlineLevel="0" collapsed="false">
      <c r="A12" s="1" t="n">
        <v>10</v>
      </c>
      <c r="B12" s="2" t="s">
        <v>27</v>
      </c>
      <c r="C12" s="2" t="s">
        <v>28</v>
      </c>
      <c r="D12" s="0" t="n">
        <v>3</v>
      </c>
    </row>
    <row r="13" customFormat="false" ht="15" hidden="false" customHeight="false" outlineLevel="0" collapsed="false">
      <c r="A13" s="1" t="n">
        <v>11</v>
      </c>
      <c r="B13" s="2" t="s">
        <v>29</v>
      </c>
      <c r="C13" s="2" t="s">
        <v>30</v>
      </c>
    </row>
    <row r="14" customFormat="false" ht="15" hidden="false" customHeight="false" outlineLevel="0" collapsed="false">
      <c r="A14" s="1" t="n">
        <v>12</v>
      </c>
      <c r="B14" s="2" t="s">
        <v>29</v>
      </c>
      <c r="C14" s="2" t="s">
        <v>31</v>
      </c>
    </row>
    <row r="15" customFormat="false" ht="15" hidden="false" customHeight="false" outlineLevel="0" collapsed="false">
      <c r="A15" s="1" t="n">
        <v>13</v>
      </c>
      <c r="B15" s="2" t="s">
        <v>32</v>
      </c>
      <c r="C15" s="2" t="s">
        <v>33</v>
      </c>
      <c r="D15" s="0" t="n">
        <v>8</v>
      </c>
    </row>
    <row r="16" customFormat="false" ht="15" hidden="false" customHeight="false" outlineLevel="0" collapsed="false">
      <c r="A16" s="1" t="n">
        <v>14</v>
      </c>
      <c r="B16" s="2" t="s">
        <v>34</v>
      </c>
      <c r="C16" s="2" t="s">
        <v>35</v>
      </c>
      <c r="D16" s="0" t="n">
        <v>8</v>
      </c>
    </row>
    <row r="17" customFormat="false" ht="15" hidden="false" customHeight="false" outlineLevel="0" collapsed="false">
      <c r="A17" s="1" t="n">
        <v>15</v>
      </c>
      <c r="B17" s="2" t="s">
        <v>36</v>
      </c>
      <c r="C17" s="2" t="s">
        <v>37</v>
      </c>
      <c r="D17" s="0" t="n">
        <v>10</v>
      </c>
    </row>
    <row r="18" customFormat="false" ht="15" hidden="false" customHeight="false" outlineLevel="0" collapsed="false">
      <c r="A18" s="1" t="n">
        <v>16</v>
      </c>
      <c r="B18" s="2" t="s">
        <v>38</v>
      </c>
      <c r="C18" s="2" t="s">
        <v>39</v>
      </c>
      <c r="D18" s="0" t="n">
        <v>10</v>
      </c>
    </row>
    <row r="19" customFormat="false" ht="15" hidden="false" customHeight="false" outlineLevel="0" collapsed="false">
      <c r="A19" s="1" t="n">
        <v>17</v>
      </c>
      <c r="B19" s="1" t="s">
        <v>40</v>
      </c>
      <c r="C19" s="1" t="s">
        <v>41</v>
      </c>
    </row>
    <row r="20" customFormat="false" ht="15" hidden="false" customHeight="false" outlineLevel="0" collapsed="false">
      <c r="A20" s="1" t="n">
        <v>18</v>
      </c>
      <c r="B20" s="2" t="s">
        <v>42</v>
      </c>
      <c r="C20" s="2" t="s">
        <v>43</v>
      </c>
    </row>
    <row r="21" customFormat="false" ht="15" hidden="false" customHeight="false" outlineLevel="0" collapsed="false">
      <c r="A21" s="1" t="n">
        <v>19</v>
      </c>
      <c r="B21" s="2" t="s">
        <v>44</v>
      </c>
      <c r="C21" s="2" t="s">
        <v>45</v>
      </c>
      <c r="D21" s="0" t="s">
        <v>60</v>
      </c>
    </row>
    <row r="22" customFormat="false" ht="15" hidden="false" customHeight="false" outlineLevel="0" collapsed="false">
      <c r="A22" s="1" t="n">
        <v>20</v>
      </c>
      <c r="B22" s="2" t="s">
        <v>46</v>
      </c>
      <c r="C22" s="2" t="s">
        <v>47</v>
      </c>
      <c r="D22" s="0" t="n">
        <v>1</v>
      </c>
    </row>
    <row r="23" customFormat="false" ht="15" hidden="false" customHeight="false" outlineLevel="0" collapsed="false">
      <c r="A23" s="1" t="n">
        <v>21</v>
      </c>
      <c r="B23" s="2" t="s">
        <v>10</v>
      </c>
      <c r="C23" s="2" t="s">
        <v>48</v>
      </c>
    </row>
    <row r="24" customFormat="false" ht="15" hidden="false" customHeight="false" outlineLevel="0" collapsed="false">
      <c r="A24" s="1" t="n">
        <v>22</v>
      </c>
      <c r="B24" s="2" t="s">
        <v>49</v>
      </c>
      <c r="C24" s="2" t="s">
        <v>50</v>
      </c>
      <c r="D24" s="0" t="n">
        <v>10</v>
      </c>
    </row>
    <row r="25" customFormat="false" ht="15" hidden="false" customHeight="false" outlineLevel="0" collapsed="false">
      <c r="A25" s="1" t="n">
        <v>23</v>
      </c>
      <c r="B25" s="2" t="s">
        <v>51</v>
      </c>
      <c r="C25" s="2" t="s">
        <v>52</v>
      </c>
    </row>
    <row r="26" customFormat="false" ht="15" hidden="false" customHeight="false" outlineLevel="0" collapsed="false">
      <c r="A26" s="1" t="n">
        <v>24</v>
      </c>
      <c r="B26" s="2"/>
      <c r="C26" s="2" t="s">
        <v>53</v>
      </c>
    </row>
    <row r="27" customFormat="false" ht="15" hidden="false" customHeight="false" outlineLevel="0" collapsed="false">
      <c r="A27" s="1" t="n">
        <v>25</v>
      </c>
      <c r="B27" s="2"/>
      <c r="C27" s="2" t="s">
        <v>54</v>
      </c>
      <c r="D27" s="0" t="n">
        <v>5</v>
      </c>
    </row>
    <row r="28" customFormat="false" ht="15" hidden="false" customHeight="false" outlineLevel="0" collapsed="false">
      <c r="A28" s="1" t="n">
        <v>26</v>
      </c>
      <c r="B28" s="2"/>
      <c r="C28" s="2" t="s">
        <v>55</v>
      </c>
      <c r="D28" s="0" t="n">
        <v>8</v>
      </c>
    </row>
    <row r="29" customFormat="false" ht="15" hidden="false" customHeight="false" outlineLevel="0" collapsed="false">
      <c r="A29" s="1" t="n">
        <v>27</v>
      </c>
      <c r="C29" s="1" t="s">
        <v>56</v>
      </c>
      <c r="D29" s="0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0.58203125" defaultRowHeight="12.8" zeroHeight="false" outlineLevelRow="0" outlineLevelCol="0"/>
  <cols>
    <col collapsed="false" customWidth="true" hidden="false" outlineLevel="0" max="4" min="4" style="1" width="15.35"/>
  </cols>
  <sheetData>
    <row r="1" customFormat="false" ht="15" hidden="false" customHeight="false" outlineLevel="0" collapsed="false">
      <c r="A1" s="1" t="s">
        <v>2</v>
      </c>
      <c r="B1" s="1" t="s">
        <v>1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66</v>
      </c>
      <c r="B2" s="1" t="s">
        <v>67</v>
      </c>
      <c r="C2" s="1" t="s">
        <v>68</v>
      </c>
      <c r="D2" s="1" t="n">
        <v>4</v>
      </c>
      <c r="E2" s="1" t="n">
        <f aca="false">AVERAGE(D2:D10)</f>
        <v>5.55555555555556</v>
      </c>
      <c r="F2" s="1" t="n">
        <v>7</v>
      </c>
      <c r="G2" s="1" t="n">
        <v>7</v>
      </c>
    </row>
    <row r="3" customFormat="false" ht="15" hidden="false" customHeight="false" outlineLevel="0" collapsed="false">
      <c r="A3" s="1" t="s">
        <v>66</v>
      </c>
      <c r="B3" s="1" t="s">
        <v>67</v>
      </c>
      <c r="C3" s="1" t="s">
        <v>69</v>
      </c>
      <c r="D3" s="1" t="n">
        <v>4</v>
      </c>
    </row>
    <row r="4" customFormat="false" ht="15" hidden="false" customHeight="false" outlineLevel="0" collapsed="false">
      <c r="A4" s="1" t="s">
        <v>66</v>
      </c>
      <c r="B4" s="1" t="s">
        <v>67</v>
      </c>
      <c r="C4" s="1" t="s">
        <v>69</v>
      </c>
      <c r="D4" s="1" t="n">
        <v>4</v>
      </c>
    </row>
    <row r="5" customFormat="false" ht="15" hidden="false" customHeight="false" outlineLevel="0" collapsed="false">
      <c r="A5" s="1" t="s">
        <v>66</v>
      </c>
      <c r="B5" s="1" t="s">
        <v>67</v>
      </c>
      <c r="C5" s="1" t="s">
        <v>69</v>
      </c>
      <c r="D5" s="1" t="n">
        <v>5</v>
      </c>
    </row>
    <row r="6" customFormat="false" ht="15" hidden="false" customHeight="false" outlineLevel="0" collapsed="false">
      <c r="A6" s="1" t="s">
        <v>66</v>
      </c>
      <c r="B6" s="1" t="s">
        <v>67</v>
      </c>
      <c r="C6" s="1" t="s">
        <v>70</v>
      </c>
      <c r="D6" s="1" t="n">
        <v>5</v>
      </c>
    </row>
    <row r="7" customFormat="false" ht="15" hidden="false" customHeight="false" outlineLevel="0" collapsed="false">
      <c r="A7" s="1" t="s">
        <v>66</v>
      </c>
      <c r="B7" s="1" t="s">
        <v>67</v>
      </c>
      <c r="C7" s="1" t="s">
        <v>71</v>
      </c>
      <c r="D7" s="1" t="n">
        <v>6</v>
      </c>
    </row>
    <row r="8" customFormat="false" ht="15" hidden="false" customHeight="false" outlineLevel="0" collapsed="false">
      <c r="A8" s="1" t="s">
        <v>66</v>
      </c>
      <c r="B8" s="1" t="s">
        <v>67</v>
      </c>
      <c r="C8" s="1" t="s">
        <v>72</v>
      </c>
      <c r="D8" s="1" t="n">
        <v>7</v>
      </c>
    </row>
    <row r="9" customFormat="false" ht="15" hidden="false" customHeight="false" outlineLevel="0" collapsed="false">
      <c r="A9" s="1" t="s">
        <v>66</v>
      </c>
      <c r="B9" s="1" t="s">
        <v>67</v>
      </c>
      <c r="C9" s="1" t="s">
        <v>73</v>
      </c>
      <c r="D9" s="1" t="n">
        <v>7</v>
      </c>
    </row>
    <row r="10" customFormat="false" ht="15" hidden="false" customHeight="false" outlineLevel="0" collapsed="false">
      <c r="A10" s="1" t="s">
        <v>66</v>
      </c>
      <c r="B10" s="1" t="s">
        <v>67</v>
      </c>
      <c r="C10" s="1" t="s">
        <v>74</v>
      </c>
      <c r="D10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11.39"/>
    <col collapsed="false" customWidth="true" hidden="false" outlineLevel="0" max="2" min="2" style="1" width="20.33"/>
    <col collapsed="false" customWidth="true" hidden="false" outlineLevel="0" max="3" min="3" style="1" width="15.35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2</v>
      </c>
      <c r="B2" s="1" t="s">
        <v>1</v>
      </c>
      <c r="C2" s="1" t="s">
        <v>61</v>
      </c>
      <c r="D2" s="1" t="s">
        <v>62</v>
      </c>
      <c r="E2" s="1" t="s">
        <v>75</v>
      </c>
      <c r="F2" s="1" t="s">
        <v>64</v>
      </c>
      <c r="G2" s="1" t="s">
        <v>65</v>
      </c>
    </row>
    <row r="3" customFormat="false" ht="15" hidden="false" customHeight="false" outlineLevel="0" collapsed="false">
      <c r="A3" s="1" t="s">
        <v>76</v>
      </c>
      <c r="B3" s="1" t="s">
        <v>77</v>
      </c>
      <c r="C3" s="1" t="s">
        <v>78</v>
      </c>
      <c r="D3" s="1" t="n">
        <v>8</v>
      </c>
      <c r="E3" s="1" t="n">
        <f aca="false">ROUND(AVERAGE(D3:D11),0)</f>
        <v>5</v>
      </c>
      <c r="F3" s="1" t="n">
        <v>6</v>
      </c>
      <c r="G3" s="1" t="n">
        <f aca="false">MAX(F3,E3)</f>
        <v>6</v>
      </c>
    </row>
    <row r="4" customFormat="false" ht="15" hidden="false" customHeight="false" outlineLevel="0" collapsed="false">
      <c r="A4" s="1" t="s">
        <v>76</v>
      </c>
      <c r="B4" s="1" t="s">
        <v>77</v>
      </c>
      <c r="C4" s="1" t="s">
        <v>78</v>
      </c>
      <c r="D4" s="1" t="n">
        <v>6</v>
      </c>
    </row>
    <row r="5" customFormat="false" ht="15" hidden="false" customHeight="false" outlineLevel="0" collapsed="false">
      <c r="A5" s="1" t="s">
        <v>76</v>
      </c>
      <c r="B5" s="1" t="s">
        <v>77</v>
      </c>
      <c r="C5" s="1" t="s">
        <v>79</v>
      </c>
      <c r="D5" s="1" t="n">
        <v>6</v>
      </c>
    </row>
    <row r="6" customFormat="false" ht="15" hidden="false" customHeight="false" outlineLevel="0" collapsed="false">
      <c r="A6" s="1" t="s">
        <v>76</v>
      </c>
      <c r="B6" s="1" t="s">
        <v>77</v>
      </c>
      <c r="C6" s="1" t="s">
        <v>80</v>
      </c>
      <c r="D6" s="1" t="n">
        <v>6</v>
      </c>
    </row>
    <row r="7" customFormat="false" ht="15" hidden="false" customHeight="false" outlineLevel="0" collapsed="false">
      <c r="A7" s="1" t="s">
        <v>76</v>
      </c>
      <c r="B7" s="1" t="s">
        <v>77</v>
      </c>
      <c r="C7" s="1" t="s">
        <v>81</v>
      </c>
      <c r="D7" s="1" t="n">
        <v>5</v>
      </c>
    </row>
    <row r="8" customFormat="false" ht="15" hidden="false" customHeight="false" outlineLevel="0" collapsed="false">
      <c r="A8" s="1" t="s">
        <v>76</v>
      </c>
      <c r="B8" s="1" t="s">
        <v>77</v>
      </c>
      <c r="C8" s="1" t="s">
        <v>82</v>
      </c>
      <c r="D8" s="1" t="n">
        <v>5</v>
      </c>
    </row>
    <row r="9" customFormat="false" ht="15" hidden="false" customHeight="false" outlineLevel="0" collapsed="false">
      <c r="A9" s="1" t="s">
        <v>76</v>
      </c>
      <c r="B9" s="1" t="s">
        <v>77</v>
      </c>
      <c r="C9" s="1" t="s">
        <v>69</v>
      </c>
      <c r="D9" s="1" t="n">
        <v>4</v>
      </c>
    </row>
    <row r="10" customFormat="false" ht="15" hidden="false" customHeight="false" outlineLevel="0" collapsed="false">
      <c r="A10" s="1" t="s">
        <v>76</v>
      </c>
      <c r="B10" s="1" t="s">
        <v>77</v>
      </c>
      <c r="C10" s="1" t="s">
        <v>69</v>
      </c>
      <c r="D10" s="1" t="n">
        <v>4</v>
      </c>
    </row>
    <row r="11" customFormat="false" ht="15" hidden="false" customHeight="false" outlineLevel="0" collapsed="false">
      <c r="A11" s="1" t="s">
        <v>76</v>
      </c>
      <c r="B11" s="1" t="s">
        <v>77</v>
      </c>
      <c r="C11" s="1" t="s">
        <v>83</v>
      </c>
      <c r="D11" s="1" t="n">
        <v>3</v>
      </c>
    </row>
    <row r="12" customFormat="false" ht="15" hidden="false" customHeight="false" outlineLevel="0" collapsed="false">
      <c r="A12" s="1" t="s">
        <v>84</v>
      </c>
      <c r="B12" s="1" t="s">
        <v>85</v>
      </c>
      <c r="C12" s="1" t="s">
        <v>86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87</v>
      </c>
      <c r="B13" s="1" t="s">
        <v>88</v>
      </c>
      <c r="C13" s="1" t="s">
        <v>89</v>
      </c>
      <c r="D13" s="1" t="n">
        <v>8</v>
      </c>
      <c r="E13" s="1" t="n">
        <f aca="false">ROUND(AVERAGE(D13:D21),0)</f>
        <v>4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A14" s="1" t="s">
        <v>87</v>
      </c>
      <c r="B14" s="1" t="s">
        <v>88</v>
      </c>
      <c r="C14" s="1" t="s">
        <v>90</v>
      </c>
      <c r="D14" s="1" t="n">
        <v>7</v>
      </c>
    </row>
    <row r="15" customFormat="false" ht="15" hidden="false" customHeight="false" outlineLevel="0" collapsed="false">
      <c r="A15" s="1" t="s">
        <v>87</v>
      </c>
      <c r="B15" s="1" t="s">
        <v>88</v>
      </c>
      <c r="C15" s="1" t="s">
        <v>91</v>
      </c>
      <c r="D15" s="1" t="n">
        <v>5</v>
      </c>
    </row>
    <row r="16" customFormat="false" ht="15" hidden="false" customHeight="false" outlineLevel="0" collapsed="false">
      <c r="A16" s="1" t="s">
        <v>87</v>
      </c>
      <c r="B16" s="1" t="s">
        <v>88</v>
      </c>
      <c r="C16" s="1" t="s">
        <v>92</v>
      </c>
      <c r="D16" s="1" t="n">
        <v>5</v>
      </c>
    </row>
    <row r="17" customFormat="false" ht="15" hidden="false" customHeight="false" outlineLevel="0" collapsed="false">
      <c r="A17" s="1" t="s">
        <v>87</v>
      </c>
      <c r="B17" s="1" t="s">
        <v>88</v>
      </c>
      <c r="C17" s="1" t="s">
        <v>93</v>
      </c>
      <c r="D17" s="1" t="n">
        <v>5</v>
      </c>
    </row>
    <row r="18" customFormat="false" ht="15" hidden="false" customHeight="false" outlineLevel="0" collapsed="false">
      <c r="A18" s="1" t="s">
        <v>87</v>
      </c>
      <c r="B18" s="1" t="s">
        <v>88</v>
      </c>
      <c r="C18" s="1" t="s">
        <v>69</v>
      </c>
      <c r="D18" s="1" t="n">
        <v>3</v>
      </c>
    </row>
    <row r="19" customFormat="false" ht="15" hidden="false" customHeight="false" outlineLevel="0" collapsed="false">
      <c r="A19" s="1" t="s">
        <v>87</v>
      </c>
      <c r="B19" s="1" t="s">
        <v>88</v>
      </c>
      <c r="C19" s="1" t="s">
        <v>94</v>
      </c>
      <c r="D19" s="1" t="n">
        <v>2</v>
      </c>
    </row>
    <row r="20" customFormat="false" ht="15" hidden="false" customHeight="false" outlineLevel="0" collapsed="false">
      <c r="A20" s="1" t="s">
        <v>87</v>
      </c>
      <c r="B20" s="1" t="s">
        <v>88</v>
      </c>
      <c r="C20" s="1" t="s">
        <v>94</v>
      </c>
      <c r="D20" s="1" t="n">
        <v>2</v>
      </c>
    </row>
    <row r="21" customFormat="false" ht="15" hidden="false" customHeight="false" outlineLevel="0" collapsed="false">
      <c r="A21" s="1" t="s">
        <v>87</v>
      </c>
      <c r="B21" s="1" t="s">
        <v>88</v>
      </c>
      <c r="C21" s="1" t="s">
        <v>95</v>
      </c>
      <c r="D21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false" hidden="true" outlineLevel="0" max="2" min="2" style="1" width="10.58"/>
    <col collapsed="false" customWidth="true" hidden="false" outlineLevel="0" max="3" min="3" style="1" width="19.94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1" t="s">
        <v>96</v>
      </c>
    </row>
    <row r="3" customFormat="false" ht="15" hidden="false" customHeight="false" outlineLevel="0" collapsed="false">
      <c r="A3" s="1" t="n">
        <v>1</v>
      </c>
      <c r="B3" s="2" t="s">
        <v>77</v>
      </c>
      <c r="C3" s="2" t="s">
        <v>76</v>
      </c>
    </row>
    <row r="4" customFormat="false" ht="15" hidden="false" customHeight="false" outlineLevel="0" collapsed="false">
      <c r="A4" s="1" t="n">
        <v>2</v>
      </c>
      <c r="B4" s="2" t="s">
        <v>97</v>
      </c>
      <c r="C4" s="2" t="s">
        <v>98</v>
      </c>
    </row>
    <row r="5" customFormat="false" ht="15" hidden="false" customHeight="false" outlineLevel="0" collapsed="false">
      <c r="A5" s="1" t="n">
        <v>3</v>
      </c>
      <c r="B5" s="2" t="s">
        <v>99</v>
      </c>
      <c r="C5" s="2" t="s">
        <v>100</v>
      </c>
    </row>
    <row r="6" customFormat="false" ht="15" hidden="false" customHeight="false" outlineLevel="0" collapsed="false">
      <c r="A6" s="1" t="n">
        <v>4</v>
      </c>
      <c r="B6" s="2" t="s">
        <v>101</v>
      </c>
      <c r="C6" s="2" t="s">
        <v>102</v>
      </c>
    </row>
    <row r="7" customFormat="false" ht="15" hidden="false" customHeight="false" outlineLevel="0" collapsed="false">
      <c r="A7" s="1" t="n">
        <v>5</v>
      </c>
      <c r="B7" s="2" t="s">
        <v>67</v>
      </c>
      <c r="C7" s="2" t="s">
        <v>66</v>
      </c>
    </row>
    <row r="8" customFormat="false" ht="15" hidden="false" customHeight="false" outlineLevel="0" collapsed="false">
      <c r="A8" s="1" t="n">
        <v>6</v>
      </c>
      <c r="B8" s="2" t="s">
        <v>15</v>
      </c>
      <c r="C8" s="2" t="s">
        <v>103</v>
      </c>
    </row>
    <row r="9" customFormat="false" ht="15" hidden="false" customHeight="false" outlineLevel="0" collapsed="false">
      <c r="A9" s="1" t="n">
        <v>7</v>
      </c>
      <c r="B9" s="2" t="s">
        <v>104</v>
      </c>
      <c r="C9" s="2" t="s">
        <v>105</v>
      </c>
    </row>
    <row r="10" customFormat="false" ht="15" hidden="false" customHeight="false" outlineLevel="0" collapsed="false">
      <c r="A10" s="1" t="n">
        <v>8</v>
      </c>
      <c r="B10" s="2" t="s">
        <v>106</v>
      </c>
      <c r="C10" s="2" t="s">
        <v>107</v>
      </c>
    </row>
    <row r="11" customFormat="false" ht="15" hidden="false" customHeight="false" outlineLevel="0" collapsed="false">
      <c r="A11" s="1" t="n">
        <v>9</v>
      </c>
      <c r="B11" s="2" t="s">
        <v>85</v>
      </c>
      <c r="C11" s="2" t="s">
        <v>84</v>
      </c>
    </row>
    <row r="12" customFormat="false" ht="15" hidden="false" customHeight="false" outlineLevel="0" collapsed="false">
      <c r="A12" s="1" t="n">
        <v>10</v>
      </c>
      <c r="B12" s="2" t="s">
        <v>108</v>
      </c>
      <c r="C12" s="2" t="s">
        <v>109</v>
      </c>
    </row>
    <row r="13" customFormat="false" ht="15" hidden="false" customHeight="false" outlineLevel="0" collapsed="false">
      <c r="A13" s="1" t="n">
        <v>11</v>
      </c>
      <c r="B13" s="2" t="s">
        <v>110</v>
      </c>
      <c r="C13" s="2" t="s">
        <v>111</v>
      </c>
    </row>
    <row r="14" customFormat="false" ht="15" hidden="false" customHeight="false" outlineLevel="0" collapsed="false">
      <c r="A14" s="1" t="n">
        <v>12</v>
      </c>
      <c r="B14" s="2" t="s">
        <v>112</v>
      </c>
      <c r="C14" s="2" t="s">
        <v>113</v>
      </c>
    </row>
    <row r="15" customFormat="false" ht="15" hidden="false" customHeight="false" outlineLevel="0" collapsed="false">
      <c r="A15" s="1" t="n">
        <v>13</v>
      </c>
      <c r="B15" s="2" t="s">
        <v>114</v>
      </c>
      <c r="C15" s="2" t="s">
        <v>115</v>
      </c>
    </row>
    <row r="16" customFormat="false" ht="15" hidden="false" customHeight="false" outlineLevel="0" collapsed="false">
      <c r="A16" s="1" t="n">
        <v>14</v>
      </c>
      <c r="B16" s="2" t="s">
        <v>116</v>
      </c>
      <c r="C16" s="2" t="s">
        <v>117</v>
      </c>
    </row>
    <row r="17" customFormat="false" ht="15" hidden="false" customHeight="false" outlineLevel="0" collapsed="false">
      <c r="A17" s="1" t="n">
        <v>15</v>
      </c>
      <c r="B17" s="2" t="s">
        <v>118</v>
      </c>
      <c r="C17" s="2" t="s">
        <v>119</v>
      </c>
    </row>
    <row r="18" customFormat="false" ht="15" hidden="false" customHeight="false" outlineLevel="0" collapsed="false">
      <c r="A18" s="1" t="n">
        <v>16</v>
      </c>
      <c r="B18" s="2" t="s">
        <v>120</v>
      </c>
      <c r="C18" s="2" t="s">
        <v>121</v>
      </c>
    </row>
    <row r="19" customFormat="false" ht="15" hidden="false" customHeight="false" outlineLevel="0" collapsed="false">
      <c r="A19" s="1" t="n">
        <v>17</v>
      </c>
      <c r="B19" s="2" t="s">
        <v>122</v>
      </c>
      <c r="C19" s="2" t="s">
        <v>123</v>
      </c>
    </row>
    <row r="20" customFormat="false" ht="15" hidden="false" customHeight="false" outlineLevel="0" collapsed="false">
      <c r="A20" s="1" t="n">
        <v>18</v>
      </c>
      <c r="B20" s="2" t="s">
        <v>124</v>
      </c>
      <c r="C20" s="2" t="s">
        <v>125</v>
      </c>
    </row>
    <row r="21" customFormat="false" ht="15" hidden="false" customHeight="false" outlineLevel="0" collapsed="false">
      <c r="A21" s="1" t="n">
        <v>19</v>
      </c>
      <c r="B21" s="2" t="s">
        <v>126</v>
      </c>
      <c r="C21" s="2" t="s">
        <v>127</v>
      </c>
    </row>
    <row r="22" customFormat="false" ht="15" hidden="false" customHeight="false" outlineLevel="0" collapsed="false">
      <c r="A22" s="1" t="n">
        <v>20</v>
      </c>
      <c r="B22" s="2" t="s">
        <v>88</v>
      </c>
      <c r="C22" s="2" t="s">
        <v>87</v>
      </c>
    </row>
    <row r="23" customFormat="false" ht="15" hidden="false" customHeight="false" outlineLevel="0" collapsed="false">
      <c r="A23" s="1" t="n">
        <v>21</v>
      </c>
      <c r="B23" s="2" t="s">
        <v>128</v>
      </c>
      <c r="C23" s="2" t="s">
        <v>129</v>
      </c>
    </row>
    <row r="24" customFormat="false" ht="15" hidden="false" customHeight="false" outlineLevel="0" collapsed="false">
      <c r="A24" s="1" t="n">
        <v>22</v>
      </c>
      <c r="B24" s="2" t="s">
        <v>130</v>
      </c>
      <c r="C24" s="2" t="s">
        <v>131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07"/>
    <col collapsed="false" customWidth="false" hidden="true" outlineLevel="0" max="7" min="3" style="1" width="9.66"/>
    <col collapsed="false" customWidth="true" hidden="false" outlineLevel="0" max="1002" min="997" style="1" width="9.33"/>
    <col collapsed="false" customWidth="true" hidden="false" outlineLevel="0" max="16384" min="16363" style="1" width="10.58"/>
  </cols>
  <sheetData>
    <row r="1" customFormat="false" ht="15" hidden="false" customHeight="false" outlineLevel="0" collapsed="false">
      <c r="A1" s="1" t="s">
        <v>132</v>
      </c>
      <c r="B1" s="2" t="s">
        <v>2</v>
      </c>
      <c r="C1" s="5" t="n">
        <v>45728</v>
      </c>
      <c r="D1" s="3" t="n">
        <v>45735</v>
      </c>
      <c r="E1" s="3" t="n">
        <v>45742</v>
      </c>
      <c r="F1" s="3" t="n">
        <v>45777</v>
      </c>
      <c r="G1" s="1" t="s">
        <v>133</v>
      </c>
      <c r="H1" s="3" t="n">
        <v>45840</v>
      </c>
      <c r="I1" s="3" t="n">
        <v>45910</v>
      </c>
      <c r="J1" s="3" t="n">
        <v>45945</v>
      </c>
      <c r="K1" s="2" t="s">
        <v>133</v>
      </c>
    </row>
    <row r="2" customFormat="false" ht="15" hidden="false" customHeight="false" outlineLevel="0" collapsed="false">
      <c r="A2" s="1" t="n">
        <v>1</v>
      </c>
      <c r="B2" s="2" t="s">
        <v>76</v>
      </c>
      <c r="C2" s="2"/>
      <c r="E2" s="1" t="n">
        <v>3</v>
      </c>
      <c r="G2" s="1" t="n">
        <f aca="false">SUM(C2:F2)</f>
        <v>3</v>
      </c>
      <c r="H2" s="1" t="n">
        <v>0</v>
      </c>
      <c r="J2" s="1" t="n">
        <v>3</v>
      </c>
      <c r="K2" s="2" t="n">
        <f aca="false">SUM(H2:J2)</f>
        <v>3</v>
      </c>
    </row>
    <row r="3" customFormat="false" ht="15" hidden="false" customHeight="false" outlineLevel="0" collapsed="false">
      <c r="A3" s="1" t="n">
        <v>2</v>
      </c>
      <c r="B3" s="2" t="s">
        <v>98</v>
      </c>
      <c r="C3" s="2"/>
      <c r="F3" s="1" t="n">
        <v>2</v>
      </c>
      <c r="G3" s="1" t="n">
        <f aca="false">SUM(C3:F3)</f>
        <v>2</v>
      </c>
      <c r="H3" s="1" t="n">
        <v>0</v>
      </c>
      <c r="K3" s="2" t="n">
        <f aca="false">SUM(H3:J3)</f>
        <v>0</v>
      </c>
    </row>
    <row r="4" customFormat="false" ht="15" hidden="false" customHeight="false" outlineLevel="0" collapsed="false">
      <c r="A4" s="1" t="n">
        <v>3</v>
      </c>
      <c r="B4" s="2" t="s">
        <v>100</v>
      </c>
      <c r="C4" s="2"/>
      <c r="D4" s="1" t="n">
        <v>1</v>
      </c>
      <c r="E4" s="1" t="n">
        <v>1</v>
      </c>
      <c r="G4" s="1" t="n">
        <f aca="false">SUM(C4:F4)</f>
        <v>2</v>
      </c>
      <c r="H4" s="1" t="n">
        <v>1</v>
      </c>
      <c r="J4" s="1" t="n">
        <v>3</v>
      </c>
      <c r="K4" s="2" t="n">
        <f aca="false">SUM(H4:J4)</f>
        <v>4</v>
      </c>
    </row>
    <row r="5" customFormat="false" ht="15" hidden="false" customHeight="false" outlineLevel="0" collapsed="false">
      <c r="A5" s="1" t="n">
        <v>4</v>
      </c>
      <c r="B5" s="2" t="s">
        <v>102</v>
      </c>
      <c r="C5" s="2"/>
      <c r="D5" s="1" t="n">
        <v>1</v>
      </c>
      <c r="E5" s="1" t="n">
        <v>3</v>
      </c>
      <c r="F5" s="1" t="n">
        <v>2</v>
      </c>
      <c r="G5" s="1" t="n">
        <f aca="false">SUM(C5:F5)</f>
        <v>6</v>
      </c>
      <c r="H5" s="1" t="n">
        <v>1</v>
      </c>
      <c r="J5" s="1" t="n">
        <v>3</v>
      </c>
      <c r="K5" s="2" t="n">
        <f aca="false">SUM(H5:J5)</f>
        <v>4</v>
      </c>
    </row>
    <row r="6" customFormat="false" ht="15" hidden="false" customHeight="false" outlineLevel="0" collapsed="false">
      <c r="A6" s="1" t="n">
        <v>5</v>
      </c>
      <c r="B6" s="2" t="s">
        <v>66</v>
      </c>
      <c r="C6" s="2"/>
      <c r="E6" s="1" t="n">
        <v>1</v>
      </c>
      <c r="G6" s="1" t="n">
        <f aca="false">SUM(C6:F6)</f>
        <v>1</v>
      </c>
      <c r="H6" s="1" t="n">
        <v>0</v>
      </c>
      <c r="K6" s="2" t="n">
        <f aca="false">SUM(H6:J6)</f>
        <v>0</v>
      </c>
    </row>
    <row r="7" customFormat="false" ht="15" hidden="false" customHeight="false" outlineLevel="0" collapsed="false">
      <c r="A7" s="1" t="n">
        <v>6</v>
      </c>
      <c r="B7" s="2" t="s">
        <v>103</v>
      </c>
      <c r="C7" s="2"/>
      <c r="G7" s="1" t="n">
        <f aca="false">SUM(C7:F7)</f>
        <v>0</v>
      </c>
      <c r="H7" s="1" t="n">
        <v>1</v>
      </c>
      <c r="J7" s="1" t="n">
        <v>1</v>
      </c>
      <c r="K7" s="2" t="n">
        <f aca="false">SUM(H7:J7)</f>
        <v>2</v>
      </c>
    </row>
    <row r="8" customFormat="false" ht="15" hidden="false" customHeight="false" outlineLevel="0" collapsed="false">
      <c r="A8" s="1" t="n">
        <v>7</v>
      </c>
      <c r="B8" s="2" t="s">
        <v>105</v>
      </c>
      <c r="C8" s="2"/>
      <c r="D8" s="1" t="n">
        <v>1</v>
      </c>
      <c r="E8" s="1" t="n">
        <v>4</v>
      </c>
      <c r="F8" s="1" t="n">
        <v>2</v>
      </c>
      <c r="G8" s="1" t="n">
        <f aca="false">SUM(C8:F8)</f>
        <v>7</v>
      </c>
      <c r="H8" s="1" t="n">
        <v>1</v>
      </c>
      <c r="I8" s="1" t="n">
        <v>4</v>
      </c>
      <c r="J8" s="1" t="n">
        <v>3</v>
      </c>
      <c r="K8" s="2" t="n">
        <f aca="false">SUM(H8:J8)</f>
        <v>8</v>
      </c>
    </row>
    <row r="9" customFormat="false" ht="15" hidden="false" customHeight="false" outlineLevel="0" collapsed="false">
      <c r="A9" s="1" t="n">
        <v>8</v>
      </c>
      <c r="B9" s="2" t="s">
        <v>107</v>
      </c>
      <c r="C9" s="2"/>
      <c r="D9" s="1" t="n">
        <v>2</v>
      </c>
      <c r="E9" s="1" t="n">
        <v>1</v>
      </c>
      <c r="F9" s="1" t="n">
        <v>2</v>
      </c>
      <c r="G9" s="1" t="n">
        <f aca="false">SUM(C9:F9)</f>
        <v>5</v>
      </c>
      <c r="H9" s="1" t="n">
        <v>1</v>
      </c>
      <c r="I9" s="1" t="n">
        <v>4</v>
      </c>
      <c r="K9" s="2" t="n">
        <f aca="false">SUM(H9:J9)</f>
        <v>5</v>
      </c>
    </row>
    <row r="10" customFormat="false" ht="15" hidden="false" customHeight="false" outlineLevel="0" collapsed="false">
      <c r="A10" s="1" t="n">
        <v>9</v>
      </c>
      <c r="B10" s="2" t="s">
        <v>84</v>
      </c>
      <c r="C10" s="2"/>
      <c r="D10" s="1" t="n">
        <v>1</v>
      </c>
      <c r="E10" s="1" t="n">
        <v>1</v>
      </c>
      <c r="F10" s="1" t="n">
        <v>2</v>
      </c>
      <c r="G10" s="1" t="n">
        <f aca="false">SUM(C10:F10)</f>
        <v>4</v>
      </c>
      <c r="H10" s="1" t="n">
        <v>1</v>
      </c>
      <c r="J10" s="1" t="n">
        <v>4</v>
      </c>
      <c r="K10" s="2" t="n">
        <f aca="false">SUM(H10:J10)</f>
        <v>5</v>
      </c>
    </row>
    <row r="11" customFormat="false" ht="15" hidden="false" customHeight="false" outlineLevel="0" collapsed="false">
      <c r="A11" s="1" t="n">
        <v>10</v>
      </c>
      <c r="B11" s="2" t="s">
        <v>109</v>
      </c>
      <c r="C11" s="2"/>
      <c r="F11" s="1" t="n">
        <v>2</v>
      </c>
      <c r="G11" s="1" t="n">
        <f aca="false">SUM(C11:F11)</f>
        <v>2</v>
      </c>
      <c r="H11" s="1" t="n">
        <v>0</v>
      </c>
      <c r="J11" s="1" t="n">
        <v>3</v>
      </c>
      <c r="K11" s="2" t="n">
        <f aca="false">SUM(H11:J11)</f>
        <v>3</v>
      </c>
    </row>
    <row r="12" customFormat="false" ht="15" hidden="false" customHeight="false" outlineLevel="0" collapsed="false">
      <c r="A12" s="1" t="n">
        <v>11</v>
      </c>
      <c r="B12" s="2" t="s">
        <v>111</v>
      </c>
      <c r="C12" s="2"/>
      <c r="D12" s="1" t="n">
        <v>1</v>
      </c>
      <c r="E12" s="1" t="n">
        <v>4</v>
      </c>
      <c r="F12" s="1" t="n">
        <v>2</v>
      </c>
      <c r="G12" s="1" t="n">
        <f aca="false">SUM(C12:F12)</f>
        <v>7</v>
      </c>
      <c r="H12" s="1" t="n">
        <v>0</v>
      </c>
      <c r="J12" s="1" t="n">
        <v>4</v>
      </c>
      <c r="K12" s="2" t="n">
        <f aca="false">SUM(H12:J12)</f>
        <v>4</v>
      </c>
    </row>
    <row r="13" customFormat="false" ht="15" hidden="false" customHeight="false" outlineLevel="0" collapsed="false">
      <c r="A13" s="1" t="n">
        <v>12</v>
      </c>
      <c r="B13" s="2" t="s">
        <v>113</v>
      </c>
      <c r="C13" s="2"/>
      <c r="E13" s="1" t="n">
        <v>1</v>
      </c>
      <c r="F13" s="1" t="n">
        <v>2</v>
      </c>
      <c r="G13" s="1" t="n">
        <f aca="false">SUM(C13:F13)</f>
        <v>3</v>
      </c>
      <c r="H13" s="1" t="n">
        <v>1</v>
      </c>
      <c r="J13" s="1" t="n">
        <v>3</v>
      </c>
      <c r="K13" s="2" t="n">
        <f aca="false">SUM(H13:J13)</f>
        <v>4</v>
      </c>
    </row>
    <row r="14" customFormat="false" ht="15" hidden="false" customHeight="false" outlineLevel="0" collapsed="false">
      <c r="A14" s="1" t="n">
        <v>13</v>
      </c>
      <c r="B14" s="2" t="s">
        <v>115</v>
      </c>
      <c r="C14" s="2"/>
      <c r="E14" s="1" t="n">
        <v>3</v>
      </c>
      <c r="G14" s="1" t="n">
        <f aca="false">SUM(C14:F14)</f>
        <v>3</v>
      </c>
      <c r="H14" s="1" t="n">
        <v>0</v>
      </c>
      <c r="K14" s="2" t="n">
        <f aca="false">SUM(H14:J14)</f>
        <v>0</v>
      </c>
    </row>
    <row r="15" customFormat="false" ht="15" hidden="false" customHeight="false" outlineLevel="0" collapsed="false">
      <c r="A15" s="1" t="n">
        <v>14</v>
      </c>
      <c r="B15" s="2" t="s">
        <v>117</v>
      </c>
      <c r="C15" s="2" t="n">
        <v>1</v>
      </c>
      <c r="D15" s="1" t="n">
        <v>1</v>
      </c>
      <c r="E15" s="1" t="n">
        <v>2</v>
      </c>
      <c r="F15" s="1" t="n">
        <v>2</v>
      </c>
      <c r="G15" s="1" t="n">
        <f aca="false">SUM(C15:F15)</f>
        <v>6</v>
      </c>
      <c r="H15" s="1" t="n">
        <v>0</v>
      </c>
      <c r="J15" s="1" t="n">
        <v>3</v>
      </c>
      <c r="K15" s="2" t="n">
        <f aca="false">SUM(H15:J15)</f>
        <v>3</v>
      </c>
    </row>
    <row r="16" customFormat="false" ht="15" hidden="false" customHeight="false" outlineLevel="0" collapsed="false">
      <c r="A16" s="1" t="n">
        <v>15</v>
      </c>
      <c r="B16" s="2" t="s">
        <v>119</v>
      </c>
      <c r="C16" s="2"/>
      <c r="E16" s="1" t="n">
        <v>1</v>
      </c>
      <c r="F16" s="1" t="n">
        <v>2</v>
      </c>
      <c r="G16" s="1" t="n">
        <f aca="false">SUM(C16:F16)</f>
        <v>3</v>
      </c>
      <c r="H16" s="1" t="n">
        <v>0</v>
      </c>
      <c r="J16" s="1" t="n">
        <v>3</v>
      </c>
      <c r="K16" s="2" t="n">
        <f aca="false">SUM(H16:J16)</f>
        <v>3</v>
      </c>
    </row>
    <row r="17" customFormat="false" ht="15" hidden="false" customHeight="false" outlineLevel="0" collapsed="false">
      <c r="A17" s="1" t="n">
        <v>16</v>
      </c>
      <c r="B17" s="2" t="s">
        <v>121</v>
      </c>
      <c r="C17" s="2"/>
      <c r="G17" s="1" t="n">
        <f aca="false">SUM(C17:F17)</f>
        <v>0</v>
      </c>
      <c r="H17" s="1" t="n">
        <v>0</v>
      </c>
      <c r="K17" s="2" t="n">
        <f aca="false">SUM(H17:J17)</f>
        <v>0</v>
      </c>
    </row>
    <row r="18" customFormat="false" ht="15" hidden="false" customHeight="false" outlineLevel="0" collapsed="false">
      <c r="A18" s="1" t="n">
        <v>17</v>
      </c>
      <c r="B18" s="2" t="s">
        <v>123</v>
      </c>
      <c r="C18" s="2"/>
      <c r="E18" s="1" t="n">
        <v>3</v>
      </c>
      <c r="G18" s="1" t="n">
        <f aca="false">SUM(C18:F18)</f>
        <v>3</v>
      </c>
      <c r="H18" s="1" t="n">
        <v>0</v>
      </c>
      <c r="K18" s="2" t="n">
        <f aca="false">SUM(H18:J18)</f>
        <v>0</v>
      </c>
    </row>
    <row r="19" customFormat="false" ht="15" hidden="false" customHeight="false" outlineLevel="0" collapsed="false">
      <c r="A19" s="1" t="n">
        <v>18</v>
      </c>
      <c r="B19" s="2" t="s">
        <v>125</v>
      </c>
      <c r="C19" s="2"/>
      <c r="G19" s="1" t="n">
        <f aca="false">SUM(C19:F19)</f>
        <v>0</v>
      </c>
      <c r="H19" s="1" t="n">
        <v>0</v>
      </c>
      <c r="K19" s="2" t="n">
        <f aca="false">SUM(H19:J19)</f>
        <v>0</v>
      </c>
    </row>
    <row r="20" customFormat="false" ht="15" hidden="false" customHeight="false" outlineLevel="0" collapsed="false">
      <c r="A20" s="1" t="n">
        <v>19</v>
      </c>
      <c r="B20" s="2" t="s">
        <v>127</v>
      </c>
      <c r="C20" s="2"/>
      <c r="G20" s="1" t="n">
        <f aca="false">SUM(C20:F20)</f>
        <v>0</v>
      </c>
      <c r="H20" s="1" t="n">
        <v>0</v>
      </c>
      <c r="K20" s="2" t="n">
        <f aca="false">SUM(H20:J20)</f>
        <v>0</v>
      </c>
    </row>
    <row r="21" customFormat="false" ht="15" hidden="false" customHeight="false" outlineLevel="0" collapsed="false">
      <c r="A21" s="1" t="n">
        <v>20</v>
      </c>
      <c r="B21" s="2" t="s">
        <v>87</v>
      </c>
      <c r="C21" s="2"/>
      <c r="D21" s="1" t="n">
        <v>1</v>
      </c>
      <c r="E21" s="1" t="n">
        <v>3</v>
      </c>
      <c r="F21" s="1" t="n">
        <v>2</v>
      </c>
      <c r="G21" s="1" t="n">
        <f aca="false">SUM(C21:F21)</f>
        <v>6</v>
      </c>
      <c r="H21" s="1" t="n">
        <v>0</v>
      </c>
      <c r="J21" s="1" t="n">
        <v>3</v>
      </c>
      <c r="K21" s="2" t="n">
        <f aca="false">SUM(H21:J21)</f>
        <v>3</v>
      </c>
    </row>
    <row r="22" customFormat="false" ht="15" hidden="false" customHeight="false" outlineLevel="0" collapsed="false">
      <c r="A22" s="1" t="n">
        <v>21</v>
      </c>
      <c r="B22" s="2" t="s">
        <v>129</v>
      </c>
      <c r="C22" s="2"/>
      <c r="D22" s="1" t="n">
        <v>2</v>
      </c>
      <c r="E22" s="1" t="n">
        <v>2</v>
      </c>
      <c r="F22" s="1" t="n">
        <v>2</v>
      </c>
      <c r="G22" s="1" t="n">
        <f aca="false">SUM(C22:F22)</f>
        <v>6</v>
      </c>
      <c r="H22" s="1" t="n">
        <v>0</v>
      </c>
      <c r="I22" s="1" t="n">
        <v>4</v>
      </c>
      <c r="J22" s="1" t="n">
        <v>3</v>
      </c>
      <c r="K22" s="2" t="n">
        <f aca="false">SUM(H22:J22)</f>
        <v>7</v>
      </c>
    </row>
    <row r="23" customFormat="false" ht="15" hidden="false" customHeight="false" outlineLevel="0" collapsed="false">
      <c r="A23" s="1" t="n">
        <v>22</v>
      </c>
      <c r="B23" s="2" t="s">
        <v>131</v>
      </c>
      <c r="C23" s="2"/>
      <c r="E23" s="1" t="n">
        <v>3</v>
      </c>
      <c r="G23" s="1" t="n">
        <f aca="false">SUM(C23:F23)</f>
        <v>3</v>
      </c>
      <c r="H23" s="1" t="n">
        <v>0</v>
      </c>
      <c r="K23" s="2" t="n">
        <f aca="false">SUM(H23:J23)</f>
        <v>0</v>
      </c>
    </row>
    <row r="24" customFormat="false" ht="15" hidden="false" customHeight="false" outlineLevel="0" collapsed="false">
      <c r="G24" s="2" t="n">
        <f aca="false">MAX(G2:G23)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3" colorId="64" zoomScale="100" zoomScaleNormal="100" zoomScalePageLayoutView="100" workbookViewId="0">
      <selection pane="topLeft" activeCell="I2" activeCellId="0" sqref="I2"/>
    </sheetView>
  </sheetViews>
  <sheetFormatPr defaultColWidth="9.375" defaultRowHeight="15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61"/>
    <col collapsed="false" customWidth="true" hidden="false" outlineLevel="0" max="4" min="4" style="1" width="15.74"/>
    <col collapsed="false" customWidth="true" hidden="false" outlineLevel="0" max="5" min="5" style="1" width="21.67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61</v>
      </c>
      <c r="F1" s="1" t="s">
        <v>134</v>
      </c>
      <c r="G1" s="1" t="s">
        <v>135</v>
      </c>
      <c r="H1" s="1" t="s">
        <v>136</v>
      </c>
      <c r="I1" s="1" t="s">
        <v>137</v>
      </c>
    </row>
    <row r="2" customFormat="false" ht="15" hidden="false" customHeight="false" outlineLevel="0" collapsed="false">
      <c r="A2" s="1" t="n">
        <v>1</v>
      </c>
      <c r="B2" s="2" t="s">
        <v>76</v>
      </c>
      <c r="C2" s="1" t="s">
        <v>76</v>
      </c>
      <c r="D2" s="1" t="s">
        <v>77</v>
      </c>
      <c r="E2" s="1" t="s">
        <v>138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97</v>
      </c>
      <c r="E3" s="1" t="s">
        <v>139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100</v>
      </c>
      <c r="C4" s="1" t="s">
        <v>100</v>
      </c>
      <c r="D4" s="1" t="s">
        <v>99</v>
      </c>
      <c r="E4" s="1" t="s">
        <v>140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4</v>
      </c>
      <c r="B5" s="2" t="s">
        <v>102</v>
      </c>
      <c r="C5" s="1" t="s">
        <v>102</v>
      </c>
      <c r="D5" s="1" t="s">
        <v>101</v>
      </c>
      <c r="E5" s="1" t="s">
        <v>141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66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103</v>
      </c>
      <c r="C7" s="1" t="s">
        <v>103</v>
      </c>
      <c r="D7" s="1" t="s">
        <v>15</v>
      </c>
      <c r="E7" s="1" t="s">
        <v>142</v>
      </c>
      <c r="F7" s="1" t="n">
        <v>7</v>
      </c>
      <c r="I7" s="1" t="n">
        <v>7</v>
      </c>
    </row>
    <row r="8" customFormat="false" ht="15" hidden="false" customHeight="false" outlineLevel="0" collapsed="false">
      <c r="A8" s="1" t="n">
        <v>7</v>
      </c>
      <c r="B8" s="2" t="s">
        <v>105</v>
      </c>
      <c r="C8" s="1" t="s">
        <v>105</v>
      </c>
      <c r="D8" s="1" t="s">
        <v>104</v>
      </c>
      <c r="E8" s="1" t="s">
        <v>143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8</v>
      </c>
      <c r="B9" s="2" t="s">
        <v>107</v>
      </c>
      <c r="C9" s="1" t="s">
        <v>107</v>
      </c>
      <c r="D9" s="1" t="s">
        <v>106</v>
      </c>
      <c r="E9" s="1" t="s">
        <v>144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84</v>
      </c>
      <c r="C10" s="1" t="s">
        <v>84</v>
      </c>
      <c r="D10" s="1" t="s">
        <v>85</v>
      </c>
      <c r="E10" s="1" t="s">
        <v>145</v>
      </c>
      <c r="F10" s="1" t="n">
        <v>10</v>
      </c>
      <c r="G10" s="1" t="n">
        <f aca="false">AVERAGE(F10:F11)</f>
        <v>7.5</v>
      </c>
      <c r="H10" s="1" t="n">
        <v>5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84</v>
      </c>
      <c r="D11" s="1" t="s">
        <v>85</v>
      </c>
      <c r="E11" s="1" t="s">
        <v>146</v>
      </c>
      <c r="F11" s="1" t="n">
        <v>5</v>
      </c>
    </row>
    <row r="12" customFormat="false" ht="15" hidden="false" customHeight="false" outlineLevel="0" collapsed="false">
      <c r="A12" s="1" t="n">
        <v>10</v>
      </c>
      <c r="B12" s="2" t="s">
        <v>109</v>
      </c>
      <c r="C12" s="1" t="s">
        <v>109</v>
      </c>
      <c r="D12" s="1" t="s">
        <v>108</v>
      </c>
      <c r="E12" s="1" t="s">
        <v>147</v>
      </c>
      <c r="F12" s="1" t="n">
        <v>7</v>
      </c>
      <c r="I12" s="1" t="n">
        <v>7</v>
      </c>
    </row>
    <row r="13" customFormat="false" ht="15" hidden="false" customHeight="false" outlineLevel="0" collapsed="false">
      <c r="A13" s="1" t="n">
        <v>11</v>
      </c>
      <c r="B13" s="2" t="s">
        <v>111</v>
      </c>
      <c r="C13" s="1" t="s">
        <v>111</v>
      </c>
      <c r="D13" s="1" t="s">
        <v>110</v>
      </c>
      <c r="E13" s="1" t="s">
        <v>148</v>
      </c>
      <c r="F13" s="1" t="n">
        <v>10</v>
      </c>
      <c r="G13" s="1" t="n">
        <f aca="false">AVERAGE(F13:F14)</f>
        <v>7</v>
      </c>
      <c r="H13" s="1" t="n">
        <v>4</v>
      </c>
      <c r="I13" s="1" t="n">
        <f aca="false">ROUND(MAX(H13,G13),0)</f>
        <v>7</v>
      </c>
    </row>
    <row r="14" customFormat="false" ht="15" hidden="false" customHeight="false" outlineLevel="0" collapsed="false">
      <c r="C14" s="1" t="s">
        <v>111</v>
      </c>
      <c r="D14" s="1" t="s">
        <v>110</v>
      </c>
      <c r="E14" s="1" t="s">
        <v>149</v>
      </c>
      <c r="F14" s="1" t="n">
        <v>4</v>
      </c>
    </row>
    <row r="15" customFormat="false" ht="15" hidden="false" customHeight="false" outlineLevel="0" collapsed="false">
      <c r="A15" s="1" t="n">
        <v>12</v>
      </c>
      <c r="B15" s="2" t="s">
        <v>113</v>
      </c>
      <c r="C15" s="1" t="s">
        <v>113</v>
      </c>
      <c r="D15" s="1" t="s">
        <v>112</v>
      </c>
      <c r="E15" s="1" t="s">
        <v>150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13</v>
      </c>
      <c r="B16" s="2" t="s">
        <v>115</v>
      </c>
      <c r="C16" s="1" t="s">
        <v>115</v>
      </c>
      <c r="D16" s="1" t="s">
        <v>114</v>
      </c>
      <c r="E16" s="1" t="s">
        <v>151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14</v>
      </c>
      <c r="B17" s="2" t="s">
        <v>117</v>
      </c>
      <c r="C17" s="1" t="s">
        <v>117</v>
      </c>
      <c r="D17" s="1" t="s">
        <v>116</v>
      </c>
      <c r="E17" s="1" t="s">
        <v>152</v>
      </c>
      <c r="F17" s="1" t="n">
        <v>10</v>
      </c>
      <c r="G17" s="1" t="n">
        <f aca="false">AVERAGE(F17:F19)</f>
        <v>7.33333333333333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117</v>
      </c>
      <c r="D18" s="1" t="s">
        <v>116</v>
      </c>
      <c r="E18" s="1" t="s">
        <v>153</v>
      </c>
      <c r="F18" s="1" t="n">
        <v>8</v>
      </c>
    </row>
    <row r="19" customFormat="false" ht="15" hidden="false" customHeight="false" outlineLevel="0" collapsed="false">
      <c r="C19" s="1" t="s">
        <v>117</v>
      </c>
      <c r="D19" s="1" t="s">
        <v>116</v>
      </c>
      <c r="E19" s="1" t="s">
        <v>139</v>
      </c>
      <c r="F19" s="1" t="n">
        <v>4</v>
      </c>
    </row>
    <row r="20" customFormat="false" ht="15" hidden="false" customHeight="false" outlineLevel="0" collapsed="false">
      <c r="A20" s="1" t="n">
        <v>15</v>
      </c>
      <c r="B20" s="2" t="s">
        <v>119</v>
      </c>
      <c r="C20" s="1" t="s">
        <v>119</v>
      </c>
      <c r="D20" s="1" t="s">
        <v>118</v>
      </c>
      <c r="E20" s="1" t="s">
        <v>154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121</v>
      </c>
      <c r="C21" s="1" t="s">
        <v>121</v>
      </c>
      <c r="D21" s="1" t="s">
        <v>120</v>
      </c>
      <c r="E21" s="1" t="s">
        <v>155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17</v>
      </c>
      <c r="B22" s="2" t="s">
        <v>123</v>
      </c>
      <c r="C22" s="1" t="s">
        <v>123</v>
      </c>
      <c r="D22" s="1" t="s">
        <v>122</v>
      </c>
      <c r="E22" s="1" t="s">
        <v>156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2" t="s">
        <v>125</v>
      </c>
      <c r="C23" s="1" t="s">
        <v>125</v>
      </c>
      <c r="D23" s="1" t="s">
        <v>124</v>
      </c>
      <c r="E23" s="1" t="s">
        <v>157</v>
      </c>
      <c r="F23" s="1" t="n">
        <v>7</v>
      </c>
      <c r="I23" s="1" t="n">
        <v>7</v>
      </c>
    </row>
    <row r="24" customFormat="false" ht="15" hidden="false" customHeight="false" outlineLevel="0" collapsed="false">
      <c r="A24" s="1" t="n">
        <v>19</v>
      </c>
      <c r="B24" s="2" t="s">
        <v>127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87</v>
      </c>
      <c r="C25" s="1" t="s">
        <v>87</v>
      </c>
      <c r="D25" s="1" t="s">
        <v>88</v>
      </c>
      <c r="E25" s="1" t="s">
        <v>158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21</v>
      </c>
      <c r="B26" s="2" t="s">
        <v>129</v>
      </c>
      <c r="C26" s="1" t="s">
        <v>129</v>
      </c>
      <c r="D26" s="1" t="s">
        <v>128</v>
      </c>
      <c r="E26" s="1" t="s">
        <v>159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131</v>
      </c>
      <c r="C27" s="1" t="s">
        <v>131</v>
      </c>
      <c r="D27" s="1" t="s">
        <v>130</v>
      </c>
      <c r="E27" s="1" t="s">
        <v>160</v>
      </c>
      <c r="F27" s="1" t="n">
        <v>7</v>
      </c>
      <c r="I27" s="1" t="n">
        <v>7</v>
      </c>
    </row>
    <row r="28" customFormat="false" ht="15" hidden="false" customHeight="false" outlineLevel="0" collapsed="false">
      <c r="H28" s="1" t="s">
        <v>161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2" activeCellId="0" sqref="I32"/>
    </sheetView>
  </sheetViews>
  <sheetFormatPr defaultColWidth="9.375" defaultRowHeight="12.8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11"/>
    <col collapsed="false" customWidth="true" hidden="false" outlineLevel="0" max="4" min="4" style="1" width="15.7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61</v>
      </c>
      <c r="F1" s="1" t="s">
        <v>134</v>
      </c>
      <c r="G1" s="1" t="s">
        <v>63</v>
      </c>
      <c r="H1" s="1" t="s">
        <v>64</v>
      </c>
      <c r="I1" s="1" t="s">
        <v>65</v>
      </c>
    </row>
    <row r="2" customFormat="false" ht="15" hidden="false" customHeight="false" outlineLevel="0" collapsed="false">
      <c r="A2" s="1" t="n">
        <v>1</v>
      </c>
      <c r="B2" s="2" t="s">
        <v>76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97</v>
      </c>
      <c r="E3" s="1" t="s">
        <v>162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100</v>
      </c>
      <c r="C4" s="1" t="s">
        <v>100</v>
      </c>
      <c r="D4" s="1" t="s">
        <v>99</v>
      </c>
      <c r="E4" s="1" t="s">
        <v>163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102</v>
      </c>
      <c r="C5" s="1" t="s">
        <v>102</v>
      </c>
      <c r="D5" s="1" t="s">
        <v>101</v>
      </c>
      <c r="E5" s="1" t="s">
        <v>95</v>
      </c>
      <c r="F5" s="1" t="n">
        <v>8</v>
      </c>
      <c r="G5" s="1" t="n">
        <f aca="false">AVERAGE(F5:F6)</f>
        <v>7</v>
      </c>
      <c r="H5" s="1" t="n">
        <v>6</v>
      </c>
      <c r="I5" s="1" t="n">
        <f aca="false">MAX(H5,G5)</f>
        <v>7</v>
      </c>
    </row>
    <row r="6" customFormat="false" ht="15" hidden="false" customHeight="false" outlineLevel="0" collapsed="false">
      <c r="C6" s="1" t="s">
        <v>102</v>
      </c>
      <c r="D6" s="1" t="s">
        <v>101</v>
      </c>
      <c r="E6" s="1" t="s">
        <v>164</v>
      </c>
      <c r="F6" s="1" t="n">
        <v>6</v>
      </c>
    </row>
    <row r="7" customFormat="false" ht="15" hidden="false" customHeight="false" outlineLevel="0" collapsed="false">
      <c r="A7" s="1" t="n">
        <v>5</v>
      </c>
      <c r="B7" s="2" t="s">
        <v>66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103</v>
      </c>
      <c r="C8" s="1" t="s">
        <v>103</v>
      </c>
      <c r="D8" s="1" t="s">
        <v>15</v>
      </c>
      <c r="E8" s="1" t="s">
        <v>165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2" t="s">
        <v>105</v>
      </c>
      <c r="C9" s="1" t="s">
        <v>105</v>
      </c>
      <c r="D9" s="1" t="s">
        <v>104</v>
      </c>
      <c r="E9" s="1" t="s">
        <v>166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8</v>
      </c>
      <c r="B10" s="2" t="s">
        <v>107</v>
      </c>
      <c r="C10" s="1" t="s">
        <v>107</v>
      </c>
      <c r="D10" s="1" t="s">
        <v>106</v>
      </c>
      <c r="E10" s="1" t="s">
        <v>167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2" t="s">
        <v>84</v>
      </c>
      <c r="C11" s="1" t="s">
        <v>84</v>
      </c>
      <c r="D11" s="1" t="s">
        <v>85</v>
      </c>
      <c r="E11" s="1" t="s">
        <v>168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109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111</v>
      </c>
      <c r="C13" s="1" t="s">
        <v>111</v>
      </c>
      <c r="D13" s="1" t="s">
        <v>110</v>
      </c>
      <c r="E13" s="1" t="s">
        <v>169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2" t="s">
        <v>113</v>
      </c>
      <c r="C14" s="1" t="s">
        <v>113</v>
      </c>
      <c r="D14" s="1" t="s">
        <v>112</v>
      </c>
      <c r="E14" s="1" t="s">
        <v>170</v>
      </c>
      <c r="F14" s="1" t="n">
        <v>6</v>
      </c>
      <c r="G14" s="1" t="n">
        <f aca="false">AVERAGE(F14:F15)</f>
        <v>5.5</v>
      </c>
      <c r="H14" s="1" t="n">
        <v>5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113</v>
      </c>
      <c r="D15" s="1" t="s">
        <v>112</v>
      </c>
      <c r="E15" s="1" t="s">
        <v>171</v>
      </c>
      <c r="F15" s="1" t="n">
        <v>5</v>
      </c>
    </row>
    <row r="16" customFormat="false" ht="15" hidden="false" customHeight="false" outlineLevel="0" collapsed="false">
      <c r="A16" s="1" t="n">
        <v>13</v>
      </c>
      <c r="B16" s="2" t="s">
        <v>115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117</v>
      </c>
      <c r="C17" s="1" t="s">
        <v>117</v>
      </c>
      <c r="D17" s="1" t="s">
        <v>116</v>
      </c>
      <c r="E17" s="1" t="s">
        <v>172</v>
      </c>
      <c r="F17" s="1" t="n">
        <v>10</v>
      </c>
      <c r="G17" s="1" t="n">
        <f aca="false">AVERAGE(F17:F21)</f>
        <v>7.6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117</v>
      </c>
      <c r="D18" s="1" t="s">
        <v>116</v>
      </c>
      <c r="E18" s="1" t="s">
        <v>173</v>
      </c>
      <c r="F18" s="1" t="n">
        <v>8</v>
      </c>
    </row>
    <row r="19" customFormat="false" ht="15" hidden="false" customHeight="false" outlineLevel="0" collapsed="false">
      <c r="C19" s="1" t="s">
        <v>117</v>
      </c>
      <c r="D19" s="1" t="s">
        <v>116</v>
      </c>
      <c r="E19" s="1" t="s">
        <v>174</v>
      </c>
      <c r="F19" s="1" t="n">
        <v>7</v>
      </c>
    </row>
    <row r="20" customFormat="false" ht="15" hidden="false" customHeight="false" outlineLevel="0" collapsed="false">
      <c r="C20" s="1" t="s">
        <v>117</v>
      </c>
      <c r="D20" s="1" t="s">
        <v>116</v>
      </c>
      <c r="E20" s="1" t="s">
        <v>175</v>
      </c>
      <c r="F20" s="1" t="n">
        <v>7</v>
      </c>
    </row>
    <row r="21" customFormat="false" ht="15" hidden="false" customHeight="false" outlineLevel="0" collapsed="false">
      <c r="C21" s="1" t="s">
        <v>117</v>
      </c>
      <c r="D21" s="1" t="s">
        <v>116</v>
      </c>
      <c r="E21" s="1" t="s">
        <v>176</v>
      </c>
      <c r="F21" s="1" t="n">
        <v>6</v>
      </c>
    </row>
    <row r="22" customFormat="false" ht="15" hidden="false" customHeight="false" outlineLevel="0" collapsed="false">
      <c r="A22" s="1" t="n">
        <v>15</v>
      </c>
      <c r="B22" s="2" t="s">
        <v>119</v>
      </c>
      <c r="C22" s="1" t="s">
        <v>119</v>
      </c>
      <c r="D22" s="1" t="s">
        <v>118</v>
      </c>
      <c r="E22" s="1" t="s">
        <v>177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16</v>
      </c>
      <c r="B23" s="2" t="s">
        <v>121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17</v>
      </c>
      <c r="B24" s="2" t="s">
        <v>123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18</v>
      </c>
      <c r="B25" s="2" t="s">
        <v>125</v>
      </c>
      <c r="C25" s="1" t="s">
        <v>125</v>
      </c>
      <c r="D25" s="1" t="s">
        <v>124</v>
      </c>
      <c r="E25" s="1" t="s">
        <v>178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19</v>
      </c>
      <c r="B26" s="2" t="s">
        <v>127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20</v>
      </c>
      <c r="B27" s="2" t="s">
        <v>87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129</v>
      </c>
      <c r="C28" s="1" t="s">
        <v>129</v>
      </c>
      <c r="D28" s="1" t="s">
        <v>128</v>
      </c>
      <c r="E28" s="1" t="s">
        <v>179</v>
      </c>
      <c r="F28" s="1" t="n">
        <v>9</v>
      </c>
      <c r="G28" s="1" t="n">
        <f aca="false">AVERAGE(F28:F29)</f>
        <v>7.5</v>
      </c>
      <c r="H28" s="1" t="n">
        <v>6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129</v>
      </c>
      <c r="D29" s="1" t="s">
        <v>128</v>
      </c>
      <c r="E29" s="1" t="s">
        <v>180</v>
      </c>
      <c r="F29" s="1" t="n">
        <v>6</v>
      </c>
    </row>
    <row r="30" customFormat="false" ht="15" hidden="false" customHeight="false" outlineLevel="0" collapsed="false">
      <c r="A30" s="1" t="n">
        <v>22</v>
      </c>
      <c r="B30" s="2" t="s">
        <v>131</v>
      </c>
      <c r="C30" s="1" t="s">
        <v>131</v>
      </c>
      <c r="D30" s="1" t="s">
        <v>130</v>
      </c>
      <c r="E30" s="1" t="s">
        <v>181</v>
      </c>
      <c r="F30" s="1" t="n">
        <v>6</v>
      </c>
      <c r="G30" s="1" t="n">
        <f aca="false">AVERAGE(F30:F32)</f>
        <v>4</v>
      </c>
      <c r="H30" s="1" t="n">
        <v>4</v>
      </c>
      <c r="I30" s="1" t="n">
        <f aca="false">ROUND(MAX(H30,G30),0)</f>
        <v>4</v>
      </c>
    </row>
    <row r="31" customFormat="false" ht="15" hidden="false" customHeight="false" outlineLevel="0" collapsed="false">
      <c r="C31" s="1" t="s">
        <v>131</v>
      </c>
      <c r="D31" s="1" t="s">
        <v>130</v>
      </c>
      <c r="E31" s="1" t="s">
        <v>69</v>
      </c>
      <c r="F31" s="1" t="n">
        <v>4</v>
      </c>
    </row>
    <row r="32" customFormat="false" ht="15" hidden="false" customHeight="false" outlineLevel="0" collapsed="false">
      <c r="C32" s="1" t="s">
        <v>131</v>
      </c>
      <c r="D32" s="1" t="s">
        <v>130</v>
      </c>
      <c r="E32" s="1" t="s">
        <v>182</v>
      </c>
      <c r="F32" s="1" t="n">
        <v>2</v>
      </c>
    </row>
    <row r="33" customFormat="false" ht="15" hidden="false" customHeight="false" outlineLevel="0" collapsed="false">
      <c r="H33" s="1" t="s">
        <v>183</v>
      </c>
      <c r="I33" s="1" t="n">
        <f aca="false">COUNTIF(I2:I30,"&gt;0")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I29" activeCellId="0" sqref="I29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184</v>
      </c>
      <c r="E1" s="1" t="s">
        <v>61</v>
      </c>
      <c r="F1" s="1" t="s">
        <v>134</v>
      </c>
      <c r="G1" s="1" t="s">
        <v>63</v>
      </c>
      <c r="H1" s="1" t="s">
        <v>64</v>
      </c>
      <c r="I1" s="1" t="s">
        <v>65</v>
      </c>
    </row>
    <row r="2" customFormat="false" ht="15" hidden="false" customHeight="false" outlineLevel="0" collapsed="false">
      <c r="A2" s="1" t="n">
        <v>1</v>
      </c>
      <c r="B2" s="2" t="s">
        <v>76</v>
      </c>
      <c r="C2" s="1" t="s">
        <v>76</v>
      </c>
      <c r="D2" s="1" t="s">
        <v>185</v>
      </c>
      <c r="E2" s="1" t="s">
        <v>186</v>
      </c>
      <c r="F2" s="1" t="n">
        <v>7.78</v>
      </c>
      <c r="G2" s="1" t="n">
        <f aca="false">AVERAGE(F2:F3)</f>
        <v>6.67</v>
      </c>
      <c r="H2" s="1" t="n">
        <v>6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76</v>
      </c>
      <c r="D3" s="1" t="s">
        <v>187</v>
      </c>
      <c r="E3" s="1" t="s">
        <v>188</v>
      </c>
      <c r="F3" s="1" t="n">
        <v>5.56</v>
      </c>
    </row>
    <row r="4" customFormat="false" ht="15" hidden="false" customHeight="false" outlineLevel="0" collapsed="false">
      <c r="A4" s="1" t="n">
        <v>2</v>
      </c>
      <c r="B4" s="2" t="s">
        <v>98</v>
      </c>
      <c r="C4" s="1" t="s">
        <v>98</v>
      </c>
      <c r="D4" s="1" t="s">
        <v>189</v>
      </c>
      <c r="E4" s="1" t="s">
        <v>190</v>
      </c>
      <c r="F4" s="1" t="n">
        <v>10</v>
      </c>
      <c r="G4" s="1" t="n">
        <f aca="false">AVERAGE(F4:F8)</f>
        <v>7.558</v>
      </c>
      <c r="H4" s="1" t="n">
        <v>7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98</v>
      </c>
      <c r="D5" s="1" t="s">
        <v>191</v>
      </c>
      <c r="E5" s="1" t="s">
        <v>192</v>
      </c>
      <c r="F5" s="1" t="n">
        <v>10</v>
      </c>
    </row>
    <row r="6" customFormat="false" ht="15" hidden="false" customHeight="false" outlineLevel="0" collapsed="false">
      <c r="C6" s="1" t="s">
        <v>98</v>
      </c>
      <c r="D6" s="1" t="s">
        <v>193</v>
      </c>
      <c r="E6" s="1" t="s">
        <v>194</v>
      </c>
      <c r="F6" s="1" t="n">
        <v>6.67</v>
      </c>
    </row>
    <row r="7" customFormat="false" ht="15" hidden="false" customHeight="false" outlineLevel="0" collapsed="false">
      <c r="C7" s="1" t="s">
        <v>98</v>
      </c>
      <c r="D7" s="1" t="s">
        <v>195</v>
      </c>
      <c r="E7" s="1" t="s">
        <v>196</v>
      </c>
      <c r="F7" s="1" t="n">
        <v>5.56</v>
      </c>
    </row>
    <row r="8" customFormat="false" ht="15" hidden="false" customHeight="false" outlineLevel="0" collapsed="false">
      <c r="C8" s="1" t="s">
        <v>98</v>
      </c>
      <c r="D8" s="1" t="s">
        <v>197</v>
      </c>
      <c r="E8" s="1" t="s">
        <v>198</v>
      </c>
      <c r="F8" s="1" t="n">
        <v>5.56</v>
      </c>
    </row>
    <row r="9" customFormat="false" ht="15" hidden="false" customHeight="false" outlineLevel="0" collapsed="false">
      <c r="A9" s="1" t="n">
        <v>3</v>
      </c>
      <c r="B9" s="2" t="s">
        <v>100</v>
      </c>
      <c r="C9" s="1" t="s">
        <v>100</v>
      </c>
      <c r="D9" s="1" t="s">
        <v>199</v>
      </c>
      <c r="E9" s="1" t="s">
        <v>200</v>
      </c>
      <c r="F9" s="1" t="n">
        <v>10</v>
      </c>
      <c r="G9" s="1" t="n">
        <f aca="false">AVERAGE(F9:F17)</f>
        <v>5.92666666666667</v>
      </c>
      <c r="H9" s="1" t="n">
        <v>9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100</v>
      </c>
      <c r="D10" s="1" t="s">
        <v>201</v>
      </c>
      <c r="E10" s="1" t="s">
        <v>202</v>
      </c>
      <c r="F10" s="1" t="n">
        <v>8.89</v>
      </c>
    </row>
    <row r="11" customFormat="false" ht="15" hidden="false" customHeight="false" outlineLevel="0" collapsed="false">
      <c r="C11" s="1" t="s">
        <v>100</v>
      </c>
      <c r="D11" s="1" t="s">
        <v>187</v>
      </c>
      <c r="E11" s="1" t="s">
        <v>171</v>
      </c>
      <c r="F11" s="1" t="n">
        <v>7.78</v>
      </c>
    </row>
    <row r="12" customFormat="false" ht="15" hidden="false" customHeight="false" outlineLevel="0" collapsed="false">
      <c r="C12" s="1" t="s">
        <v>100</v>
      </c>
      <c r="D12" s="1" t="s">
        <v>203</v>
      </c>
      <c r="E12" s="1" t="s">
        <v>204</v>
      </c>
      <c r="F12" s="1" t="n">
        <v>7.78</v>
      </c>
    </row>
    <row r="13" customFormat="false" ht="15" hidden="false" customHeight="false" outlineLevel="0" collapsed="false">
      <c r="C13" s="1" t="s">
        <v>100</v>
      </c>
      <c r="D13" s="1" t="s">
        <v>205</v>
      </c>
      <c r="E13" s="1" t="s">
        <v>79</v>
      </c>
      <c r="F13" s="1" t="n">
        <v>6.67</v>
      </c>
    </row>
    <row r="14" customFormat="false" ht="15" hidden="false" customHeight="false" outlineLevel="0" collapsed="false">
      <c r="C14" s="1" t="s">
        <v>100</v>
      </c>
      <c r="D14" s="1" t="s">
        <v>206</v>
      </c>
      <c r="E14" s="1" t="s">
        <v>207</v>
      </c>
      <c r="F14" s="1" t="n">
        <v>5.56</v>
      </c>
    </row>
    <row r="15" customFormat="false" ht="15" hidden="false" customHeight="false" outlineLevel="0" collapsed="false">
      <c r="C15" s="1" t="s">
        <v>100</v>
      </c>
      <c r="D15" s="1" t="s">
        <v>208</v>
      </c>
      <c r="E15" s="1" t="s">
        <v>209</v>
      </c>
      <c r="F15" s="1" t="n">
        <v>2.22</v>
      </c>
    </row>
    <row r="16" customFormat="false" ht="15" hidden="false" customHeight="false" outlineLevel="0" collapsed="false">
      <c r="C16" s="1" t="s">
        <v>100</v>
      </c>
      <c r="D16" s="1" t="s">
        <v>210</v>
      </c>
      <c r="E16" s="1" t="s">
        <v>211</v>
      </c>
      <c r="F16" s="1" t="n">
        <v>2.22</v>
      </c>
    </row>
    <row r="17" customFormat="false" ht="15" hidden="false" customHeight="false" outlineLevel="0" collapsed="false">
      <c r="C17" s="1" t="s">
        <v>100</v>
      </c>
      <c r="D17" s="1" t="s">
        <v>212</v>
      </c>
      <c r="E17" s="1" t="s">
        <v>213</v>
      </c>
      <c r="F17" s="1" t="n">
        <v>2.22</v>
      </c>
    </row>
    <row r="18" customFormat="false" ht="15" hidden="false" customHeight="false" outlineLevel="0" collapsed="false">
      <c r="A18" s="1" t="n">
        <v>4</v>
      </c>
      <c r="B18" s="2" t="s">
        <v>102</v>
      </c>
      <c r="C18" s="1" t="s">
        <v>102</v>
      </c>
      <c r="D18" s="1" t="s">
        <v>214</v>
      </c>
      <c r="E18" s="1" t="s">
        <v>215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5</v>
      </c>
      <c r="B19" s="2" t="s">
        <v>66</v>
      </c>
      <c r="C19" s="1" t="s">
        <v>66</v>
      </c>
      <c r="D19" s="1" t="s">
        <v>216</v>
      </c>
      <c r="E19" s="1" t="s">
        <v>217</v>
      </c>
      <c r="F19" s="1" t="n">
        <v>10</v>
      </c>
      <c r="G19" s="1" t="n">
        <f aca="false">AVERAGE(F19:F21)</f>
        <v>6.66666666666667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66</v>
      </c>
      <c r="D20" s="1" t="s">
        <v>218</v>
      </c>
      <c r="E20" s="1" t="s">
        <v>219</v>
      </c>
      <c r="F20" s="1" t="n">
        <v>7.78</v>
      </c>
    </row>
    <row r="21" customFormat="false" ht="15" hidden="false" customHeight="false" outlineLevel="0" collapsed="false">
      <c r="C21" s="1" t="s">
        <v>66</v>
      </c>
      <c r="D21" s="1" t="s">
        <v>220</v>
      </c>
      <c r="E21" s="1" t="s">
        <v>221</v>
      </c>
      <c r="F21" s="1" t="n">
        <v>2.22</v>
      </c>
    </row>
    <row r="22" customFormat="false" ht="15" hidden="false" customHeight="false" outlineLevel="0" collapsed="false">
      <c r="A22" s="1" t="n">
        <v>6</v>
      </c>
      <c r="B22" s="2" t="s">
        <v>103</v>
      </c>
      <c r="C22" s="1" t="s">
        <v>103</v>
      </c>
      <c r="D22" s="1" t="s">
        <v>222</v>
      </c>
      <c r="E22" s="1" t="s">
        <v>223</v>
      </c>
      <c r="F22" s="1" t="n">
        <v>6.67</v>
      </c>
      <c r="I22" s="1" t="n">
        <v>7</v>
      </c>
    </row>
    <row r="23" customFormat="false" ht="15" hidden="false" customHeight="false" outlineLevel="0" collapsed="false">
      <c r="A23" s="1" t="n">
        <v>7</v>
      </c>
      <c r="B23" s="2" t="s">
        <v>105</v>
      </c>
      <c r="C23" s="1" t="s">
        <v>105</v>
      </c>
      <c r="D23" s="1" t="s">
        <v>224</v>
      </c>
      <c r="E23" s="1" t="s">
        <v>225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8</v>
      </c>
      <c r="B24" s="2" t="s">
        <v>107</v>
      </c>
      <c r="C24" s="1" t="s">
        <v>107</v>
      </c>
      <c r="D24" s="1" t="s">
        <v>226</v>
      </c>
      <c r="E24" s="1" t="s">
        <v>227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9</v>
      </c>
      <c r="B25" s="2" t="s">
        <v>84</v>
      </c>
      <c r="C25" s="1" t="s">
        <v>84</v>
      </c>
      <c r="D25" s="1" t="s">
        <v>228</v>
      </c>
      <c r="E25" s="1" t="s">
        <v>229</v>
      </c>
      <c r="F25" s="1" t="n">
        <v>10</v>
      </c>
      <c r="G25" s="1" t="n">
        <f aca="false">AVERAGE(F25:F28)</f>
        <v>5.8325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84</v>
      </c>
      <c r="D26" s="1" t="s">
        <v>230</v>
      </c>
      <c r="E26" s="1" t="s">
        <v>231</v>
      </c>
      <c r="F26" s="1" t="n">
        <v>7.78</v>
      </c>
    </row>
    <row r="27" customFormat="false" ht="15" hidden="false" customHeight="false" outlineLevel="0" collapsed="false">
      <c r="C27" s="1" t="s">
        <v>84</v>
      </c>
      <c r="D27" s="1" t="s">
        <v>214</v>
      </c>
      <c r="E27" s="1" t="s">
        <v>232</v>
      </c>
      <c r="F27" s="1" t="n">
        <v>3.33</v>
      </c>
    </row>
    <row r="28" customFormat="false" ht="15" hidden="false" customHeight="false" outlineLevel="0" collapsed="false">
      <c r="C28" s="1" t="s">
        <v>84</v>
      </c>
      <c r="D28" s="1" t="s">
        <v>233</v>
      </c>
      <c r="E28" s="1" t="s">
        <v>234</v>
      </c>
      <c r="F28" s="1" t="n">
        <v>2.22</v>
      </c>
    </row>
    <row r="29" customFormat="false" ht="15" hidden="false" customHeight="false" outlineLevel="0" collapsed="false">
      <c r="A29" s="1" t="n">
        <v>10</v>
      </c>
      <c r="B29" s="2" t="s">
        <v>109</v>
      </c>
      <c r="C29" s="1" t="s">
        <v>109</v>
      </c>
      <c r="D29" s="1" t="s">
        <v>235</v>
      </c>
      <c r="E29" s="1" t="s">
        <v>236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11</v>
      </c>
      <c r="B30" s="2" t="s">
        <v>111</v>
      </c>
      <c r="C30" s="1" t="s">
        <v>111</v>
      </c>
      <c r="D30" s="1" t="s">
        <v>237</v>
      </c>
      <c r="E30" s="1" t="s">
        <v>238</v>
      </c>
      <c r="F30" s="1" t="n">
        <v>10</v>
      </c>
      <c r="G30" s="1" t="n">
        <f aca="false">AVERAGE(F30:F31)</f>
        <v>7.78</v>
      </c>
      <c r="H30" s="1" t="n">
        <v>6</v>
      </c>
      <c r="I30" s="1" t="n">
        <f aca="false">ROUND(MAX(H30,G30),0)</f>
        <v>8</v>
      </c>
    </row>
    <row r="31" customFormat="false" ht="15" hidden="false" customHeight="false" outlineLevel="0" collapsed="false">
      <c r="C31" s="1" t="s">
        <v>111</v>
      </c>
      <c r="D31" s="1" t="s">
        <v>239</v>
      </c>
      <c r="E31" s="1" t="s">
        <v>240</v>
      </c>
      <c r="F31" s="1" t="n">
        <v>5.56</v>
      </c>
    </row>
    <row r="32" customFormat="false" ht="15" hidden="false" customHeight="false" outlineLevel="0" collapsed="false">
      <c r="A32" s="1" t="n">
        <v>12</v>
      </c>
      <c r="B32" s="2" t="s">
        <v>113</v>
      </c>
      <c r="C32" s="1" t="s">
        <v>113</v>
      </c>
      <c r="D32" s="1" t="s">
        <v>241</v>
      </c>
      <c r="E32" s="1" t="s">
        <v>242</v>
      </c>
      <c r="F32" s="1" t="n">
        <v>10</v>
      </c>
      <c r="I32" s="1" t="n">
        <v>10</v>
      </c>
    </row>
    <row r="33" customFormat="false" ht="15" hidden="false" customHeight="false" outlineLevel="0" collapsed="false">
      <c r="A33" s="1" t="n">
        <v>13</v>
      </c>
      <c r="B33" s="2" t="s">
        <v>115</v>
      </c>
      <c r="C33" s="1" t="s">
        <v>115</v>
      </c>
      <c r="D33" s="1" t="s">
        <v>243</v>
      </c>
      <c r="E33" s="1" t="s">
        <v>244</v>
      </c>
      <c r="F33" s="1" t="n">
        <v>2.22</v>
      </c>
      <c r="I33" s="1" t="n">
        <v>2</v>
      </c>
    </row>
    <row r="34" customFormat="false" ht="15" hidden="false" customHeight="false" outlineLevel="0" collapsed="false">
      <c r="A34" s="1" t="n">
        <v>14</v>
      </c>
      <c r="B34" s="2" t="s">
        <v>117</v>
      </c>
      <c r="C34" s="1" t="s">
        <v>117</v>
      </c>
      <c r="D34" s="1" t="s">
        <v>245</v>
      </c>
      <c r="E34" s="1" t="s">
        <v>246</v>
      </c>
      <c r="F34" s="1" t="n">
        <v>7.78</v>
      </c>
      <c r="I34" s="1" t="n">
        <v>8</v>
      </c>
    </row>
    <row r="35" customFormat="false" ht="15" hidden="false" customHeight="false" outlineLevel="0" collapsed="false">
      <c r="A35" s="1" t="n">
        <v>15</v>
      </c>
      <c r="B35" s="2" t="s">
        <v>119</v>
      </c>
      <c r="C35" s="1" t="s">
        <v>119</v>
      </c>
      <c r="D35" s="1" t="s">
        <v>247</v>
      </c>
      <c r="E35" s="1" t="s">
        <v>248</v>
      </c>
      <c r="F35" s="1" t="n">
        <v>10</v>
      </c>
      <c r="G35" s="1" t="n">
        <f aca="false">AVERAGE(F35:F39)</f>
        <v>6.444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119</v>
      </c>
      <c r="D36" s="1" t="s">
        <v>249</v>
      </c>
      <c r="E36" s="1" t="s">
        <v>250</v>
      </c>
      <c r="F36" s="1" t="n">
        <v>7.78</v>
      </c>
    </row>
    <row r="37" customFormat="false" ht="15" hidden="false" customHeight="false" outlineLevel="0" collapsed="false">
      <c r="C37" s="1" t="s">
        <v>119</v>
      </c>
      <c r="D37" s="1" t="s">
        <v>235</v>
      </c>
      <c r="E37" s="1" t="s">
        <v>251</v>
      </c>
      <c r="F37" s="1" t="n">
        <v>5.56</v>
      </c>
    </row>
    <row r="38" customFormat="false" ht="15" hidden="false" customHeight="false" outlineLevel="0" collapsed="false">
      <c r="C38" s="1" t="s">
        <v>119</v>
      </c>
      <c r="D38" s="1" t="s">
        <v>252</v>
      </c>
      <c r="E38" s="1" t="s">
        <v>253</v>
      </c>
      <c r="F38" s="1" t="n">
        <v>4.44</v>
      </c>
    </row>
    <row r="39" customFormat="false" ht="15" hidden="false" customHeight="false" outlineLevel="0" collapsed="false">
      <c r="C39" s="1" t="s">
        <v>119</v>
      </c>
      <c r="D39" s="1" t="s">
        <v>254</v>
      </c>
      <c r="E39" s="1" t="s">
        <v>255</v>
      </c>
      <c r="F39" s="1" t="n">
        <v>4.44</v>
      </c>
    </row>
    <row r="40" customFormat="false" ht="15" hidden="false" customHeight="false" outlineLevel="0" collapsed="false">
      <c r="A40" s="1" t="n">
        <v>16</v>
      </c>
      <c r="B40" s="2" t="s">
        <v>121</v>
      </c>
      <c r="F40" s="1" t="n">
        <v>1</v>
      </c>
      <c r="I40" s="1" t="n">
        <v>1</v>
      </c>
    </row>
    <row r="41" customFormat="false" ht="15" hidden="false" customHeight="false" outlineLevel="0" collapsed="false">
      <c r="A41" s="1" t="n">
        <v>17</v>
      </c>
      <c r="B41" s="2" t="s">
        <v>123</v>
      </c>
      <c r="C41" s="1" t="s">
        <v>123</v>
      </c>
      <c r="D41" s="1" t="s">
        <v>214</v>
      </c>
      <c r="E41" s="1" t="s">
        <v>256</v>
      </c>
      <c r="F41" s="1" t="n">
        <v>4.44</v>
      </c>
      <c r="I41" s="1" t="n">
        <v>4</v>
      </c>
    </row>
    <row r="42" customFormat="false" ht="15" hidden="false" customHeight="false" outlineLevel="0" collapsed="false">
      <c r="A42" s="1" t="n">
        <v>18</v>
      </c>
      <c r="B42" s="2" t="s">
        <v>125</v>
      </c>
      <c r="C42" s="1" t="s">
        <v>125</v>
      </c>
      <c r="D42" s="1" t="s">
        <v>257</v>
      </c>
      <c r="E42" s="1" t="s">
        <v>258</v>
      </c>
      <c r="F42" s="1" t="n">
        <v>10</v>
      </c>
      <c r="G42" s="1" t="n">
        <f aca="false">AVERAGE(F42:F47)</f>
        <v>5.73833333333333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125</v>
      </c>
      <c r="D43" s="1" t="s">
        <v>259</v>
      </c>
      <c r="E43" s="1" t="s">
        <v>260</v>
      </c>
      <c r="F43" s="1" t="n">
        <v>7.78</v>
      </c>
    </row>
    <row r="44" customFormat="false" ht="15" hidden="false" customHeight="false" outlineLevel="0" collapsed="false">
      <c r="C44" s="1" t="s">
        <v>125</v>
      </c>
      <c r="D44" s="1" t="s">
        <v>241</v>
      </c>
      <c r="E44" s="1" t="s">
        <v>261</v>
      </c>
      <c r="F44" s="1" t="n">
        <v>4.44</v>
      </c>
    </row>
    <row r="45" customFormat="false" ht="15" hidden="false" customHeight="false" outlineLevel="0" collapsed="false">
      <c r="C45" s="1" t="s">
        <v>125</v>
      </c>
      <c r="D45" s="1" t="s">
        <v>262</v>
      </c>
      <c r="E45" s="1" t="s">
        <v>263</v>
      </c>
      <c r="F45" s="1" t="n">
        <v>4.44</v>
      </c>
    </row>
    <row r="46" customFormat="false" ht="15" hidden="false" customHeight="false" outlineLevel="0" collapsed="false">
      <c r="C46" s="1" t="s">
        <v>125</v>
      </c>
      <c r="D46" s="1" t="s">
        <v>264</v>
      </c>
      <c r="E46" s="1" t="s">
        <v>265</v>
      </c>
      <c r="F46" s="1" t="n">
        <v>4.44</v>
      </c>
    </row>
    <row r="47" customFormat="false" ht="15" hidden="false" customHeight="false" outlineLevel="0" collapsed="false">
      <c r="C47" s="1" t="s">
        <v>125</v>
      </c>
      <c r="D47" s="1" t="s">
        <v>266</v>
      </c>
      <c r="E47" s="1" t="s">
        <v>267</v>
      </c>
      <c r="F47" s="1" t="n">
        <v>3.33</v>
      </c>
    </row>
    <row r="48" customFormat="false" ht="15" hidden="false" customHeight="false" outlineLevel="0" collapsed="false">
      <c r="A48" s="1" t="n">
        <v>19</v>
      </c>
      <c r="B48" s="2" t="s">
        <v>127</v>
      </c>
      <c r="C48" s="1" t="s">
        <v>127</v>
      </c>
      <c r="D48" s="1" t="s">
        <v>268</v>
      </c>
      <c r="E48" s="1" t="s">
        <v>269</v>
      </c>
      <c r="F48" s="1" t="n">
        <v>7.78</v>
      </c>
      <c r="G48" s="1" t="n">
        <f aca="false">AVERAGE(F48:F49)</f>
        <v>5.555</v>
      </c>
      <c r="H48" s="1" t="n">
        <v>3</v>
      </c>
      <c r="I48" s="1" t="n">
        <f aca="false">ROUND(MAX(H48,G48),0)</f>
        <v>6</v>
      </c>
    </row>
    <row r="49" customFormat="false" ht="15" hidden="false" customHeight="false" outlineLevel="0" collapsed="false">
      <c r="C49" s="1" t="s">
        <v>127</v>
      </c>
      <c r="D49" s="1" t="s">
        <v>270</v>
      </c>
      <c r="E49" s="1" t="s">
        <v>271</v>
      </c>
      <c r="F49" s="1" t="n">
        <v>3.33</v>
      </c>
    </row>
    <row r="50" customFormat="false" ht="15" hidden="false" customHeight="false" outlineLevel="0" collapsed="false">
      <c r="A50" s="1" t="n">
        <v>20</v>
      </c>
      <c r="B50" s="2" t="s">
        <v>87</v>
      </c>
      <c r="C50" s="1" t="s">
        <v>87</v>
      </c>
      <c r="D50" s="1" t="s">
        <v>272</v>
      </c>
      <c r="E50" s="1" t="s">
        <v>273</v>
      </c>
      <c r="F50" s="1" t="n">
        <v>10</v>
      </c>
      <c r="G50" s="1" t="n">
        <f aca="false">AVERAGE(F50:F53)</f>
        <v>6.665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87</v>
      </c>
      <c r="D51" s="1" t="s">
        <v>274</v>
      </c>
      <c r="E51" s="1" t="s">
        <v>275</v>
      </c>
      <c r="F51" s="1" t="n">
        <v>8.89</v>
      </c>
    </row>
    <row r="52" customFormat="false" ht="15" hidden="false" customHeight="false" outlineLevel="0" collapsed="false">
      <c r="C52" s="1" t="s">
        <v>87</v>
      </c>
      <c r="D52" s="1" t="s">
        <v>268</v>
      </c>
      <c r="E52" s="1" t="s">
        <v>276</v>
      </c>
      <c r="F52" s="1" t="n">
        <v>4.44</v>
      </c>
    </row>
    <row r="53" customFormat="false" ht="15" hidden="false" customHeight="false" outlineLevel="0" collapsed="false">
      <c r="C53" s="1" t="s">
        <v>87</v>
      </c>
      <c r="D53" s="1" t="s">
        <v>277</v>
      </c>
      <c r="E53" s="1" t="s">
        <v>278</v>
      </c>
      <c r="F53" s="1" t="n">
        <v>3.33</v>
      </c>
    </row>
    <row r="54" customFormat="false" ht="15" hidden="false" customHeight="false" outlineLevel="0" collapsed="false">
      <c r="A54" s="1" t="n">
        <v>21</v>
      </c>
      <c r="B54" s="2" t="s">
        <v>129</v>
      </c>
      <c r="C54" s="1" t="s">
        <v>129</v>
      </c>
      <c r="D54" s="1" t="s">
        <v>205</v>
      </c>
      <c r="E54" s="1" t="s">
        <v>279</v>
      </c>
      <c r="F54" s="1" t="n">
        <v>7.78</v>
      </c>
      <c r="G54" s="1" t="n">
        <f aca="false">AVERAGE(F54:F57)</f>
        <v>6.39</v>
      </c>
      <c r="H54" s="1" t="n">
        <v>2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129</v>
      </c>
      <c r="D55" s="1" t="s">
        <v>272</v>
      </c>
      <c r="E55" s="1" t="s">
        <v>280</v>
      </c>
      <c r="F55" s="1" t="n">
        <v>7.78</v>
      </c>
    </row>
    <row r="56" customFormat="false" ht="15" hidden="false" customHeight="false" outlineLevel="0" collapsed="false">
      <c r="C56" s="1" t="s">
        <v>129</v>
      </c>
      <c r="D56" s="1" t="s">
        <v>281</v>
      </c>
      <c r="E56" s="1" t="s">
        <v>282</v>
      </c>
      <c r="F56" s="1" t="n">
        <v>7.78</v>
      </c>
    </row>
    <row r="57" customFormat="false" ht="15" hidden="false" customHeight="false" outlineLevel="0" collapsed="false">
      <c r="C57" s="1" t="s">
        <v>129</v>
      </c>
      <c r="D57" s="1" t="s">
        <v>283</v>
      </c>
      <c r="E57" s="1" t="s">
        <v>284</v>
      </c>
      <c r="F57" s="1" t="n">
        <v>2.22</v>
      </c>
    </row>
    <row r="58" customFormat="false" ht="15" hidden="false" customHeight="false" outlineLevel="0" collapsed="false">
      <c r="A58" s="1" t="n">
        <v>22</v>
      </c>
      <c r="B58" s="2" t="s">
        <v>131</v>
      </c>
      <c r="F58" s="1" t="n">
        <v>1</v>
      </c>
      <c r="I58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2</v>
      </c>
      <c r="B1" s="1" t="s">
        <v>184</v>
      </c>
      <c r="C1" s="1" t="s">
        <v>61</v>
      </c>
      <c r="D1" s="1" t="s">
        <v>285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109</v>
      </c>
      <c r="B2" s="1" t="s">
        <v>286</v>
      </c>
      <c r="C2" s="1" t="s">
        <v>287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129</v>
      </c>
      <c r="B3" s="1" t="s">
        <v>288</v>
      </c>
      <c r="C3" s="1" t="s">
        <v>289</v>
      </c>
      <c r="D3" s="1" t="n">
        <v>9</v>
      </c>
      <c r="E3" s="1" t="n">
        <f aca="false">AVERAGE(D3:D6)</f>
        <v>7.5</v>
      </c>
      <c r="F3" s="1" t="n">
        <v>6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129</v>
      </c>
      <c r="B4" s="1" t="s">
        <v>290</v>
      </c>
      <c r="C4" s="1" t="s">
        <v>291</v>
      </c>
      <c r="D4" s="1" t="n">
        <v>9</v>
      </c>
    </row>
    <row r="5" customFormat="false" ht="15" hidden="false" customHeight="false" outlineLevel="0" collapsed="false">
      <c r="A5" s="1" t="s">
        <v>129</v>
      </c>
      <c r="B5" s="1" t="s">
        <v>292</v>
      </c>
      <c r="C5" s="1" t="s">
        <v>293</v>
      </c>
      <c r="D5" s="1" t="n">
        <v>6</v>
      </c>
    </row>
    <row r="6" customFormat="false" ht="15" hidden="false" customHeight="false" outlineLevel="0" collapsed="false">
      <c r="A6" s="1" t="s">
        <v>129</v>
      </c>
      <c r="B6" s="1" t="s">
        <v>294</v>
      </c>
      <c r="C6" s="1" t="s">
        <v>295</v>
      </c>
      <c r="D6" s="1" t="n">
        <v>6</v>
      </c>
    </row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184</v>
      </c>
      <c r="E1" s="1" t="s">
        <v>61</v>
      </c>
      <c r="F1" s="1" t="s">
        <v>134</v>
      </c>
      <c r="G1" s="1" t="s">
        <v>63</v>
      </c>
      <c r="H1" s="1" t="s">
        <v>64</v>
      </c>
      <c r="I1" s="1" t="s">
        <v>65</v>
      </c>
    </row>
    <row r="2" customFormat="false" ht="15" hidden="false" customHeight="false" outlineLevel="0" collapsed="false">
      <c r="A2" s="1" t="n">
        <v>1</v>
      </c>
      <c r="B2" s="2" t="s">
        <v>76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296</v>
      </c>
      <c r="E3" s="1" t="s">
        <v>297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100</v>
      </c>
      <c r="C4" s="1" t="s">
        <v>100</v>
      </c>
      <c r="D4" s="1" t="s">
        <v>298</v>
      </c>
      <c r="E4" s="1" t="s">
        <v>299</v>
      </c>
      <c r="F4" s="1" t="n">
        <v>10</v>
      </c>
      <c r="G4" s="1" t="n">
        <f aca="false">AVERAGE(F4:F9)</f>
        <v>6.66666666666667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100</v>
      </c>
      <c r="D5" s="1" t="s">
        <v>300</v>
      </c>
      <c r="E5" s="1" t="s">
        <v>301</v>
      </c>
      <c r="F5" s="1" t="n">
        <v>8</v>
      </c>
    </row>
    <row r="6" customFormat="false" ht="15" hidden="false" customHeight="false" outlineLevel="0" collapsed="false">
      <c r="C6" s="1" t="s">
        <v>100</v>
      </c>
      <c r="D6" s="1" t="s">
        <v>302</v>
      </c>
      <c r="E6" s="1" t="s">
        <v>152</v>
      </c>
      <c r="F6" s="1" t="n">
        <v>6</v>
      </c>
    </row>
    <row r="7" customFormat="false" ht="15" hidden="false" customHeight="false" outlineLevel="0" collapsed="false">
      <c r="C7" s="1" t="s">
        <v>100</v>
      </c>
      <c r="D7" s="1" t="s">
        <v>303</v>
      </c>
      <c r="E7" s="1" t="s">
        <v>304</v>
      </c>
      <c r="F7" s="1" t="n">
        <v>6</v>
      </c>
    </row>
    <row r="8" customFormat="false" ht="15" hidden="false" customHeight="false" outlineLevel="0" collapsed="false">
      <c r="C8" s="1" t="s">
        <v>100</v>
      </c>
      <c r="D8" s="1" t="s">
        <v>305</v>
      </c>
      <c r="E8" s="1" t="s">
        <v>263</v>
      </c>
      <c r="F8" s="1" t="n">
        <v>6</v>
      </c>
    </row>
    <row r="9" customFormat="false" ht="15" hidden="false" customHeight="false" outlineLevel="0" collapsed="false">
      <c r="C9" s="1" t="s">
        <v>100</v>
      </c>
      <c r="D9" s="1" t="s">
        <v>306</v>
      </c>
      <c r="E9" s="1" t="s">
        <v>307</v>
      </c>
      <c r="F9" s="1" t="n">
        <v>4</v>
      </c>
    </row>
    <row r="10" customFormat="false" ht="15" hidden="false" customHeight="false" outlineLevel="0" collapsed="false">
      <c r="A10" s="1" t="n">
        <v>4</v>
      </c>
      <c r="B10" s="2" t="s">
        <v>102</v>
      </c>
      <c r="C10" s="1" t="s">
        <v>102</v>
      </c>
      <c r="D10" s="1" t="s">
        <v>308</v>
      </c>
      <c r="E10" s="1" t="s">
        <v>309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5</v>
      </c>
      <c r="B11" s="2" t="s">
        <v>66</v>
      </c>
      <c r="C11" s="1" t="s">
        <v>66</v>
      </c>
      <c r="D11" s="1" t="s">
        <v>310</v>
      </c>
      <c r="E11" s="1" t="s">
        <v>311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2" t="s">
        <v>103</v>
      </c>
      <c r="C12" s="1" t="s">
        <v>103</v>
      </c>
      <c r="D12" s="1" t="s">
        <v>312</v>
      </c>
      <c r="E12" s="1" t="s">
        <v>313</v>
      </c>
      <c r="F12" s="1" t="n">
        <v>10</v>
      </c>
      <c r="G12" s="1" t="n">
        <f aca="false">AVERAGE(F12:F14)</f>
        <v>6.66666666666667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103</v>
      </c>
      <c r="D13" s="1" t="s">
        <v>314</v>
      </c>
      <c r="E13" s="1" t="s">
        <v>200</v>
      </c>
      <c r="F13" s="1" t="n">
        <v>8</v>
      </c>
    </row>
    <row r="14" customFormat="false" ht="15" hidden="false" customHeight="false" outlineLevel="0" collapsed="false">
      <c r="C14" s="1" t="s">
        <v>103</v>
      </c>
      <c r="D14" s="1" t="s">
        <v>315</v>
      </c>
      <c r="E14" s="1" t="s">
        <v>316</v>
      </c>
      <c r="F14" s="1" t="n">
        <v>2</v>
      </c>
    </row>
    <row r="15" customFormat="false" ht="15" hidden="false" customHeight="false" outlineLevel="0" collapsed="false">
      <c r="A15" s="1" t="n">
        <v>7</v>
      </c>
      <c r="B15" s="2" t="s">
        <v>105</v>
      </c>
      <c r="C15" s="1" t="s">
        <v>105</v>
      </c>
      <c r="D15" s="1" t="s">
        <v>317</v>
      </c>
      <c r="E15" s="1" t="s">
        <v>318</v>
      </c>
      <c r="F15" s="1" t="n">
        <v>8</v>
      </c>
      <c r="G15" s="1" t="n">
        <f aca="false">AVERAGE(F15:F16)</f>
        <v>7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105</v>
      </c>
      <c r="D16" s="1" t="s">
        <v>319</v>
      </c>
      <c r="E16" s="1" t="s">
        <v>320</v>
      </c>
      <c r="F16" s="1" t="n">
        <v>6</v>
      </c>
    </row>
    <row r="17" customFormat="false" ht="15" hidden="false" customHeight="false" outlineLevel="0" collapsed="false">
      <c r="A17" s="1" t="n">
        <v>8</v>
      </c>
      <c r="B17" s="2" t="s">
        <v>107</v>
      </c>
      <c r="C17" s="1" t="s">
        <v>107</v>
      </c>
      <c r="D17" s="1" t="s">
        <v>321</v>
      </c>
      <c r="E17" s="1" t="s">
        <v>322</v>
      </c>
      <c r="F17" s="1" t="n">
        <v>10</v>
      </c>
      <c r="I17" s="6" t="n">
        <v>10</v>
      </c>
    </row>
    <row r="18" customFormat="false" ht="15" hidden="false" customHeight="false" outlineLevel="0" collapsed="false">
      <c r="A18" s="1" t="n">
        <v>9</v>
      </c>
      <c r="B18" s="2" t="s">
        <v>84</v>
      </c>
      <c r="C18" s="1" t="s">
        <v>84</v>
      </c>
      <c r="D18" s="1" t="s">
        <v>323</v>
      </c>
      <c r="E18" s="1" t="s">
        <v>324</v>
      </c>
      <c r="F18" s="1" t="n">
        <v>10</v>
      </c>
      <c r="G18" s="1" t="n">
        <f aca="false">AVERAGE(F18:F24)</f>
        <v>6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84</v>
      </c>
      <c r="D19" s="1" t="s">
        <v>325</v>
      </c>
      <c r="E19" s="1" t="s">
        <v>326</v>
      </c>
      <c r="F19" s="1" t="n">
        <v>8</v>
      </c>
    </row>
    <row r="20" customFormat="false" ht="15" hidden="false" customHeight="false" outlineLevel="0" collapsed="false">
      <c r="C20" s="1" t="s">
        <v>84</v>
      </c>
      <c r="D20" s="1" t="s">
        <v>327</v>
      </c>
      <c r="E20" s="1" t="s">
        <v>328</v>
      </c>
      <c r="F20" s="1" t="n">
        <v>6</v>
      </c>
    </row>
    <row r="21" customFormat="false" ht="15" hidden="false" customHeight="false" outlineLevel="0" collapsed="false">
      <c r="C21" s="1" t="s">
        <v>84</v>
      </c>
      <c r="D21" s="1" t="s">
        <v>329</v>
      </c>
      <c r="E21" s="1" t="s">
        <v>330</v>
      </c>
      <c r="F21" s="1" t="n">
        <v>6</v>
      </c>
    </row>
    <row r="22" customFormat="false" ht="15" hidden="false" customHeight="false" outlineLevel="0" collapsed="false">
      <c r="C22" s="1" t="s">
        <v>84</v>
      </c>
      <c r="D22" s="1" t="s">
        <v>331</v>
      </c>
      <c r="E22" s="1" t="s">
        <v>332</v>
      </c>
      <c r="F22" s="1" t="n">
        <v>4</v>
      </c>
    </row>
    <row r="23" customFormat="false" ht="15" hidden="false" customHeight="false" outlineLevel="0" collapsed="false">
      <c r="C23" s="1" t="s">
        <v>84</v>
      </c>
      <c r="D23" s="1" t="s">
        <v>333</v>
      </c>
      <c r="E23" s="1" t="s">
        <v>334</v>
      </c>
      <c r="F23" s="1" t="n">
        <v>4</v>
      </c>
    </row>
    <row r="24" customFormat="false" ht="15" hidden="false" customHeight="false" outlineLevel="0" collapsed="false">
      <c r="C24" s="1" t="s">
        <v>84</v>
      </c>
      <c r="D24" s="1" t="s">
        <v>335</v>
      </c>
      <c r="E24" s="1" t="s">
        <v>336</v>
      </c>
      <c r="F24" s="1" t="n">
        <v>4</v>
      </c>
    </row>
    <row r="25" customFormat="false" ht="15" hidden="false" customHeight="false" outlineLevel="0" collapsed="false">
      <c r="A25" s="1" t="n">
        <v>10</v>
      </c>
      <c r="B25" s="2" t="s">
        <v>109</v>
      </c>
      <c r="C25" s="1" t="s">
        <v>109</v>
      </c>
      <c r="D25" s="1" t="s">
        <v>337</v>
      </c>
      <c r="E25" s="1" t="s">
        <v>338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11</v>
      </c>
      <c r="B26" s="2" t="s">
        <v>111</v>
      </c>
      <c r="C26" s="1" t="s">
        <v>111</v>
      </c>
      <c r="D26" s="1" t="s">
        <v>300</v>
      </c>
      <c r="E26" s="1" t="s">
        <v>339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12</v>
      </c>
      <c r="B27" s="2" t="s">
        <v>113</v>
      </c>
      <c r="C27" s="1" t="s">
        <v>113</v>
      </c>
      <c r="D27" s="1" t="s">
        <v>340</v>
      </c>
      <c r="E27" s="1" t="s">
        <v>341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13</v>
      </c>
      <c r="B28" s="2" t="s">
        <v>115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14</v>
      </c>
      <c r="B29" s="2" t="s">
        <v>117</v>
      </c>
      <c r="C29" s="1" t="s">
        <v>117</v>
      </c>
      <c r="D29" s="1" t="s">
        <v>342</v>
      </c>
      <c r="E29" s="1" t="s">
        <v>343</v>
      </c>
      <c r="F29" s="1" t="n">
        <v>6</v>
      </c>
      <c r="I29" s="1" t="n">
        <v>6</v>
      </c>
    </row>
    <row r="30" customFormat="false" ht="15" hidden="false" customHeight="false" outlineLevel="0" collapsed="false">
      <c r="A30" s="1" t="n">
        <v>15</v>
      </c>
      <c r="B30" s="2" t="s">
        <v>119</v>
      </c>
      <c r="C30" s="1" t="s">
        <v>119</v>
      </c>
      <c r="D30" s="1" t="s">
        <v>344</v>
      </c>
      <c r="E30" s="1" t="s">
        <v>345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16</v>
      </c>
      <c r="B31" s="2" t="s">
        <v>121</v>
      </c>
      <c r="C31" s="1" t="s">
        <v>125</v>
      </c>
      <c r="D31" s="1" t="s">
        <v>346</v>
      </c>
      <c r="E31" s="1" t="s">
        <v>347</v>
      </c>
      <c r="F31" s="1" t="n">
        <v>4</v>
      </c>
      <c r="I31" s="1" t="n">
        <v>4</v>
      </c>
    </row>
    <row r="32" customFormat="false" ht="15" hidden="false" customHeight="false" outlineLevel="0" collapsed="false">
      <c r="A32" s="1" t="n">
        <v>17</v>
      </c>
      <c r="B32" s="2" t="s">
        <v>123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18</v>
      </c>
      <c r="B33" s="2" t="s">
        <v>125</v>
      </c>
      <c r="C33" s="1" t="s">
        <v>125</v>
      </c>
      <c r="D33" s="1" t="s">
        <v>348</v>
      </c>
      <c r="E33" s="1" t="s">
        <v>349</v>
      </c>
      <c r="F33" s="1" t="n">
        <v>4</v>
      </c>
      <c r="I33" s="1" t="n">
        <v>4</v>
      </c>
    </row>
    <row r="34" customFormat="false" ht="15" hidden="false" customHeight="false" outlineLevel="0" collapsed="false">
      <c r="A34" s="1" t="n">
        <v>19</v>
      </c>
      <c r="B34" s="2" t="s">
        <v>127</v>
      </c>
      <c r="C34" s="1" t="s">
        <v>127</v>
      </c>
      <c r="D34" s="1" t="s">
        <v>350</v>
      </c>
      <c r="E34" s="1" t="s">
        <v>351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20</v>
      </c>
      <c r="B35" s="2" t="s">
        <v>87</v>
      </c>
      <c r="F35" s="1" t="n">
        <v>1</v>
      </c>
      <c r="I35" s="1" t="n">
        <v>1</v>
      </c>
    </row>
    <row r="36" customFormat="false" ht="15" hidden="false" customHeight="false" outlineLevel="0" collapsed="false">
      <c r="A36" s="1" t="n">
        <v>21</v>
      </c>
      <c r="B36" s="2" t="s">
        <v>129</v>
      </c>
      <c r="C36" s="1" t="s">
        <v>129</v>
      </c>
      <c r="D36" s="1" t="s">
        <v>352</v>
      </c>
      <c r="E36" s="1" t="s">
        <v>353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22</v>
      </c>
      <c r="B37" s="2" t="s">
        <v>131</v>
      </c>
      <c r="C37" s="1" t="s">
        <v>131</v>
      </c>
      <c r="D37" s="1" t="s">
        <v>354</v>
      </c>
      <c r="E37" s="1" t="s">
        <v>92</v>
      </c>
      <c r="F37" s="1" t="n">
        <v>8</v>
      </c>
      <c r="I37" s="1" t="n">
        <v>8</v>
      </c>
    </row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184</v>
      </c>
      <c r="C1" s="1" t="s">
        <v>61</v>
      </c>
      <c r="D1" s="1" t="s">
        <v>285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76</v>
      </c>
      <c r="B2" s="1" t="s">
        <v>355</v>
      </c>
      <c r="C2" s="1" t="s">
        <v>82</v>
      </c>
      <c r="D2" s="1" t="n">
        <v>7</v>
      </c>
      <c r="E2" s="1" t="n">
        <f aca="false">AVERAGE(D2:D3)</f>
        <v>6.3</v>
      </c>
      <c r="F2" s="1" t="n">
        <v>6</v>
      </c>
      <c r="G2" s="1" t="n">
        <f aca="false">ROUND(MAX(F2,E2),0)</f>
        <v>6</v>
      </c>
    </row>
    <row r="3" customFormat="false" ht="15" hidden="false" customHeight="false" outlineLevel="0" collapsed="false">
      <c r="A3" s="1" t="s">
        <v>76</v>
      </c>
      <c r="B3" s="1" t="s">
        <v>356</v>
      </c>
      <c r="C3" s="1" t="s">
        <v>357</v>
      </c>
      <c r="D3" s="1" t="n">
        <v>5.6</v>
      </c>
    </row>
    <row r="4" customFormat="false" ht="15" hidden="false" customHeight="false" outlineLevel="0" collapsed="false">
      <c r="A4" s="1" t="s">
        <v>66</v>
      </c>
      <c r="B4" s="1" t="s">
        <v>358</v>
      </c>
      <c r="C4" s="1" t="s">
        <v>359</v>
      </c>
      <c r="D4" s="1" t="n">
        <v>8</v>
      </c>
      <c r="E4" s="1" t="n">
        <f aca="false">AVERAGE(D4:D9)</f>
        <v>5.1</v>
      </c>
      <c r="F4" s="1" t="n">
        <v>7</v>
      </c>
      <c r="G4" s="1" t="n">
        <f aca="false">ROUND(MAX(F4,E4),0)</f>
        <v>7</v>
      </c>
    </row>
    <row r="5" customFormat="false" ht="15" hidden="false" customHeight="false" outlineLevel="0" collapsed="false">
      <c r="A5" s="1" t="s">
        <v>66</v>
      </c>
      <c r="B5" s="1" t="s">
        <v>360</v>
      </c>
      <c r="C5" s="1" t="s">
        <v>163</v>
      </c>
      <c r="D5" s="1" t="n">
        <v>7.2</v>
      </c>
    </row>
    <row r="6" customFormat="false" ht="15" hidden="false" customHeight="false" outlineLevel="0" collapsed="false">
      <c r="A6" s="1" t="s">
        <v>66</v>
      </c>
      <c r="B6" s="1" t="s">
        <v>361</v>
      </c>
      <c r="C6" s="1" t="s">
        <v>322</v>
      </c>
      <c r="D6" s="1" t="n">
        <v>6</v>
      </c>
    </row>
    <row r="7" customFormat="false" ht="15" hidden="false" customHeight="false" outlineLevel="0" collapsed="false">
      <c r="A7" s="1" t="s">
        <v>66</v>
      </c>
      <c r="B7" s="1" t="s">
        <v>362</v>
      </c>
      <c r="C7" s="1" t="s">
        <v>363</v>
      </c>
      <c r="D7" s="1" t="n">
        <v>4</v>
      </c>
    </row>
    <row r="8" customFormat="false" ht="15" hidden="false" customHeight="false" outlineLevel="0" collapsed="false">
      <c r="A8" s="1" t="s">
        <v>66</v>
      </c>
      <c r="B8" s="1" t="s">
        <v>364</v>
      </c>
      <c r="C8" s="1" t="s">
        <v>365</v>
      </c>
      <c r="D8" s="1" t="n">
        <v>3.6</v>
      </c>
    </row>
    <row r="9" customFormat="false" ht="15" hidden="false" customHeight="false" outlineLevel="0" collapsed="false">
      <c r="A9" s="1" t="s">
        <v>66</v>
      </c>
      <c r="B9" s="1" t="s">
        <v>366</v>
      </c>
      <c r="C9" s="1" t="s">
        <v>367</v>
      </c>
      <c r="D9" s="1" t="n">
        <v>1.8</v>
      </c>
    </row>
    <row r="10" customFormat="false" ht="15" hidden="false" customHeight="false" outlineLevel="0" collapsed="false">
      <c r="A10" s="1" t="s">
        <v>109</v>
      </c>
      <c r="B10" s="1" t="s">
        <v>368</v>
      </c>
      <c r="C10" s="1" t="s">
        <v>147</v>
      </c>
      <c r="D10" s="1" t="n">
        <v>6</v>
      </c>
      <c r="E10" s="1" t="n">
        <f aca="false">AVERAGE(D10:D11)</f>
        <v>6</v>
      </c>
      <c r="F10" s="1" t="n">
        <v>6</v>
      </c>
      <c r="G10" s="1" t="n">
        <f aca="false">ROUND(MAX(F10,E10),0)</f>
        <v>6</v>
      </c>
    </row>
    <row r="11" customFormat="false" ht="15" hidden="false" customHeight="false" outlineLevel="0" collapsed="false">
      <c r="A11" s="1" t="s">
        <v>109</v>
      </c>
      <c r="B11" s="1" t="s">
        <v>369</v>
      </c>
      <c r="C11" s="1" t="s">
        <v>370</v>
      </c>
      <c r="D11" s="1" t="n">
        <v>6</v>
      </c>
    </row>
    <row r="12" customFormat="false" ht="15" hidden="false" customHeight="false" outlineLevel="0" collapsed="false">
      <c r="A12" s="1" t="s">
        <v>123</v>
      </c>
      <c r="B12" s="1" t="s">
        <v>371</v>
      </c>
      <c r="C12" s="1" t="s">
        <v>151</v>
      </c>
      <c r="D12" s="1" t="n">
        <v>7</v>
      </c>
      <c r="E12" s="1" t="n">
        <f aca="false">AVERAGE(D12:D15)</f>
        <v>4.9</v>
      </c>
      <c r="F12" s="1" t="n">
        <v>6</v>
      </c>
      <c r="G12" s="1" t="n">
        <f aca="false">ROUND(MAX(F12,E12),0)</f>
        <v>6</v>
      </c>
    </row>
    <row r="13" customFormat="false" ht="15" hidden="false" customHeight="false" outlineLevel="0" collapsed="false">
      <c r="A13" s="1" t="s">
        <v>123</v>
      </c>
      <c r="B13" s="1" t="s">
        <v>372</v>
      </c>
      <c r="C13" s="1" t="s">
        <v>265</v>
      </c>
      <c r="D13" s="1" t="n">
        <v>5.6</v>
      </c>
    </row>
    <row r="14" customFormat="false" ht="15" hidden="false" customHeight="false" outlineLevel="0" collapsed="false">
      <c r="A14" s="1" t="s">
        <v>123</v>
      </c>
      <c r="B14" s="1" t="s">
        <v>373</v>
      </c>
      <c r="C14" s="1" t="s">
        <v>374</v>
      </c>
      <c r="D14" s="1" t="n">
        <v>4.2</v>
      </c>
    </row>
    <row r="15" customFormat="false" ht="15" hidden="false" customHeight="false" outlineLevel="0" collapsed="false">
      <c r="A15" s="1" t="s">
        <v>123</v>
      </c>
      <c r="B15" s="1" t="s">
        <v>355</v>
      </c>
      <c r="C15" s="1" t="s">
        <v>375</v>
      </c>
      <c r="D15" s="1" t="n">
        <v>2.8</v>
      </c>
    </row>
    <row r="16" customFormat="false" ht="15" hidden="false" customHeight="false" outlineLevel="0" collapsed="false">
      <c r="A16" s="1" t="s">
        <v>87</v>
      </c>
      <c r="B16" s="1" t="s">
        <v>376</v>
      </c>
      <c r="C16" s="1" t="s">
        <v>377</v>
      </c>
      <c r="D16" s="1" t="n">
        <v>6</v>
      </c>
      <c r="E16" s="1" t="n">
        <f aca="false">AVERAGE(D16:D20)</f>
        <v>3.2</v>
      </c>
      <c r="F16" s="1" t="n">
        <v>4</v>
      </c>
      <c r="G16" s="1" t="n">
        <f aca="false">ROUND(MAX(F16,E16),0)</f>
        <v>4</v>
      </c>
    </row>
    <row r="17" customFormat="false" ht="15" hidden="false" customHeight="false" outlineLevel="0" collapsed="false">
      <c r="A17" s="1" t="s">
        <v>87</v>
      </c>
      <c r="B17" s="1" t="s">
        <v>378</v>
      </c>
      <c r="C17" s="1" t="s">
        <v>379</v>
      </c>
      <c r="D17" s="1" t="n">
        <v>4</v>
      </c>
    </row>
    <row r="18" customFormat="false" ht="15" hidden="false" customHeight="false" outlineLevel="0" collapsed="false">
      <c r="A18" s="1" t="s">
        <v>87</v>
      </c>
      <c r="B18" s="1" t="s">
        <v>380</v>
      </c>
      <c r="C18" s="1" t="s">
        <v>381</v>
      </c>
      <c r="D18" s="1" t="n">
        <v>2</v>
      </c>
    </row>
    <row r="19" customFormat="false" ht="15" hidden="false" customHeight="false" outlineLevel="0" collapsed="false">
      <c r="A19" s="1" t="s">
        <v>87</v>
      </c>
      <c r="B19" s="1" t="s">
        <v>382</v>
      </c>
      <c r="C19" s="1" t="s">
        <v>383</v>
      </c>
      <c r="D19" s="1" t="n">
        <v>2</v>
      </c>
    </row>
    <row r="20" customFormat="false" ht="15" hidden="false" customHeight="false" outlineLevel="0" collapsed="false">
      <c r="A20" s="1" t="s">
        <v>87</v>
      </c>
      <c r="B20" s="1" t="s">
        <v>384</v>
      </c>
      <c r="C20" s="1" t="s">
        <v>385</v>
      </c>
      <c r="D20" s="1" t="n">
        <v>2</v>
      </c>
    </row>
    <row r="21" customFormat="false" ht="15" hidden="false" customHeight="false" outlineLevel="0" collapsed="false">
      <c r="A21" s="1" t="s">
        <v>131</v>
      </c>
      <c r="B21" s="1" t="s">
        <v>386</v>
      </c>
      <c r="C21" s="1" t="s">
        <v>387</v>
      </c>
      <c r="D21" s="1" t="n">
        <v>5.4</v>
      </c>
      <c r="E21" s="1" t="n">
        <f aca="false">AVERAGE(D21:D24)</f>
        <v>5.4</v>
      </c>
      <c r="F21" s="1" t="n">
        <v>5</v>
      </c>
      <c r="G21" s="1" t="n">
        <f aca="false">ROUND(MAX(F21,E21),0)</f>
        <v>5</v>
      </c>
    </row>
    <row r="22" customFormat="false" ht="15" hidden="false" customHeight="false" outlineLevel="0" collapsed="false">
      <c r="A22" s="1" t="s">
        <v>131</v>
      </c>
      <c r="B22" s="1" t="s">
        <v>388</v>
      </c>
      <c r="C22" s="1" t="s">
        <v>389</v>
      </c>
      <c r="D22" s="1" t="n">
        <v>5.4</v>
      </c>
    </row>
    <row r="23" customFormat="false" ht="15" hidden="false" customHeight="false" outlineLevel="0" collapsed="false">
      <c r="A23" s="1" t="s">
        <v>131</v>
      </c>
      <c r="B23" s="1" t="s">
        <v>390</v>
      </c>
      <c r="C23" s="1" t="s">
        <v>391</v>
      </c>
      <c r="D23" s="1" t="n">
        <v>5.4</v>
      </c>
    </row>
    <row r="24" customFormat="false" ht="15" hidden="false" customHeight="false" outlineLevel="0" collapsed="false">
      <c r="A24" s="1" t="s">
        <v>131</v>
      </c>
      <c r="B24" s="1" t="s">
        <v>392</v>
      </c>
      <c r="C24" s="1" t="s">
        <v>393</v>
      </c>
      <c r="D24" s="1" t="n">
        <v>5.4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184</v>
      </c>
      <c r="E1" s="1" t="s">
        <v>61</v>
      </c>
      <c r="F1" s="1" t="s">
        <v>134</v>
      </c>
      <c r="G1" s="1" t="s">
        <v>63</v>
      </c>
      <c r="H1" s="1" t="s">
        <v>64</v>
      </c>
      <c r="I1" s="1" t="s">
        <v>65</v>
      </c>
    </row>
    <row r="2" customFormat="false" ht="15" hidden="false" customHeight="false" outlineLevel="0" collapsed="false">
      <c r="A2" s="1" t="n">
        <v>1</v>
      </c>
      <c r="B2" s="2" t="s">
        <v>76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394</v>
      </c>
      <c r="E3" s="1" t="s">
        <v>395</v>
      </c>
      <c r="F3" s="1" t="n">
        <v>10</v>
      </c>
      <c r="G3" s="1" t="n">
        <f aca="false">AVERAGE(F3:F9)</f>
        <v>6</v>
      </c>
      <c r="H3" s="1" t="n">
        <v>8</v>
      </c>
      <c r="I3" s="1" t="n">
        <f aca="false">ROUND(MAX(H3,G3),0)</f>
        <v>8</v>
      </c>
    </row>
    <row r="4" customFormat="false" ht="15" hidden="false" customHeight="false" outlineLevel="0" collapsed="false">
      <c r="C4" s="1" t="s">
        <v>98</v>
      </c>
      <c r="D4" s="1" t="s">
        <v>396</v>
      </c>
      <c r="E4" s="1" t="s">
        <v>397</v>
      </c>
      <c r="F4" s="1" t="n">
        <v>8</v>
      </c>
    </row>
    <row r="5" customFormat="false" ht="15" hidden="false" customHeight="false" outlineLevel="0" collapsed="false">
      <c r="C5" s="1" t="s">
        <v>98</v>
      </c>
      <c r="D5" s="1" t="s">
        <v>398</v>
      </c>
      <c r="E5" s="1" t="s">
        <v>399</v>
      </c>
      <c r="F5" s="1" t="n">
        <v>6</v>
      </c>
    </row>
    <row r="6" customFormat="false" ht="15" hidden="false" customHeight="false" outlineLevel="0" collapsed="false">
      <c r="C6" s="1" t="s">
        <v>98</v>
      </c>
      <c r="D6" s="1" t="s">
        <v>400</v>
      </c>
      <c r="E6" s="1" t="s">
        <v>401</v>
      </c>
      <c r="F6" s="1" t="n">
        <v>6</v>
      </c>
    </row>
    <row r="7" customFormat="false" ht="15" hidden="false" customHeight="false" outlineLevel="0" collapsed="false">
      <c r="C7" s="1" t="s">
        <v>98</v>
      </c>
      <c r="D7" s="1" t="s">
        <v>402</v>
      </c>
      <c r="E7" s="1" t="s">
        <v>403</v>
      </c>
      <c r="F7" s="1" t="n">
        <v>4</v>
      </c>
    </row>
    <row r="8" customFormat="false" ht="15" hidden="false" customHeight="false" outlineLevel="0" collapsed="false">
      <c r="C8" s="1" t="s">
        <v>98</v>
      </c>
      <c r="D8" s="1" t="s">
        <v>404</v>
      </c>
      <c r="E8" s="1" t="s">
        <v>405</v>
      </c>
      <c r="F8" s="1" t="n">
        <v>4</v>
      </c>
    </row>
    <row r="9" customFormat="false" ht="15" hidden="false" customHeight="false" outlineLevel="0" collapsed="false">
      <c r="A9" s="1" t="n">
        <v>3</v>
      </c>
      <c r="B9" s="2" t="s">
        <v>100</v>
      </c>
      <c r="C9" s="1" t="s">
        <v>100</v>
      </c>
      <c r="D9" s="1" t="s">
        <v>406</v>
      </c>
      <c r="E9" s="1" t="s">
        <v>407</v>
      </c>
      <c r="F9" s="1" t="n">
        <v>4</v>
      </c>
      <c r="I9" s="6" t="n">
        <v>4</v>
      </c>
    </row>
    <row r="10" customFormat="false" ht="15" hidden="false" customHeight="false" outlineLevel="0" collapsed="false">
      <c r="A10" s="1" t="n">
        <v>4</v>
      </c>
      <c r="B10" s="2" t="s">
        <v>102</v>
      </c>
      <c r="C10" s="1" t="s">
        <v>102</v>
      </c>
      <c r="D10" s="1" t="s">
        <v>408</v>
      </c>
      <c r="E10" s="1" t="s">
        <v>409</v>
      </c>
      <c r="F10" s="1" t="n">
        <v>10</v>
      </c>
      <c r="G10" s="1" t="n">
        <f aca="false">AVERAGE(F10:F21)</f>
        <v>5.33333333333333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102</v>
      </c>
      <c r="D11" s="1" t="s">
        <v>410</v>
      </c>
      <c r="E11" s="1" t="s">
        <v>411</v>
      </c>
      <c r="F11" s="1" t="n">
        <v>8</v>
      </c>
    </row>
    <row r="12" customFormat="false" ht="15" hidden="false" customHeight="false" outlineLevel="0" collapsed="false">
      <c r="C12" s="1" t="s">
        <v>102</v>
      </c>
      <c r="D12" s="1" t="s">
        <v>412</v>
      </c>
      <c r="E12" s="1" t="s">
        <v>413</v>
      </c>
      <c r="F12" s="1" t="n">
        <v>6</v>
      </c>
    </row>
    <row r="13" customFormat="false" ht="15" hidden="false" customHeight="false" outlineLevel="0" collapsed="false">
      <c r="C13" s="1" t="s">
        <v>102</v>
      </c>
      <c r="D13" s="1" t="s">
        <v>414</v>
      </c>
      <c r="E13" s="1" t="s">
        <v>415</v>
      </c>
      <c r="F13" s="1" t="n">
        <v>6</v>
      </c>
    </row>
    <row r="14" customFormat="false" ht="15" hidden="false" customHeight="false" outlineLevel="0" collapsed="false">
      <c r="C14" s="1" t="s">
        <v>102</v>
      </c>
      <c r="D14" s="1" t="s">
        <v>416</v>
      </c>
      <c r="E14" s="1" t="s">
        <v>417</v>
      </c>
      <c r="F14" s="1" t="n">
        <v>6</v>
      </c>
    </row>
    <row r="15" customFormat="false" ht="15" hidden="false" customHeight="false" outlineLevel="0" collapsed="false">
      <c r="C15" s="1" t="s">
        <v>102</v>
      </c>
      <c r="D15" s="1" t="s">
        <v>418</v>
      </c>
      <c r="E15" s="1" t="s">
        <v>419</v>
      </c>
      <c r="F15" s="1" t="n">
        <v>6</v>
      </c>
    </row>
    <row r="16" customFormat="false" ht="15" hidden="false" customHeight="false" outlineLevel="0" collapsed="false">
      <c r="C16" s="1" t="s">
        <v>102</v>
      </c>
      <c r="D16" s="1" t="s">
        <v>420</v>
      </c>
      <c r="E16" s="1" t="s">
        <v>421</v>
      </c>
      <c r="F16" s="1" t="n">
        <v>6</v>
      </c>
    </row>
    <row r="17" customFormat="false" ht="15" hidden="false" customHeight="false" outlineLevel="0" collapsed="false">
      <c r="C17" s="1" t="s">
        <v>102</v>
      </c>
      <c r="D17" s="1" t="s">
        <v>422</v>
      </c>
      <c r="E17" s="1" t="s">
        <v>423</v>
      </c>
      <c r="F17" s="1" t="n">
        <v>4</v>
      </c>
    </row>
    <row r="18" customFormat="false" ht="15" hidden="false" customHeight="false" outlineLevel="0" collapsed="false">
      <c r="C18" s="1" t="s">
        <v>102</v>
      </c>
      <c r="D18" s="1" t="s">
        <v>424</v>
      </c>
      <c r="E18" s="1" t="s">
        <v>425</v>
      </c>
      <c r="F18" s="1" t="n">
        <v>4</v>
      </c>
    </row>
    <row r="19" customFormat="false" ht="15" hidden="false" customHeight="false" outlineLevel="0" collapsed="false">
      <c r="C19" s="1" t="s">
        <v>102</v>
      </c>
      <c r="D19" s="1" t="s">
        <v>426</v>
      </c>
      <c r="E19" s="1" t="s">
        <v>427</v>
      </c>
      <c r="F19" s="1" t="n">
        <v>4</v>
      </c>
    </row>
    <row r="20" customFormat="false" ht="15" hidden="false" customHeight="false" outlineLevel="0" collapsed="false">
      <c r="C20" s="1" t="s">
        <v>102</v>
      </c>
      <c r="D20" s="1" t="s">
        <v>428</v>
      </c>
      <c r="E20" s="1" t="s">
        <v>429</v>
      </c>
      <c r="F20" s="1" t="n">
        <v>2</v>
      </c>
    </row>
    <row r="21" customFormat="false" ht="15" hidden="false" customHeight="false" outlineLevel="0" collapsed="false">
      <c r="C21" s="1" t="s">
        <v>102</v>
      </c>
      <c r="D21" s="1" t="s">
        <v>430</v>
      </c>
      <c r="E21" s="1" t="s">
        <v>431</v>
      </c>
      <c r="F21" s="1" t="n">
        <v>2</v>
      </c>
    </row>
    <row r="22" customFormat="false" ht="15" hidden="false" customHeight="false" outlineLevel="0" collapsed="false">
      <c r="A22" s="1" t="n">
        <v>5</v>
      </c>
      <c r="B22" s="2" t="s">
        <v>66</v>
      </c>
      <c r="C22" s="1" t="s">
        <v>66</v>
      </c>
      <c r="D22" s="1" t="s">
        <v>432</v>
      </c>
      <c r="E22" s="1" t="s">
        <v>433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6</v>
      </c>
      <c r="B23" s="2" t="s">
        <v>103</v>
      </c>
      <c r="C23" s="1" t="s">
        <v>103</v>
      </c>
      <c r="D23" s="1" t="s">
        <v>434</v>
      </c>
      <c r="E23" s="1" t="s">
        <v>435</v>
      </c>
      <c r="F23" s="1" t="n">
        <v>6</v>
      </c>
      <c r="G23" s="1" t="n">
        <f aca="false">AVERAGE(F23:F27)</f>
        <v>3.6</v>
      </c>
      <c r="H23" s="1" t="n">
        <v>4</v>
      </c>
      <c r="I23" s="1" t="n">
        <f aca="false">ROUND(MAX(H23,G23),0)</f>
        <v>4</v>
      </c>
    </row>
    <row r="24" customFormat="false" ht="15" hidden="false" customHeight="false" outlineLevel="0" collapsed="false">
      <c r="C24" s="1" t="s">
        <v>103</v>
      </c>
      <c r="D24" s="1" t="s">
        <v>436</v>
      </c>
      <c r="E24" s="1" t="s">
        <v>437</v>
      </c>
      <c r="F24" s="1" t="n">
        <v>4</v>
      </c>
    </row>
    <row r="25" customFormat="false" ht="15" hidden="false" customHeight="false" outlineLevel="0" collapsed="false">
      <c r="C25" s="1" t="s">
        <v>103</v>
      </c>
      <c r="D25" s="1" t="s">
        <v>438</v>
      </c>
      <c r="E25" s="1" t="s">
        <v>83</v>
      </c>
      <c r="F25" s="1" t="n">
        <v>4</v>
      </c>
    </row>
    <row r="26" customFormat="false" ht="15" hidden="false" customHeight="false" outlineLevel="0" collapsed="false">
      <c r="C26" s="1" t="s">
        <v>103</v>
      </c>
      <c r="D26" s="1" t="s">
        <v>439</v>
      </c>
      <c r="E26" s="1" t="s">
        <v>440</v>
      </c>
      <c r="F26" s="1" t="n">
        <v>2</v>
      </c>
    </row>
    <row r="27" customFormat="false" ht="15" hidden="false" customHeight="false" outlineLevel="0" collapsed="false">
      <c r="C27" s="1" t="s">
        <v>103</v>
      </c>
      <c r="D27" s="1" t="s">
        <v>441</v>
      </c>
      <c r="E27" s="1" t="s">
        <v>442</v>
      </c>
      <c r="F27" s="1" t="n">
        <v>2</v>
      </c>
    </row>
    <row r="28" customFormat="false" ht="15" hidden="false" customHeight="false" outlineLevel="0" collapsed="false">
      <c r="A28" s="1" t="n">
        <v>7</v>
      </c>
      <c r="B28" s="2" t="s">
        <v>105</v>
      </c>
      <c r="C28" s="1" t="s">
        <v>105</v>
      </c>
      <c r="D28" s="1" t="s">
        <v>443</v>
      </c>
      <c r="E28" s="1" t="s">
        <v>444</v>
      </c>
      <c r="F28" s="1" t="n">
        <v>8</v>
      </c>
      <c r="G28" s="1" t="n">
        <f aca="false">AVERAGE(F28:F29)</f>
        <v>6</v>
      </c>
      <c r="H28" s="1" t="n">
        <v>4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105</v>
      </c>
      <c r="D29" s="1" t="s">
        <v>445</v>
      </c>
      <c r="E29" s="1" t="s">
        <v>446</v>
      </c>
      <c r="F29" s="1" t="n">
        <v>4</v>
      </c>
    </row>
    <row r="30" customFormat="false" ht="15" hidden="false" customHeight="false" outlineLevel="0" collapsed="false">
      <c r="A30" s="1" t="n">
        <v>8</v>
      </c>
      <c r="B30" s="2" t="s">
        <v>107</v>
      </c>
      <c r="C30" s="1" t="s">
        <v>107</v>
      </c>
      <c r="D30" s="1" t="s">
        <v>447</v>
      </c>
      <c r="E30" s="1" t="s">
        <v>448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9</v>
      </c>
      <c r="B31" s="2" t="s">
        <v>84</v>
      </c>
      <c r="C31" s="1" t="s">
        <v>84</v>
      </c>
      <c r="D31" s="1" t="s">
        <v>449</v>
      </c>
      <c r="E31" s="1" t="s">
        <v>450</v>
      </c>
      <c r="F31" s="1" t="n">
        <v>4</v>
      </c>
      <c r="G31" s="1" t="n">
        <f aca="false">AVERAGE(F31:F35)</f>
        <v>2.4</v>
      </c>
      <c r="H31" s="1" t="n">
        <v>2</v>
      </c>
      <c r="I31" s="1" t="n">
        <f aca="false">ROUND(MAX(H31,G31),0)</f>
        <v>2</v>
      </c>
    </row>
    <row r="32" customFormat="false" ht="15" hidden="false" customHeight="false" outlineLevel="0" collapsed="false">
      <c r="C32" s="1" t="s">
        <v>84</v>
      </c>
      <c r="D32" s="1" t="s">
        <v>451</v>
      </c>
      <c r="E32" s="1" t="s">
        <v>452</v>
      </c>
      <c r="F32" s="1" t="n">
        <v>2</v>
      </c>
    </row>
    <row r="33" customFormat="false" ht="15" hidden="false" customHeight="false" outlineLevel="0" collapsed="false">
      <c r="C33" s="1" t="s">
        <v>84</v>
      </c>
      <c r="D33" s="1" t="s">
        <v>453</v>
      </c>
      <c r="E33" s="1" t="s">
        <v>454</v>
      </c>
      <c r="F33" s="1" t="n">
        <v>2</v>
      </c>
    </row>
    <row r="34" customFormat="false" ht="15" hidden="false" customHeight="false" outlineLevel="0" collapsed="false">
      <c r="C34" s="1" t="s">
        <v>84</v>
      </c>
      <c r="D34" s="1" t="s">
        <v>455</v>
      </c>
      <c r="E34" s="1" t="s">
        <v>456</v>
      </c>
      <c r="F34" s="1" t="n">
        <v>2</v>
      </c>
    </row>
    <row r="35" customFormat="false" ht="15" hidden="false" customHeight="false" outlineLevel="0" collapsed="false">
      <c r="C35" s="1" t="s">
        <v>84</v>
      </c>
      <c r="D35" s="1" t="s">
        <v>457</v>
      </c>
      <c r="E35" s="1" t="s">
        <v>458</v>
      </c>
      <c r="F35" s="1" t="n">
        <v>2</v>
      </c>
    </row>
    <row r="36" customFormat="false" ht="15" hidden="false" customHeight="false" outlineLevel="0" collapsed="false">
      <c r="A36" s="1" t="n">
        <v>10</v>
      </c>
      <c r="B36" s="2" t="s">
        <v>109</v>
      </c>
      <c r="C36" s="1" t="s">
        <v>109</v>
      </c>
      <c r="D36" s="1" t="s">
        <v>459</v>
      </c>
      <c r="E36" s="1" t="s">
        <v>460</v>
      </c>
      <c r="F36" s="1" t="n">
        <v>4</v>
      </c>
      <c r="G36" s="1" t="n">
        <f aca="false">AVERAGE(F36:F39)</f>
        <v>2.5</v>
      </c>
      <c r="H36" s="1" t="n">
        <v>2</v>
      </c>
      <c r="I36" s="1" t="n">
        <f aca="false">ROUND(MAX(H36,G36),0)</f>
        <v>3</v>
      </c>
    </row>
    <row r="37" customFormat="false" ht="15" hidden="false" customHeight="false" outlineLevel="0" collapsed="false">
      <c r="C37" s="1" t="s">
        <v>109</v>
      </c>
      <c r="D37" s="1" t="s">
        <v>461</v>
      </c>
      <c r="E37" s="1" t="s">
        <v>462</v>
      </c>
      <c r="F37" s="1" t="n">
        <v>2</v>
      </c>
    </row>
    <row r="38" customFormat="false" ht="15" hidden="false" customHeight="false" outlineLevel="0" collapsed="false">
      <c r="C38" s="1" t="s">
        <v>109</v>
      </c>
      <c r="D38" s="1" t="s">
        <v>463</v>
      </c>
      <c r="E38" s="1" t="s">
        <v>464</v>
      </c>
      <c r="F38" s="1" t="n">
        <v>2</v>
      </c>
    </row>
    <row r="39" customFormat="false" ht="15" hidden="false" customHeight="false" outlineLevel="0" collapsed="false">
      <c r="C39" s="1" t="s">
        <v>109</v>
      </c>
      <c r="D39" s="1" t="s">
        <v>465</v>
      </c>
      <c r="E39" s="1" t="s">
        <v>466</v>
      </c>
      <c r="F39" s="1" t="n">
        <v>2</v>
      </c>
    </row>
    <row r="40" customFormat="false" ht="15" hidden="false" customHeight="false" outlineLevel="0" collapsed="false">
      <c r="A40" s="1" t="n">
        <v>11</v>
      </c>
      <c r="B40" s="2" t="s">
        <v>111</v>
      </c>
      <c r="C40" s="1" t="s">
        <v>111</v>
      </c>
      <c r="D40" s="1" t="s">
        <v>467</v>
      </c>
      <c r="E40" s="1" t="s">
        <v>468</v>
      </c>
      <c r="F40" s="1" t="n">
        <v>6</v>
      </c>
      <c r="I40" s="1" t="n">
        <v>6</v>
      </c>
    </row>
    <row r="41" customFormat="false" ht="15" hidden="false" customHeight="false" outlineLevel="0" collapsed="false">
      <c r="A41" s="1" t="n">
        <v>12</v>
      </c>
      <c r="B41" s="2" t="s">
        <v>113</v>
      </c>
      <c r="C41" s="1" t="s">
        <v>113</v>
      </c>
      <c r="D41" s="1" t="s">
        <v>469</v>
      </c>
      <c r="E41" s="1" t="s">
        <v>470</v>
      </c>
      <c r="F41" s="1" t="n">
        <v>6</v>
      </c>
      <c r="G41" s="1" t="n">
        <f aca="false">AVERAGE(F41:F42)</f>
        <v>6</v>
      </c>
      <c r="H41" s="1" t="n">
        <v>6</v>
      </c>
      <c r="I41" s="1" t="n">
        <f aca="false">ROUND(MAX(H41,G41),0)</f>
        <v>6</v>
      </c>
    </row>
    <row r="42" customFormat="false" ht="15" hidden="false" customHeight="false" outlineLevel="0" collapsed="false">
      <c r="C42" s="1" t="s">
        <v>113</v>
      </c>
      <c r="D42" s="1" t="s">
        <v>471</v>
      </c>
      <c r="E42" s="1" t="s">
        <v>472</v>
      </c>
      <c r="F42" s="1" t="n">
        <v>6</v>
      </c>
    </row>
    <row r="43" customFormat="false" ht="15" hidden="false" customHeight="false" outlineLevel="0" collapsed="false">
      <c r="A43" s="1" t="n">
        <v>13</v>
      </c>
      <c r="B43" s="2" t="s">
        <v>115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14</v>
      </c>
      <c r="B44" s="2" t="s">
        <v>117</v>
      </c>
      <c r="C44" s="1" t="s">
        <v>117</v>
      </c>
      <c r="D44" s="1" t="s">
        <v>473</v>
      </c>
      <c r="E44" s="1" t="s">
        <v>474</v>
      </c>
      <c r="F44" s="1" t="n">
        <v>6</v>
      </c>
      <c r="I44" s="1" t="n">
        <v>6</v>
      </c>
    </row>
    <row r="45" customFormat="false" ht="15" hidden="false" customHeight="false" outlineLevel="0" collapsed="false">
      <c r="A45" s="1" t="n">
        <v>15</v>
      </c>
      <c r="B45" s="2" t="s">
        <v>119</v>
      </c>
      <c r="C45" s="1" t="s">
        <v>119</v>
      </c>
      <c r="D45" s="1" t="s">
        <v>475</v>
      </c>
      <c r="E45" s="1" t="s">
        <v>476</v>
      </c>
      <c r="F45" s="1" t="n">
        <v>8</v>
      </c>
      <c r="I45" s="1" t="n">
        <v>8</v>
      </c>
    </row>
    <row r="46" customFormat="false" ht="15" hidden="false" customHeight="false" outlineLevel="0" collapsed="false">
      <c r="A46" s="1" t="n">
        <v>16</v>
      </c>
      <c r="B46" s="2" t="s">
        <v>121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17</v>
      </c>
      <c r="B47" s="2" t="s">
        <v>123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18</v>
      </c>
      <c r="B48" s="2" t="s">
        <v>125</v>
      </c>
      <c r="F48" s="1" t="n">
        <v>1</v>
      </c>
      <c r="I48" s="1" t="n">
        <v>1</v>
      </c>
    </row>
    <row r="49" customFormat="false" ht="15" hidden="false" customHeight="false" outlineLevel="0" collapsed="false">
      <c r="A49" s="1" t="n">
        <v>19</v>
      </c>
      <c r="B49" s="2" t="s">
        <v>127</v>
      </c>
      <c r="C49" s="1" t="s">
        <v>127</v>
      </c>
      <c r="D49" s="1" t="s">
        <v>477</v>
      </c>
      <c r="E49" s="1" t="s">
        <v>444</v>
      </c>
      <c r="F49" s="1" t="n">
        <v>4</v>
      </c>
      <c r="G49" s="1" t="n">
        <f aca="false">AVERAGE(F49:F53)</f>
        <v>2.4</v>
      </c>
      <c r="H49" s="1" t="n">
        <v>2</v>
      </c>
      <c r="I49" s="1" t="n">
        <f aca="false">ROUND(MAX(H49,G49),0)</f>
        <v>2</v>
      </c>
    </row>
    <row r="50" customFormat="false" ht="15" hidden="false" customHeight="false" outlineLevel="0" collapsed="false">
      <c r="C50" s="1" t="s">
        <v>127</v>
      </c>
      <c r="D50" s="1" t="s">
        <v>478</v>
      </c>
      <c r="E50" s="1" t="s">
        <v>172</v>
      </c>
      <c r="F50" s="1" t="n">
        <v>2</v>
      </c>
    </row>
    <row r="51" customFormat="false" ht="15" hidden="false" customHeight="false" outlineLevel="0" collapsed="false">
      <c r="C51" s="1" t="s">
        <v>127</v>
      </c>
      <c r="D51" s="1" t="s">
        <v>479</v>
      </c>
      <c r="E51" s="1" t="s">
        <v>480</v>
      </c>
      <c r="F51" s="1" t="n">
        <v>2</v>
      </c>
    </row>
    <row r="52" customFormat="false" ht="15" hidden="false" customHeight="false" outlineLevel="0" collapsed="false">
      <c r="C52" s="1" t="s">
        <v>127</v>
      </c>
      <c r="D52" s="1" t="s">
        <v>481</v>
      </c>
      <c r="E52" s="1" t="s">
        <v>482</v>
      </c>
      <c r="F52" s="1" t="n">
        <v>2</v>
      </c>
    </row>
    <row r="53" customFormat="false" ht="15" hidden="false" customHeight="false" outlineLevel="0" collapsed="false">
      <c r="C53" s="1" t="s">
        <v>127</v>
      </c>
      <c r="D53" s="1" t="s">
        <v>483</v>
      </c>
      <c r="E53" s="1" t="s">
        <v>484</v>
      </c>
      <c r="F53" s="1" t="n">
        <v>2</v>
      </c>
    </row>
    <row r="54" customFormat="false" ht="15" hidden="false" customHeight="false" outlineLevel="0" collapsed="false">
      <c r="A54" s="1" t="n">
        <v>20</v>
      </c>
      <c r="B54" s="2" t="s">
        <v>87</v>
      </c>
      <c r="F54" s="1" t="n">
        <v>1</v>
      </c>
      <c r="I54" s="1" t="n">
        <v>1</v>
      </c>
    </row>
    <row r="55" customFormat="false" ht="15" hidden="false" customHeight="false" outlineLevel="0" collapsed="false">
      <c r="A55" s="1" t="n">
        <v>21</v>
      </c>
      <c r="B55" s="2" t="s">
        <v>129</v>
      </c>
      <c r="C55" s="1" t="s">
        <v>129</v>
      </c>
      <c r="D55" s="1" t="s">
        <v>485</v>
      </c>
      <c r="E55" s="1" t="s">
        <v>486</v>
      </c>
      <c r="F55" s="1" t="n">
        <v>6</v>
      </c>
      <c r="G55" s="1" t="n">
        <f aca="false">AVERAGE(F55:F61)</f>
        <v>4.85714285714286</v>
      </c>
      <c r="H55" s="1" t="n">
        <v>4</v>
      </c>
      <c r="I55" s="1" t="n">
        <f aca="false">ROUND(MAX(H55,G55),0)</f>
        <v>5</v>
      </c>
    </row>
    <row r="56" customFormat="false" ht="15" hidden="false" customHeight="false" outlineLevel="0" collapsed="false">
      <c r="C56" s="1" t="s">
        <v>129</v>
      </c>
      <c r="D56" s="1" t="s">
        <v>487</v>
      </c>
      <c r="E56" s="1" t="s">
        <v>488</v>
      </c>
      <c r="F56" s="1" t="n">
        <v>6</v>
      </c>
    </row>
    <row r="57" customFormat="false" ht="15" hidden="false" customHeight="false" outlineLevel="0" collapsed="false">
      <c r="C57" s="1" t="s">
        <v>129</v>
      </c>
      <c r="D57" s="1" t="s">
        <v>489</v>
      </c>
      <c r="E57" s="1" t="s">
        <v>490</v>
      </c>
      <c r="F57" s="1" t="n">
        <v>6</v>
      </c>
    </row>
    <row r="58" customFormat="false" ht="15" hidden="false" customHeight="false" outlineLevel="0" collapsed="false">
      <c r="C58" s="1" t="s">
        <v>129</v>
      </c>
      <c r="D58" s="1" t="s">
        <v>491</v>
      </c>
      <c r="E58" s="1" t="s">
        <v>492</v>
      </c>
      <c r="F58" s="1" t="n">
        <v>6</v>
      </c>
    </row>
    <row r="59" customFormat="false" ht="15" hidden="false" customHeight="false" outlineLevel="0" collapsed="false">
      <c r="C59" s="1" t="s">
        <v>129</v>
      </c>
      <c r="D59" s="1" t="s">
        <v>493</v>
      </c>
      <c r="E59" s="1" t="s">
        <v>494</v>
      </c>
      <c r="F59" s="1" t="n">
        <v>4</v>
      </c>
    </row>
    <row r="60" customFormat="false" ht="15" hidden="false" customHeight="false" outlineLevel="0" collapsed="false">
      <c r="C60" s="1" t="s">
        <v>129</v>
      </c>
      <c r="D60" s="1" t="s">
        <v>495</v>
      </c>
      <c r="E60" s="1" t="s">
        <v>496</v>
      </c>
      <c r="F60" s="1" t="n">
        <v>4</v>
      </c>
    </row>
    <row r="61" customFormat="false" ht="15" hidden="false" customHeight="false" outlineLevel="0" collapsed="false">
      <c r="C61" s="1" t="s">
        <v>129</v>
      </c>
      <c r="D61" s="1" t="s">
        <v>497</v>
      </c>
      <c r="E61" s="1" t="s">
        <v>498</v>
      </c>
      <c r="F61" s="1" t="n">
        <v>2</v>
      </c>
    </row>
    <row r="62" customFormat="false" ht="15" hidden="false" customHeight="false" outlineLevel="0" collapsed="false">
      <c r="A62" s="1" t="n">
        <v>22</v>
      </c>
      <c r="B62" s="2" t="s">
        <v>131</v>
      </c>
      <c r="F62" s="1" t="n">
        <v>1</v>
      </c>
      <c r="I62" s="1" t="n">
        <v>1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184</v>
      </c>
      <c r="C1" s="1" t="s">
        <v>61</v>
      </c>
      <c r="D1" s="1" t="s">
        <v>285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76</v>
      </c>
      <c r="B2" s="1" t="s">
        <v>499</v>
      </c>
      <c r="C2" s="1" t="s">
        <v>500</v>
      </c>
      <c r="D2" s="1" t="n">
        <v>2</v>
      </c>
      <c r="G2" s="1" t="n">
        <v>2</v>
      </c>
    </row>
    <row r="3" customFormat="false" ht="15" hidden="false" customHeight="false" outlineLevel="0" collapsed="false">
      <c r="A3" s="1" t="s">
        <v>100</v>
      </c>
      <c r="B3" s="1" t="s">
        <v>501</v>
      </c>
      <c r="C3" s="1" t="s">
        <v>502</v>
      </c>
      <c r="D3" s="1" t="n">
        <v>6</v>
      </c>
      <c r="E3" s="1" t="n">
        <f aca="false">AVERAGE(D3:D5)</f>
        <v>4.33333333333333</v>
      </c>
      <c r="F3" s="1" t="n">
        <v>5</v>
      </c>
      <c r="G3" s="1" t="n">
        <f aca="false">ROUND(MAX(F3,E3),0)</f>
        <v>5</v>
      </c>
    </row>
    <row r="4" customFormat="false" ht="15" hidden="false" customHeight="false" outlineLevel="0" collapsed="false">
      <c r="A4" s="1" t="s">
        <v>100</v>
      </c>
      <c r="B4" s="1" t="s">
        <v>503</v>
      </c>
      <c r="C4" s="1" t="s">
        <v>504</v>
      </c>
      <c r="D4" s="1" t="n">
        <v>5</v>
      </c>
    </row>
    <row r="5" customFormat="false" ht="15" hidden="false" customHeight="false" outlineLevel="0" collapsed="false">
      <c r="A5" s="1" t="s">
        <v>100</v>
      </c>
      <c r="B5" s="1" t="s">
        <v>505</v>
      </c>
      <c r="C5" s="1" t="s">
        <v>506</v>
      </c>
      <c r="D5" s="1" t="n">
        <v>2</v>
      </c>
    </row>
    <row r="6" customFormat="false" ht="15" hidden="false" customHeight="false" outlineLevel="0" collapsed="false">
      <c r="A6" s="1" t="s">
        <v>103</v>
      </c>
      <c r="B6" s="1" t="s">
        <v>507</v>
      </c>
      <c r="C6" s="1" t="s">
        <v>508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s">
        <v>84</v>
      </c>
      <c r="B7" s="1" t="s">
        <v>509</v>
      </c>
      <c r="C7" s="1" t="s">
        <v>510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s">
        <v>117</v>
      </c>
      <c r="B8" s="1" t="s">
        <v>511</v>
      </c>
      <c r="C8" s="1" t="s">
        <v>359</v>
      </c>
      <c r="D8" s="1" t="n">
        <v>6</v>
      </c>
      <c r="G8" s="1" t="n">
        <v>6</v>
      </c>
    </row>
    <row r="9" customFormat="false" ht="15" hidden="false" customHeight="false" outlineLevel="0" collapsed="false">
      <c r="A9" s="1" t="s">
        <v>123</v>
      </c>
      <c r="B9" s="1" t="s">
        <v>499</v>
      </c>
      <c r="C9" s="1" t="s">
        <v>512</v>
      </c>
      <c r="D9" s="1" t="n">
        <v>3</v>
      </c>
      <c r="G9" s="1" t="n">
        <v>3</v>
      </c>
    </row>
    <row r="10" customFormat="false" ht="15" hidden="false" customHeight="false" outlineLevel="0" collapsed="false">
      <c r="A10" s="1" t="s">
        <v>127</v>
      </c>
      <c r="B10" s="1" t="s">
        <v>513</v>
      </c>
      <c r="C10" s="1" t="s">
        <v>514</v>
      </c>
      <c r="D10" s="1" t="n">
        <v>6</v>
      </c>
      <c r="E10" s="1" t="n">
        <f aca="false">AVERAGE(D10:D11)</f>
        <v>4.5</v>
      </c>
      <c r="F10" s="1" t="n">
        <v>3</v>
      </c>
      <c r="G10" s="1" t="n">
        <f aca="false">ROUND(MAX(F10,E10),0)</f>
        <v>5</v>
      </c>
    </row>
    <row r="11" customFormat="false" ht="15" hidden="false" customHeight="false" outlineLevel="0" collapsed="false">
      <c r="A11" s="1" t="s">
        <v>127</v>
      </c>
      <c r="B11" s="1" t="s">
        <v>515</v>
      </c>
      <c r="C11" s="1" t="s">
        <v>516</v>
      </c>
      <c r="D11" s="1" t="n">
        <v>3</v>
      </c>
    </row>
    <row r="12" customFormat="false" ht="15" hidden="false" customHeight="false" outlineLevel="0" collapsed="false">
      <c r="A12" s="1" t="s">
        <v>87</v>
      </c>
      <c r="B12" s="1" t="s">
        <v>517</v>
      </c>
      <c r="C12" s="1" t="s">
        <v>518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129</v>
      </c>
      <c r="B13" s="1" t="s">
        <v>519</v>
      </c>
      <c r="C13" s="1" t="s">
        <v>520</v>
      </c>
      <c r="D13" s="1" t="n">
        <v>8</v>
      </c>
      <c r="E13" s="1" t="n">
        <f aca="false">AVERAGE(D13:D14)</f>
        <v>6.5</v>
      </c>
      <c r="F13" s="1" t="n">
        <v>5</v>
      </c>
      <c r="G13" s="1" t="n">
        <f aca="false">ROUND(MAX(F13,E13),0)</f>
        <v>7</v>
      </c>
    </row>
    <row r="14" customFormat="false" ht="15" hidden="false" customHeight="false" outlineLevel="0" collapsed="false">
      <c r="A14" s="1" t="s">
        <v>129</v>
      </c>
      <c r="B14" s="1" t="s">
        <v>521</v>
      </c>
      <c r="C14" s="1" t="s">
        <v>522</v>
      </c>
      <c r="D14" s="1" t="n">
        <v>5</v>
      </c>
    </row>
    <row r="15" customFormat="false" ht="15" hidden="false" customHeight="false" outlineLevel="0" collapsed="false">
      <c r="A15" s="1" t="s">
        <v>131</v>
      </c>
      <c r="B15" s="1" t="s">
        <v>523</v>
      </c>
      <c r="C15" s="1" t="s">
        <v>524</v>
      </c>
      <c r="D15" s="1" t="n">
        <v>5</v>
      </c>
      <c r="E15" s="1" t="n">
        <f aca="false">AVERAGE(D15:D16)</f>
        <v>4</v>
      </c>
      <c r="F15" s="1" t="n">
        <v>3</v>
      </c>
      <c r="G15" s="1" t="n">
        <f aca="false">ROUND(MAX(F15,E15),0)</f>
        <v>4</v>
      </c>
    </row>
    <row r="16" customFormat="false" ht="15" hidden="false" customHeight="false" outlineLevel="0" collapsed="false">
      <c r="A16" s="1" t="s">
        <v>131</v>
      </c>
      <c r="B16" s="1" t="s">
        <v>525</v>
      </c>
      <c r="C16" s="1" t="s">
        <v>162</v>
      </c>
      <c r="D16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184</v>
      </c>
      <c r="E1" s="1" t="s">
        <v>61</v>
      </c>
      <c r="F1" s="1" t="s">
        <v>134</v>
      </c>
      <c r="G1" s="1" t="s">
        <v>63</v>
      </c>
      <c r="H1" s="1" t="s">
        <v>64</v>
      </c>
      <c r="I1" s="1" t="s">
        <v>65</v>
      </c>
    </row>
    <row r="2" customFormat="false" ht="15" hidden="false" customHeight="false" outlineLevel="0" collapsed="false">
      <c r="A2" s="1" t="n">
        <v>1</v>
      </c>
      <c r="B2" s="2" t="s">
        <v>76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526</v>
      </c>
      <c r="E3" s="1" t="s">
        <v>527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100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102</v>
      </c>
      <c r="C5" s="1" t="s">
        <v>102</v>
      </c>
      <c r="D5" s="1" t="s">
        <v>528</v>
      </c>
      <c r="E5" s="1" t="s">
        <v>529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66</v>
      </c>
      <c r="C6" s="1" t="s">
        <v>66</v>
      </c>
      <c r="D6" s="1" t="s">
        <v>530</v>
      </c>
      <c r="E6" s="1" t="s">
        <v>531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103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105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107</v>
      </c>
      <c r="C9" s="1" t="s">
        <v>107</v>
      </c>
      <c r="D9" s="1" t="s">
        <v>532</v>
      </c>
      <c r="E9" s="1" t="s">
        <v>533</v>
      </c>
      <c r="F9" s="1" t="n">
        <v>10</v>
      </c>
      <c r="G9" s="1" t="n">
        <f aca="false">AVERAGE(F9:F12)</f>
        <v>7</v>
      </c>
      <c r="H9" s="1" t="n">
        <v>6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107</v>
      </c>
      <c r="D10" s="1" t="s">
        <v>534</v>
      </c>
      <c r="E10" s="1" t="s">
        <v>535</v>
      </c>
      <c r="F10" s="1" t="n">
        <v>10</v>
      </c>
    </row>
    <row r="11" customFormat="false" ht="15" hidden="false" customHeight="false" outlineLevel="0" collapsed="false">
      <c r="C11" s="1" t="s">
        <v>107</v>
      </c>
      <c r="D11" s="1" t="s">
        <v>536</v>
      </c>
      <c r="E11" s="1" t="s">
        <v>537</v>
      </c>
      <c r="F11" s="1" t="n">
        <v>6</v>
      </c>
    </row>
    <row r="12" customFormat="false" ht="15" hidden="false" customHeight="false" outlineLevel="0" collapsed="false">
      <c r="A12" s="1" t="n">
        <v>9</v>
      </c>
      <c r="B12" s="2" t="s">
        <v>84</v>
      </c>
      <c r="C12" s="1" t="s">
        <v>84</v>
      </c>
      <c r="D12" s="1" t="s">
        <v>538</v>
      </c>
      <c r="E12" s="1" t="s">
        <v>539</v>
      </c>
      <c r="F12" s="1" t="n">
        <v>2</v>
      </c>
      <c r="I12" s="1" t="n">
        <v>2</v>
      </c>
    </row>
    <row r="13" customFormat="false" ht="15" hidden="false" customHeight="false" outlineLevel="0" collapsed="false">
      <c r="A13" s="1" t="n">
        <v>10</v>
      </c>
      <c r="B13" s="2" t="s">
        <v>109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111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113</v>
      </c>
      <c r="C15" s="1" t="s">
        <v>113</v>
      </c>
      <c r="D15" s="1" t="s">
        <v>540</v>
      </c>
      <c r="E15" s="1" t="s">
        <v>541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13</v>
      </c>
      <c r="B16" s="2" t="s">
        <v>115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117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119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121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123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125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127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87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129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2" t="s">
        <v>131</v>
      </c>
      <c r="F25" s="1" t="n">
        <v>1</v>
      </c>
      <c r="I25" s="1" t="n">
        <v>1</v>
      </c>
    </row>
    <row r="2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184</v>
      </c>
      <c r="C1" s="1" t="s">
        <v>61</v>
      </c>
      <c r="D1" s="1" t="s">
        <v>285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76</v>
      </c>
      <c r="B2" s="1" t="s">
        <v>542</v>
      </c>
      <c r="C2" s="1" t="s">
        <v>543</v>
      </c>
      <c r="D2" s="1" t="n">
        <v>8</v>
      </c>
      <c r="E2" s="1" t="n">
        <f aca="false">AVERAGE(D2:D3)</f>
        <v>7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76</v>
      </c>
      <c r="B3" s="1" t="s">
        <v>544</v>
      </c>
      <c r="C3" s="1" t="s">
        <v>545</v>
      </c>
      <c r="D3" s="1" t="n">
        <v>6</v>
      </c>
    </row>
    <row r="4" customFormat="false" ht="15" hidden="false" customHeight="false" outlineLevel="0" collapsed="false">
      <c r="A4" s="1" t="s">
        <v>103</v>
      </c>
      <c r="B4" s="1" t="s">
        <v>546</v>
      </c>
      <c r="C4" s="1" t="s">
        <v>547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s">
        <v>84</v>
      </c>
      <c r="B5" s="1" t="s">
        <v>548</v>
      </c>
      <c r="C5" s="1" t="s">
        <v>549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s">
        <v>109</v>
      </c>
      <c r="B6" s="1" t="s">
        <v>550</v>
      </c>
      <c r="C6" s="1" t="s">
        <v>551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s">
        <v>117</v>
      </c>
      <c r="B7" s="1" t="s">
        <v>552</v>
      </c>
      <c r="C7" s="1" t="s">
        <v>553</v>
      </c>
      <c r="D7" s="1" t="n">
        <v>6</v>
      </c>
      <c r="G7" s="1" t="n">
        <v>6</v>
      </c>
    </row>
    <row r="8" customFormat="false" ht="15" hidden="false" customHeight="false" outlineLevel="0" collapsed="false">
      <c r="A8" s="1" t="s">
        <v>119</v>
      </c>
      <c r="B8" s="1" t="s">
        <v>554</v>
      </c>
      <c r="C8" s="1" t="s">
        <v>555</v>
      </c>
      <c r="D8" s="1" t="n">
        <v>8</v>
      </c>
      <c r="E8" s="1" t="n">
        <f aca="false">AVERAGE(D8:D9)</f>
        <v>7</v>
      </c>
      <c r="F8" s="1" t="n">
        <v>5</v>
      </c>
      <c r="G8" s="1" t="n">
        <f aca="false">ROUND(MAX(F8,E8),0)</f>
        <v>7</v>
      </c>
    </row>
    <row r="9" customFormat="false" ht="15" hidden="false" customHeight="false" outlineLevel="0" collapsed="false">
      <c r="A9" s="1" t="s">
        <v>119</v>
      </c>
      <c r="B9" s="1" t="s">
        <v>556</v>
      </c>
      <c r="C9" s="1" t="s">
        <v>557</v>
      </c>
      <c r="D9" s="1" t="n">
        <v>6</v>
      </c>
    </row>
    <row r="10" customFormat="false" ht="15" hidden="false" customHeight="false" outlineLevel="0" collapsed="false">
      <c r="A10" s="1" t="s">
        <v>123</v>
      </c>
      <c r="B10" s="1" t="s">
        <v>558</v>
      </c>
      <c r="C10" s="1" t="s">
        <v>202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s">
        <v>127</v>
      </c>
      <c r="B11" s="1" t="s">
        <v>559</v>
      </c>
      <c r="C11" s="1" t="s">
        <v>229</v>
      </c>
      <c r="D11" s="1" t="n">
        <v>6</v>
      </c>
      <c r="E11" s="1" t="n">
        <f aca="false">AVERAGE(D11:D12)</f>
        <v>4</v>
      </c>
      <c r="F11" s="1" t="n">
        <v>2</v>
      </c>
      <c r="G11" s="1" t="n">
        <f aca="false">ROUND(MAX(F11,E11),0)</f>
        <v>4</v>
      </c>
    </row>
    <row r="12" customFormat="false" ht="15" hidden="false" customHeight="false" outlineLevel="0" collapsed="false">
      <c r="A12" s="1" t="s">
        <v>127</v>
      </c>
      <c r="B12" s="1" t="s">
        <v>560</v>
      </c>
      <c r="C12" s="1" t="s">
        <v>393</v>
      </c>
      <c r="D12" s="1" t="n">
        <v>2</v>
      </c>
    </row>
    <row r="13" customFormat="false" ht="15" hidden="false" customHeight="false" outlineLevel="0" collapsed="false">
      <c r="A13" s="1" t="s">
        <v>87</v>
      </c>
      <c r="B13" s="1" t="s">
        <v>561</v>
      </c>
      <c r="C13" s="1" t="s">
        <v>562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s">
        <v>129</v>
      </c>
      <c r="B14" s="1" t="s">
        <v>546</v>
      </c>
      <c r="C14" s="1" t="s">
        <v>563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129</v>
      </c>
      <c r="B15" s="1" t="s">
        <v>564</v>
      </c>
      <c r="C15" s="1" t="s">
        <v>565</v>
      </c>
      <c r="D1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1" activeCellId="0" sqref="I51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47"/>
    <col collapsed="false" customWidth="true" hidden="false" outlineLevel="0" max="4" min="2" style="1" width="21.34"/>
    <col collapsed="false" customWidth="true" hidden="false" outlineLevel="0" max="5" min="5" style="1" width="22.1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61</v>
      </c>
      <c r="F1" s="1" t="s">
        <v>134</v>
      </c>
      <c r="G1" s="1" t="s">
        <v>63</v>
      </c>
      <c r="H1" s="1" t="s">
        <v>64</v>
      </c>
      <c r="I1" s="1" t="s">
        <v>65</v>
      </c>
    </row>
    <row r="2" customFormat="false" ht="15" hidden="false" customHeight="false" outlineLevel="0" collapsed="false">
      <c r="A2" s="1" t="n">
        <v>1</v>
      </c>
      <c r="B2" s="2" t="s">
        <v>76</v>
      </c>
      <c r="C2" s="1" t="s">
        <v>76</v>
      </c>
      <c r="D2" s="1" t="s">
        <v>77</v>
      </c>
      <c r="E2" s="1" t="s">
        <v>566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97</v>
      </c>
      <c r="E3" s="1" t="s">
        <v>178</v>
      </c>
      <c r="F3" s="1" t="n">
        <v>7</v>
      </c>
      <c r="I3" s="1" t="n">
        <v>7</v>
      </c>
    </row>
    <row r="4" customFormat="false" ht="15" hidden="false" customHeight="false" outlineLevel="0" collapsed="false">
      <c r="A4" s="1" t="n">
        <v>3</v>
      </c>
      <c r="B4" s="2" t="s">
        <v>100</v>
      </c>
      <c r="C4" s="1" t="s">
        <v>100</v>
      </c>
      <c r="D4" s="1" t="s">
        <v>99</v>
      </c>
      <c r="E4" s="1" t="s">
        <v>179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102</v>
      </c>
      <c r="C5" s="1" t="s">
        <v>102</v>
      </c>
      <c r="D5" s="1" t="s">
        <v>101</v>
      </c>
      <c r="E5" s="1" t="s">
        <v>567</v>
      </c>
      <c r="F5" s="1" t="n">
        <v>10</v>
      </c>
      <c r="G5" s="1" t="n">
        <f aca="false">AVERAGE(F5:F13)</f>
        <v>6.88888888888889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102</v>
      </c>
      <c r="D6" s="1" t="s">
        <v>101</v>
      </c>
      <c r="E6" s="1" t="s">
        <v>568</v>
      </c>
      <c r="F6" s="1" t="n">
        <v>9</v>
      </c>
    </row>
    <row r="7" customFormat="false" ht="15" hidden="false" customHeight="false" outlineLevel="0" collapsed="false">
      <c r="C7" s="1" t="s">
        <v>102</v>
      </c>
      <c r="D7" s="1" t="s">
        <v>101</v>
      </c>
      <c r="E7" s="1" t="s">
        <v>569</v>
      </c>
      <c r="F7" s="1" t="n">
        <v>7</v>
      </c>
    </row>
    <row r="8" customFormat="false" ht="15" hidden="false" customHeight="false" outlineLevel="0" collapsed="false">
      <c r="C8" s="1" t="s">
        <v>102</v>
      </c>
      <c r="D8" s="1" t="s">
        <v>101</v>
      </c>
      <c r="E8" s="1" t="s">
        <v>269</v>
      </c>
      <c r="F8" s="1" t="n">
        <v>7</v>
      </c>
    </row>
    <row r="9" customFormat="false" ht="15" hidden="false" customHeight="false" outlineLevel="0" collapsed="false">
      <c r="C9" s="1" t="s">
        <v>102</v>
      </c>
      <c r="D9" s="1" t="s">
        <v>101</v>
      </c>
      <c r="E9" s="1" t="s">
        <v>570</v>
      </c>
      <c r="F9" s="1" t="n">
        <v>7</v>
      </c>
    </row>
    <row r="10" customFormat="false" ht="15" hidden="false" customHeight="false" outlineLevel="0" collapsed="false">
      <c r="C10" s="1" t="s">
        <v>102</v>
      </c>
      <c r="D10" s="1" t="s">
        <v>101</v>
      </c>
      <c r="E10" s="1" t="s">
        <v>571</v>
      </c>
      <c r="F10" s="1" t="n">
        <v>7</v>
      </c>
    </row>
    <row r="11" customFormat="false" ht="15" hidden="false" customHeight="false" outlineLevel="0" collapsed="false">
      <c r="C11" s="1" t="s">
        <v>102</v>
      </c>
      <c r="D11" s="1" t="s">
        <v>101</v>
      </c>
      <c r="E11" s="1" t="s">
        <v>167</v>
      </c>
      <c r="F11" s="1" t="n">
        <v>6</v>
      </c>
    </row>
    <row r="12" customFormat="false" ht="15" hidden="false" customHeight="false" outlineLevel="0" collapsed="false">
      <c r="C12" s="1" t="s">
        <v>102</v>
      </c>
      <c r="D12" s="1" t="s">
        <v>101</v>
      </c>
      <c r="E12" s="1" t="s">
        <v>572</v>
      </c>
      <c r="F12" s="1" t="n">
        <v>5</v>
      </c>
    </row>
    <row r="13" customFormat="false" ht="15" hidden="false" customHeight="false" outlineLevel="0" collapsed="false">
      <c r="C13" s="1" t="s">
        <v>102</v>
      </c>
      <c r="D13" s="1" t="s">
        <v>101</v>
      </c>
      <c r="E13" s="1" t="s">
        <v>332</v>
      </c>
      <c r="F13" s="1" t="n">
        <v>4</v>
      </c>
    </row>
    <row r="14" customFormat="false" ht="15" hidden="false" customHeight="false" outlineLevel="0" collapsed="false">
      <c r="A14" s="1" t="n">
        <v>5</v>
      </c>
      <c r="B14" s="2" t="s">
        <v>66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6</v>
      </c>
      <c r="B15" s="2" t="s">
        <v>103</v>
      </c>
      <c r="C15" s="1" t="s">
        <v>103</v>
      </c>
      <c r="D15" s="1" t="s">
        <v>15</v>
      </c>
      <c r="E15" s="1" t="s">
        <v>573</v>
      </c>
      <c r="F15" s="1" t="n">
        <v>10</v>
      </c>
      <c r="G15" s="1" t="n">
        <f aca="false">AVERAGE(F15:F20)</f>
        <v>7.5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103</v>
      </c>
      <c r="D16" s="1" t="s">
        <v>15</v>
      </c>
      <c r="E16" s="1" t="s">
        <v>574</v>
      </c>
      <c r="F16" s="1" t="n">
        <v>9</v>
      </c>
    </row>
    <row r="17" customFormat="false" ht="15" hidden="false" customHeight="false" outlineLevel="0" collapsed="false">
      <c r="C17" s="1" t="s">
        <v>103</v>
      </c>
      <c r="D17" s="1" t="s">
        <v>15</v>
      </c>
      <c r="E17" s="1" t="s">
        <v>73</v>
      </c>
      <c r="F17" s="1" t="n">
        <v>8</v>
      </c>
    </row>
    <row r="18" customFormat="false" ht="15" hidden="false" customHeight="false" outlineLevel="0" collapsed="false">
      <c r="C18" s="1" t="s">
        <v>103</v>
      </c>
      <c r="D18" s="1" t="s">
        <v>15</v>
      </c>
      <c r="E18" s="1" t="s">
        <v>575</v>
      </c>
      <c r="F18" s="1" t="n">
        <v>7</v>
      </c>
    </row>
    <row r="19" customFormat="false" ht="15" hidden="false" customHeight="false" outlineLevel="0" collapsed="false">
      <c r="C19" s="1" t="s">
        <v>103</v>
      </c>
      <c r="D19" s="1" t="s">
        <v>15</v>
      </c>
      <c r="E19" s="1" t="s">
        <v>178</v>
      </c>
      <c r="F19" s="1" t="n">
        <v>6</v>
      </c>
    </row>
    <row r="20" customFormat="false" ht="15" hidden="false" customHeight="false" outlineLevel="0" collapsed="false">
      <c r="C20" s="1" t="s">
        <v>103</v>
      </c>
      <c r="D20" s="1" t="s">
        <v>15</v>
      </c>
      <c r="E20" s="1" t="s">
        <v>576</v>
      </c>
      <c r="F20" s="1" t="n">
        <v>5</v>
      </c>
    </row>
    <row r="21" customFormat="false" ht="15" hidden="false" customHeight="false" outlineLevel="0" collapsed="false">
      <c r="A21" s="1" t="n">
        <v>7</v>
      </c>
      <c r="B21" s="2" t="s">
        <v>105</v>
      </c>
      <c r="C21" s="1" t="s">
        <v>105</v>
      </c>
      <c r="D21" s="1" t="s">
        <v>104</v>
      </c>
      <c r="E21" s="1" t="s">
        <v>577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8</v>
      </c>
      <c r="B22" s="2" t="s">
        <v>107</v>
      </c>
      <c r="C22" s="1" t="s">
        <v>107</v>
      </c>
      <c r="D22" s="1" t="s">
        <v>106</v>
      </c>
      <c r="E22" s="1" t="s">
        <v>578</v>
      </c>
      <c r="F22" s="1" t="n">
        <v>10</v>
      </c>
      <c r="G22" s="1" t="n">
        <f aca="false">AVERAGE(F22:F23)</f>
        <v>9.5</v>
      </c>
      <c r="H22" s="1" t="n">
        <v>9</v>
      </c>
      <c r="I22" s="1" t="n">
        <f aca="false">ROUND(MAX(H22,G22),0)</f>
        <v>10</v>
      </c>
    </row>
    <row r="23" customFormat="false" ht="15" hidden="false" customHeight="false" outlineLevel="0" collapsed="false">
      <c r="C23" s="1" t="s">
        <v>107</v>
      </c>
      <c r="D23" s="1" t="s">
        <v>106</v>
      </c>
      <c r="E23" s="1" t="s">
        <v>579</v>
      </c>
      <c r="F23" s="1" t="n">
        <v>9</v>
      </c>
    </row>
    <row r="24" customFormat="false" ht="15" hidden="false" customHeight="false" outlineLevel="0" collapsed="false">
      <c r="A24" s="1" t="n">
        <v>9</v>
      </c>
      <c r="B24" s="2" t="s">
        <v>84</v>
      </c>
      <c r="C24" s="1" t="s">
        <v>84</v>
      </c>
      <c r="D24" s="1" t="s">
        <v>85</v>
      </c>
      <c r="E24" s="1" t="s">
        <v>172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10</v>
      </c>
      <c r="B25" s="2" t="s">
        <v>109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11</v>
      </c>
      <c r="B26" s="2" t="s">
        <v>111</v>
      </c>
      <c r="C26" s="1" t="s">
        <v>111</v>
      </c>
      <c r="D26" s="1" t="s">
        <v>110</v>
      </c>
      <c r="E26" s="1" t="s">
        <v>580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12</v>
      </c>
      <c r="B27" s="2" t="s">
        <v>113</v>
      </c>
      <c r="C27" s="1" t="s">
        <v>113</v>
      </c>
      <c r="D27" s="1" t="s">
        <v>112</v>
      </c>
      <c r="E27" s="1" t="s">
        <v>581</v>
      </c>
      <c r="F27" s="1" t="n">
        <v>10</v>
      </c>
      <c r="G27" s="1" t="n">
        <f aca="false">AVERAGE(F27:F29)</f>
        <v>8.33333333333333</v>
      </c>
      <c r="H27" s="1" t="n">
        <v>5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113</v>
      </c>
      <c r="D28" s="1" t="s">
        <v>112</v>
      </c>
      <c r="E28" s="1" t="s">
        <v>582</v>
      </c>
      <c r="F28" s="1" t="n">
        <v>10</v>
      </c>
    </row>
    <row r="29" customFormat="false" ht="15" hidden="false" customHeight="false" outlineLevel="0" collapsed="false">
      <c r="C29" s="1" t="s">
        <v>113</v>
      </c>
      <c r="D29" s="1" t="s">
        <v>112</v>
      </c>
      <c r="E29" s="1" t="s">
        <v>72</v>
      </c>
      <c r="F29" s="1" t="n">
        <v>5</v>
      </c>
    </row>
    <row r="30" customFormat="false" ht="15" hidden="false" customHeight="false" outlineLevel="0" collapsed="false">
      <c r="A30" s="1" t="n">
        <v>13</v>
      </c>
      <c r="B30" s="2" t="s">
        <v>115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14</v>
      </c>
      <c r="B31" s="2" t="s">
        <v>117</v>
      </c>
      <c r="C31" s="1" t="s">
        <v>117</v>
      </c>
      <c r="D31" s="1" t="s">
        <v>116</v>
      </c>
      <c r="E31" s="1" t="s">
        <v>583</v>
      </c>
      <c r="F31" s="1" t="n">
        <v>10</v>
      </c>
      <c r="G31" s="1" t="n">
        <f aca="false">AVERAGE(F31:F33)</f>
        <v>8.33333333333333</v>
      </c>
      <c r="H31" s="1" t="n">
        <v>9</v>
      </c>
      <c r="I31" s="1" t="n">
        <f aca="false">ROUND(MAX(H31,G31),0)</f>
        <v>9</v>
      </c>
    </row>
    <row r="32" customFormat="false" ht="15" hidden="false" customHeight="false" outlineLevel="0" collapsed="false">
      <c r="C32" s="1" t="s">
        <v>117</v>
      </c>
      <c r="D32" s="1" t="s">
        <v>116</v>
      </c>
      <c r="E32" s="1" t="s">
        <v>584</v>
      </c>
      <c r="F32" s="1" t="n">
        <v>9</v>
      </c>
    </row>
    <row r="33" customFormat="false" ht="15" hidden="false" customHeight="false" outlineLevel="0" collapsed="false">
      <c r="C33" s="1" t="s">
        <v>117</v>
      </c>
      <c r="D33" s="1" t="s">
        <v>116</v>
      </c>
      <c r="E33" s="1" t="s">
        <v>162</v>
      </c>
      <c r="F33" s="1" t="n">
        <v>6</v>
      </c>
    </row>
    <row r="34" customFormat="false" ht="15" hidden="false" customHeight="false" outlineLevel="0" collapsed="false">
      <c r="A34" s="1" t="n">
        <v>15</v>
      </c>
      <c r="B34" s="2" t="s">
        <v>119</v>
      </c>
      <c r="C34" s="1" t="s">
        <v>119</v>
      </c>
      <c r="D34" s="1" t="s">
        <v>118</v>
      </c>
      <c r="E34" s="1" t="s">
        <v>417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16</v>
      </c>
      <c r="B35" s="2" t="s">
        <v>121</v>
      </c>
      <c r="C35" s="1" t="s">
        <v>121</v>
      </c>
      <c r="D35" s="1" t="s">
        <v>120</v>
      </c>
      <c r="E35" s="1" t="s">
        <v>585</v>
      </c>
      <c r="F35" s="1" t="n">
        <v>8</v>
      </c>
      <c r="G35" s="1" t="n">
        <f aca="false">AVERAGE(F35:F36)</f>
        <v>7.5</v>
      </c>
      <c r="H35" s="1" t="n">
        <v>7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121</v>
      </c>
      <c r="D36" s="1" t="s">
        <v>120</v>
      </c>
      <c r="E36" s="1" t="s">
        <v>586</v>
      </c>
      <c r="F36" s="1" t="n">
        <v>7</v>
      </c>
    </row>
    <row r="37" customFormat="false" ht="15" hidden="false" customHeight="false" outlineLevel="0" collapsed="false">
      <c r="A37" s="1" t="n">
        <v>17</v>
      </c>
      <c r="B37" s="2" t="s">
        <v>123</v>
      </c>
      <c r="C37" s="1" t="s">
        <v>123</v>
      </c>
      <c r="D37" s="1" t="s">
        <v>122</v>
      </c>
      <c r="E37" s="1" t="s">
        <v>90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18</v>
      </c>
      <c r="B38" s="2" t="s">
        <v>125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19</v>
      </c>
      <c r="B39" s="2" t="s">
        <v>127</v>
      </c>
      <c r="C39" s="1" t="s">
        <v>127</v>
      </c>
      <c r="D39" s="1" t="s">
        <v>126</v>
      </c>
      <c r="E39" s="1" t="s">
        <v>587</v>
      </c>
      <c r="F39" s="1" t="n">
        <v>7</v>
      </c>
      <c r="G39" s="1" t="n">
        <f aca="false">AVERAGE(F39:F42)</f>
        <v>6.5</v>
      </c>
      <c r="H39" s="1" t="n">
        <v>6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127</v>
      </c>
      <c r="D40" s="1" t="s">
        <v>126</v>
      </c>
      <c r="E40" s="1" t="s">
        <v>588</v>
      </c>
      <c r="F40" s="1" t="n">
        <v>7</v>
      </c>
    </row>
    <row r="41" customFormat="false" ht="15" hidden="false" customHeight="false" outlineLevel="0" collapsed="false">
      <c r="C41" s="1" t="s">
        <v>127</v>
      </c>
      <c r="D41" s="1" t="s">
        <v>126</v>
      </c>
      <c r="E41" s="1" t="s">
        <v>357</v>
      </c>
      <c r="F41" s="1" t="n">
        <v>6</v>
      </c>
    </row>
    <row r="42" customFormat="false" ht="15" hidden="false" customHeight="false" outlineLevel="0" collapsed="false">
      <c r="C42" s="1" t="s">
        <v>127</v>
      </c>
      <c r="D42" s="1" t="s">
        <v>126</v>
      </c>
      <c r="E42" s="1" t="s">
        <v>357</v>
      </c>
      <c r="F42" s="1" t="n">
        <v>6</v>
      </c>
    </row>
    <row r="43" customFormat="false" ht="15" hidden="false" customHeight="false" outlineLevel="0" collapsed="false">
      <c r="A43" s="1" t="n">
        <v>20</v>
      </c>
      <c r="B43" s="2" t="s">
        <v>87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21</v>
      </c>
      <c r="B44" s="2" t="s">
        <v>129</v>
      </c>
      <c r="C44" s="1" t="s">
        <v>129</v>
      </c>
      <c r="D44" s="1" t="s">
        <v>128</v>
      </c>
      <c r="E44" s="1" t="s">
        <v>589</v>
      </c>
      <c r="F44" s="1" t="n">
        <v>8</v>
      </c>
      <c r="I44" s="1" t="n">
        <v>8</v>
      </c>
    </row>
    <row r="45" customFormat="false" ht="15" hidden="false" customHeight="false" outlineLevel="0" collapsed="false">
      <c r="A45" s="1" t="n">
        <v>22</v>
      </c>
      <c r="B45" s="2" t="s">
        <v>131</v>
      </c>
      <c r="C45" s="1" t="s">
        <v>131</v>
      </c>
      <c r="D45" s="1" t="s">
        <v>130</v>
      </c>
      <c r="E45" s="1" t="s">
        <v>590</v>
      </c>
      <c r="F45" s="1" t="n">
        <v>10</v>
      </c>
      <c r="G45" s="1" t="n">
        <f aca="false">AVERAGE(F45:F51)</f>
        <v>7.57142857142857</v>
      </c>
      <c r="H45" s="1" t="n">
        <v>9</v>
      </c>
      <c r="I45" s="1" t="n">
        <f aca="false">ROUND(MAX(H45,G45),0)</f>
        <v>9</v>
      </c>
    </row>
    <row r="46" customFormat="false" ht="15" hidden="false" customHeight="false" outlineLevel="0" collapsed="false">
      <c r="C46" s="1" t="s">
        <v>131</v>
      </c>
      <c r="D46" s="1" t="s">
        <v>130</v>
      </c>
      <c r="E46" s="1" t="s">
        <v>591</v>
      </c>
      <c r="F46" s="1" t="n">
        <v>9</v>
      </c>
    </row>
    <row r="47" customFormat="false" ht="15" hidden="false" customHeight="false" outlineLevel="0" collapsed="false">
      <c r="C47" s="1" t="s">
        <v>131</v>
      </c>
      <c r="D47" s="1" t="s">
        <v>130</v>
      </c>
      <c r="E47" s="1" t="s">
        <v>188</v>
      </c>
      <c r="F47" s="1" t="n">
        <v>9</v>
      </c>
    </row>
    <row r="48" customFormat="false" ht="15" hidden="false" customHeight="false" outlineLevel="0" collapsed="false">
      <c r="C48" s="1" t="s">
        <v>131</v>
      </c>
      <c r="D48" s="1" t="s">
        <v>130</v>
      </c>
      <c r="E48" s="1" t="s">
        <v>592</v>
      </c>
      <c r="F48" s="1" t="n">
        <v>7</v>
      </c>
    </row>
    <row r="49" customFormat="false" ht="15" hidden="false" customHeight="false" outlineLevel="0" collapsed="false">
      <c r="C49" s="1" t="s">
        <v>131</v>
      </c>
      <c r="D49" s="1" t="s">
        <v>130</v>
      </c>
      <c r="E49" s="1" t="s">
        <v>593</v>
      </c>
      <c r="F49" s="1" t="n">
        <v>7</v>
      </c>
    </row>
    <row r="50" customFormat="false" ht="15" hidden="false" customHeight="false" outlineLevel="0" collapsed="false">
      <c r="C50" s="1" t="s">
        <v>131</v>
      </c>
      <c r="D50" s="1" t="s">
        <v>130</v>
      </c>
      <c r="E50" s="1" t="s">
        <v>594</v>
      </c>
      <c r="F50" s="1" t="n">
        <v>6</v>
      </c>
    </row>
    <row r="51" customFormat="false" ht="15" hidden="false" customHeight="false" outlineLevel="0" collapsed="false">
      <c r="C51" s="1" t="s">
        <v>131</v>
      </c>
      <c r="D51" s="1" t="s">
        <v>130</v>
      </c>
      <c r="E51" s="1" t="s">
        <v>595</v>
      </c>
      <c r="F51" s="1" t="n">
        <v>5</v>
      </c>
    </row>
    <row r="52" customFormat="false" ht="15" hidden="false" customHeight="false" outlineLevel="0" collapsed="false">
      <c r="H52" s="1" t="s">
        <v>596</v>
      </c>
      <c r="I52" s="1" t="n">
        <f aca="false">COUNTIF(I2:I51,"&gt;0")</f>
        <v>22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2"/>
    <col collapsed="false" customWidth="true" hidden="false" outlineLevel="0" max="3" min="2" style="1" width="20.33"/>
    <col collapsed="false" customWidth="true" hidden="false" outlineLevel="0" max="4" min="4" style="1" width="19.8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61</v>
      </c>
      <c r="F1" s="1" t="s">
        <v>134</v>
      </c>
    </row>
    <row r="2" customFormat="false" ht="15" hidden="false" customHeight="false" outlineLevel="0" collapsed="false">
      <c r="A2" s="1" t="n">
        <v>1</v>
      </c>
      <c r="B2" s="2" t="s">
        <v>76</v>
      </c>
      <c r="C2" s="1" t="s">
        <v>76</v>
      </c>
      <c r="D2" s="1" t="s">
        <v>77</v>
      </c>
      <c r="E2" s="1" t="s">
        <v>597</v>
      </c>
      <c r="F2" s="1" t="n">
        <v>7.5</v>
      </c>
    </row>
    <row r="3" customFormat="false" ht="15" hidden="false" customHeight="false" outlineLevel="0" collapsed="false">
      <c r="A3" s="1" t="n">
        <v>2</v>
      </c>
      <c r="B3" s="2" t="s">
        <v>98</v>
      </c>
      <c r="C3" s="1" t="s">
        <v>98</v>
      </c>
      <c r="D3" s="1" t="s">
        <v>97</v>
      </c>
      <c r="E3" s="1" t="s">
        <v>598</v>
      </c>
      <c r="F3" s="1" t="n">
        <v>5.5</v>
      </c>
    </row>
    <row r="4" customFormat="false" ht="15" hidden="false" customHeight="false" outlineLevel="0" collapsed="false">
      <c r="A4" s="1" t="n">
        <v>3</v>
      </c>
      <c r="B4" s="2" t="s">
        <v>100</v>
      </c>
      <c r="C4" s="1" t="s">
        <v>100</v>
      </c>
      <c r="D4" s="1" t="s">
        <v>99</v>
      </c>
      <c r="E4" s="1" t="s">
        <v>599</v>
      </c>
      <c r="F4" s="1" t="n">
        <v>7.5</v>
      </c>
    </row>
    <row r="5" customFormat="false" ht="15" hidden="false" customHeight="false" outlineLevel="0" collapsed="false">
      <c r="A5" s="1" t="n">
        <v>4</v>
      </c>
      <c r="B5" s="2" t="s">
        <v>102</v>
      </c>
      <c r="C5" s="1" t="s">
        <v>102</v>
      </c>
      <c r="D5" s="1" t="s">
        <v>101</v>
      </c>
      <c r="E5" s="1" t="s">
        <v>600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66</v>
      </c>
      <c r="C6" s="1" t="s">
        <v>66</v>
      </c>
      <c r="D6" s="1" t="s">
        <v>67</v>
      </c>
      <c r="E6" s="1" t="s">
        <v>601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103</v>
      </c>
      <c r="C7" s="1" t="s">
        <v>103</v>
      </c>
      <c r="D7" s="1" t="s">
        <v>15</v>
      </c>
      <c r="E7" s="1" t="s">
        <v>602</v>
      </c>
      <c r="F7" s="1" t="n">
        <v>7.5</v>
      </c>
    </row>
    <row r="8" customFormat="false" ht="15" hidden="false" customHeight="false" outlineLevel="0" collapsed="false">
      <c r="A8" s="1" t="n">
        <v>7</v>
      </c>
      <c r="B8" s="2" t="s">
        <v>105</v>
      </c>
      <c r="C8" s="1" t="s">
        <v>105</v>
      </c>
      <c r="D8" s="1" t="s">
        <v>104</v>
      </c>
      <c r="E8" s="1" t="s">
        <v>603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107</v>
      </c>
      <c r="C9" s="1" t="s">
        <v>107</v>
      </c>
      <c r="D9" s="1" t="s">
        <v>106</v>
      </c>
      <c r="E9" s="1" t="s">
        <v>604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84</v>
      </c>
      <c r="C10" s="1" t="s">
        <v>84</v>
      </c>
      <c r="D10" s="1" t="s">
        <v>85</v>
      </c>
      <c r="E10" s="1" t="s">
        <v>605</v>
      </c>
      <c r="F10" s="1" t="n">
        <v>7.5</v>
      </c>
    </row>
    <row r="11" customFormat="false" ht="15" hidden="false" customHeight="false" outlineLevel="0" collapsed="false">
      <c r="A11" s="1" t="n">
        <v>10</v>
      </c>
      <c r="B11" s="2" t="s">
        <v>109</v>
      </c>
      <c r="C11" s="1" t="s">
        <v>109</v>
      </c>
      <c r="D11" s="1" t="s">
        <v>108</v>
      </c>
      <c r="E11" s="1" t="s">
        <v>606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111</v>
      </c>
      <c r="C12" s="1" t="s">
        <v>111</v>
      </c>
      <c r="D12" s="1" t="s">
        <v>110</v>
      </c>
      <c r="E12" s="1" t="s">
        <v>607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113</v>
      </c>
      <c r="C13" s="1" t="s">
        <v>113</v>
      </c>
      <c r="D13" s="1" t="s">
        <v>112</v>
      </c>
      <c r="E13" s="1" t="s">
        <v>608</v>
      </c>
      <c r="F13" s="1" t="n">
        <v>7.5</v>
      </c>
    </row>
    <row r="14" customFormat="false" ht="15" hidden="false" customHeight="false" outlineLevel="0" collapsed="false">
      <c r="A14" s="1" t="n">
        <v>13</v>
      </c>
      <c r="B14" s="2" t="s">
        <v>115</v>
      </c>
      <c r="C14" s="1" t="s">
        <v>115</v>
      </c>
      <c r="D14" s="1" t="s">
        <v>114</v>
      </c>
      <c r="E14" s="1" t="s">
        <v>496</v>
      </c>
      <c r="F14" s="1" t="n">
        <v>5</v>
      </c>
    </row>
    <row r="15" customFormat="false" ht="15" hidden="false" customHeight="false" outlineLevel="0" collapsed="false">
      <c r="A15" s="1" t="n">
        <v>14</v>
      </c>
      <c r="B15" s="2" t="s">
        <v>117</v>
      </c>
      <c r="C15" s="1" t="s">
        <v>117</v>
      </c>
      <c r="D15" s="1" t="s">
        <v>116</v>
      </c>
      <c r="E15" s="1" t="s">
        <v>609</v>
      </c>
      <c r="F15" s="1" t="n">
        <v>5</v>
      </c>
    </row>
    <row r="16" customFormat="false" ht="15" hidden="false" customHeight="false" outlineLevel="0" collapsed="false">
      <c r="A16" s="1" t="n">
        <v>15</v>
      </c>
      <c r="B16" s="2" t="s">
        <v>119</v>
      </c>
      <c r="C16" s="1" t="s">
        <v>119</v>
      </c>
      <c r="D16" s="1" t="s">
        <v>118</v>
      </c>
      <c r="E16" s="1" t="s">
        <v>610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121</v>
      </c>
      <c r="C17" s="1" t="s">
        <v>121</v>
      </c>
      <c r="D17" s="1" t="s">
        <v>120</v>
      </c>
      <c r="E17" s="1" t="s">
        <v>611</v>
      </c>
      <c r="F17" s="1" t="n">
        <v>7.5</v>
      </c>
    </row>
    <row r="18" customFormat="false" ht="15" hidden="false" customHeight="false" outlineLevel="0" collapsed="false">
      <c r="A18" s="1" t="n">
        <v>17</v>
      </c>
      <c r="B18" s="2" t="s">
        <v>123</v>
      </c>
      <c r="C18" s="1" t="s">
        <v>123</v>
      </c>
      <c r="D18" s="1" t="s">
        <v>122</v>
      </c>
      <c r="E18" s="1" t="s">
        <v>612</v>
      </c>
      <c r="F18" s="1" t="n">
        <v>2.5</v>
      </c>
    </row>
    <row r="19" customFormat="false" ht="15" hidden="false" customHeight="false" outlineLevel="0" collapsed="false">
      <c r="A19" s="1" t="n">
        <v>18</v>
      </c>
      <c r="B19" s="2" t="s">
        <v>125</v>
      </c>
      <c r="C19" s="1" t="s">
        <v>125</v>
      </c>
      <c r="D19" s="1" t="s">
        <v>124</v>
      </c>
      <c r="E19" s="1" t="s">
        <v>613</v>
      </c>
      <c r="F19" s="1" t="n">
        <v>5</v>
      </c>
    </row>
    <row r="20" customFormat="false" ht="15" hidden="false" customHeight="false" outlineLevel="0" collapsed="false">
      <c r="A20" s="1" t="n">
        <v>19</v>
      </c>
      <c r="B20" s="2" t="s">
        <v>127</v>
      </c>
      <c r="C20" s="1" t="s">
        <v>127</v>
      </c>
      <c r="D20" s="1" t="s">
        <v>126</v>
      </c>
      <c r="E20" s="1" t="s">
        <v>614</v>
      </c>
      <c r="F20" s="1" t="n">
        <v>2.5</v>
      </c>
    </row>
    <row r="21" customFormat="false" ht="15" hidden="false" customHeight="false" outlineLevel="0" collapsed="false">
      <c r="A21" s="1" t="n">
        <v>20</v>
      </c>
      <c r="B21" s="2" t="s">
        <v>87</v>
      </c>
      <c r="C21" s="1" t="s">
        <v>87</v>
      </c>
      <c r="D21" s="1" t="s">
        <v>88</v>
      </c>
      <c r="E21" s="1" t="s">
        <v>615</v>
      </c>
      <c r="F21" s="1" t="n">
        <v>7.5</v>
      </c>
    </row>
    <row r="22" customFormat="false" ht="15" hidden="false" customHeight="false" outlineLevel="0" collapsed="false">
      <c r="A22" s="1" t="n">
        <v>21</v>
      </c>
      <c r="B22" s="2" t="s">
        <v>129</v>
      </c>
      <c r="C22" s="1" t="s">
        <v>129</v>
      </c>
      <c r="D22" s="1" t="s">
        <v>128</v>
      </c>
      <c r="E22" s="1" t="s">
        <v>616</v>
      </c>
      <c r="F22" s="1" t="n">
        <v>10</v>
      </c>
    </row>
    <row r="23" customFormat="false" ht="15" hidden="false" customHeight="false" outlineLevel="0" collapsed="false">
      <c r="A23" s="1" t="n">
        <v>22</v>
      </c>
      <c r="B23" s="2" t="s">
        <v>131</v>
      </c>
      <c r="C23" s="1" t="s">
        <v>131</v>
      </c>
      <c r="D23" s="1" t="s">
        <v>130</v>
      </c>
      <c r="E23" s="1" t="s">
        <v>617</v>
      </c>
      <c r="F23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5078125" defaultRowHeight="12.8" zeroHeight="false" outlineLevelRow="0" outlineLevelCol="0"/>
  <sheetData>
    <row r="1" customFormat="false" ht="15" hidden="false" customHeight="false" outlineLevel="0" collapsed="false">
      <c r="A1" s="1" t="s">
        <v>618</v>
      </c>
    </row>
    <row r="2" customFormat="false" ht="15" hidden="false" customHeight="false" outlineLevel="0" collapsed="false">
      <c r="A2" s="1" t="s">
        <v>16</v>
      </c>
    </row>
    <row r="3" customFormat="false" ht="15" hidden="false" customHeight="false" outlineLevel="0" collapsed="false">
      <c r="A3" s="1" t="s">
        <v>619</v>
      </c>
      <c r="B3" s="1" t="s">
        <v>620</v>
      </c>
      <c r="C3" s="1" t="s">
        <v>621</v>
      </c>
    </row>
    <row r="4" customFormat="false" ht="15" hidden="false" customHeight="false" outlineLevel="0" collapsed="false">
      <c r="A4" s="1" t="n">
        <v>9</v>
      </c>
      <c r="B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2026-05-05T13:14:35Z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