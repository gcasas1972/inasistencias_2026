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istencia" sheetId="1" state="visible" r:id="rId3"/>
    <sheet name="notas" sheetId="2" state="visible" r:id="rId4"/>
    <sheet name="1-sit vuello" sheetId="3" state="visible" r:id="rId5"/>
    <sheet name="2-indicador" sheetId="4" state="visible" r:id="rId6"/>
    <sheet name="3-Cabinas" sheetId="5" state="visible" r:id="rId7"/>
    <sheet name="6-inst De abordo" sheetId="6" state="visible" r:id="rId8"/>
    <sheet name="Evaluaciobn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<sst xmlns="http://schemas.openxmlformats.org/spreadsheetml/2006/main" count="984" uniqueCount="120">
  <si>
    <t xml:space="preserve">nro</t>
  </si>
  <si>
    <t xml:space="preserve">Nombre</t>
  </si>
  <si>
    <t xml:space="preserve">Apellido(s)</t>
  </si>
  <si>
    <t xml:space="preserve">Dirección de correo</t>
  </si>
  <si>
    <t xml:space="preserve">grupo</t>
  </si>
  <si>
    <t xml:space="preserve">obs</t>
  </si>
  <si>
    <t xml:space="preserve">presentes</t>
  </si>
  <si>
    <t xml:space="preserve">ausentes</t>
  </si>
  <si>
    <t xml:space="preserve">total</t>
  </si>
  <si>
    <t xml:space="preserve">nota</t>
  </si>
  <si>
    <t xml:space="preserve">Joaquin</t>
  </si>
  <si>
    <t xml:space="preserve">Alcaraz</t>
  </si>
  <si>
    <t xml:space="preserve">P</t>
  </si>
  <si>
    <t xml:space="preserve">A</t>
  </si>
  <si>
    <t xml:space="preserve">Facundo</t>
  </si>
  <si>
    <t xml:space="preserve">Arredondo</t>
  </si>
  <si>
    <t xml:space="preserve">Agustin</t>
  </si>
  <si>
    <t xml:space="preserve">Coronel</t>
  </si>
  <si>
    <t xml:space="preserve">Recursante</t>
  </si>
  <si>
    <t xml:space="preserve">Reursante</t>
  </si>
  <si>
    <t xml:space="preserve">Santiago</t>
  </si>
  <si>
    <t xml:space="preserve">Diaz</t>
  </si>
  <si>
    <t xml:space="preserve">Candelaria</t>
  </si>
  <si>
    <t xml:space="preserve">Farias Ruiz</t>
  </si>
  <si>
    <t xml:space="preserve">Oriana</t>
  </si>
  <si>
    <t xml:space="preserve">Francolino</t>
  </si>
  <si>
    <t xml:space="preserve">Juan</t>
  </si>
  <si>
    <t xml:space="preserve">Giraldo</t>
  </si>
  <si>
    <t xml:space="preserve">Hoyos  (recur)</t>
  </si>
  <si>
    <t xml:space="preserve">Demain</t>
  </si>
  <si>
    <t xml:space="preserve">Juncal</t>
  </si>
  <si>
    <t xml:space="preserve">Geremias</t>
  </si>
  <si>
    <t xml:space="preserve">Lesme</t>
  </si>
  <si>
    <t xml:space="preserve">Laionel</t>
  </si>
  <si>
    <t xml:space="preserve">Loaiza</t>
  </si>
  <si>
    <t xml:space="preserve">Thiago</t>
  </si>
  <si>
    <t xml:space="preserve">Lucero</t>
  </si>
  <si>
    <t xml:space="preserve">Lujan</t>
  </si>
  <si>
    <t xml:space="preserve">Tahiel</t>
  </si>
  <si>
    <t xml:space="preserve">MANRIQUE</t>
  </si>
  <si>
    <t xml:space="preserve">Martinez del Pino(recur)</t>
  </si>
  <si>
    <t xml:space="preserve">Fabricio</t>
  </si>
  <si>
    <t xml:space="preserve">Martinez Ruiz dias</t>
  </si>
  <si>
    <t xml:space="preserve">Medina (reucr)</t>
  </si>
  <si>
    <t xml:space="preserve">Franco</t>
  </si>
  <si>
    <t xml:space="preserve">Melin</t>
  </si>
  <si>
    <t xml:space="preserve">Uma</t>
  </si>
  <si>
    <t xml:space="preserve">Olivera</t>
  </si>
  <si>
    <t xml:space="preserve">Delfina</t>
  </si>
  <si>
    <t xml:space="preserve">Ortega</t>
  </si>
  <si>
    <t xml:space="preserve">Alejo</t>
  </si>
  <si>
    <t xml:space="preserve">Palermo</t>
  </si>
  <si>
    <t xml:space="preserve">Mateo</t>
  </si>
  <si>
    <t xml:space="preserve">Prado</t>
  </si>
  <si>
    <t xml:space="preserve">Ivan</t>
  </si>
  <si>
    <t xml:space="preserve">Ravanelli</t>
  </si>
  <si>
    <t xml:space="preserve">Romero</t>
  </si>
  <si>
    <t xml:space="preserve">Matias</t>
  </si>
  <si>
    <t xml:space="preserve">Saigua</t>
  </si>
  <si>
    <t xml:space="preserve">Giuliana</t>
  </si>
  <si>
    <t xml:space="preserve">Videla</t>
  </si>
  <si>
    <t xml:space="preserve">p</t>
  </si>
  <si>
    <t xml:space="preserve">Zarraga (recur)</t>
  </si>
  <si>
    <t xml:space="preserve">SANTIBAÑEZ RAMÍREZ (recur)</t>
  </si>
  <si>
    <t xml:space="preserve">nombres</t>
  </si>
  <si>
    <t xml:space="preserve">apellido</t>
  </si>
  <si>
    <t xml:space="preserve">carpeta</t>
  </si>
  <si>
    <t xml:space="preserve">Asistenia</t>
  </si>
  <si>
    <t xml:space="preserve">1-sistVuelo</t>
  </si>
  <si>
    <t xml:space="preserve">recup</t>
  </si>
  <si>
    <t xml:space="preserve">2-indicador</t>
  </si>
  <si>
    <t xml:space="preserve">Recup</t>
  </si>
  <si>
    <t xml:space="preserve">4-cabinas</t>
  </si>
  <si>
    <t xml:space="preserve">6-inst de abordo</t>
  </si>
  <si>
    <t xml:space="preserve">Evaluacion</t>
  </si>
  <si>
    <t xml:space="preserve">valoracion</t>
  </si>
  <si>
    <t xml:space="preserve">Chaya-DeCarlo</t>
  </si>
  <si>
    <t xml:space="preserve">Grupo</t>
  </si>
  <si>
    <t xml:space="preserve">proyecto ADF</t>
  </si>
  <si>
    <t xml:space="preserve">Investigacion</t>
  </si>
  <si>
    <t xml:space="preserve">Manrique</t>
  </si>
  <si>
    <t xml:space="preserve">Gabriel Lautaro</t>
  </si>
  <si>
    <t xml:space="preserve">Martinez Ruiz Diaz</t>
  </si>
  <si>
    <t xml:space="preserve">Nota : si apruebas teoria y practica = aprueba</t>
  </si>
  <si>
    <t xml:space="preserve">si reprueba una de las partes= Reprueba</t>
  </si>
  <si>
    <t xml:space="preserve">Calificación/10,00</t>
  </si>
  <si>
    <t xml:space="preserve">promedio</t>
  </si>
  <si>
    <t xml:space="preserve">segunda</t>
  </si>
  <si>
    <t xml:space="preserve">final</t>
  </si>
  <si>
    <t xml:space="preserve">ALCARAZ</t>
  </si>
  <si>
    <t xml:space="preserve">ARREDONDO</t>
  </si>
  <si>
    <t xml:space="preserve">DIAZ</t>
  </si>
  <si>
    <t xml:space="preserve">FARIAS RUIZ</t>
  </si>
  <si>
    <t xml:space="preserve">FRANCOLINO</t>
  </si>
  <si>
    <t xml:space="preserve">GIRALDO GONZALEZ</t>
  </si>
  <si>
    <t xml:space="preserve">Hoyos</t>
  </si>
  <si>
    <t xml:space="preserve">JUNCAL</t>
  </si>
  <si>
    <t xml:space="preserve">LESME</t>
  </si>
  <si>
    <t xml:space="preserve">LUCERO</t>
  </si>
  <si>
    <t xml:space="preserve">LUJAN</t>
  </si>
  <si>
    <t xml:space="preserve">MANRIQUE DI FLORIO</t>
  </si>
  <si>
    <t xml:space="preserve">MARTINEZ DEL PINO (recur)</t>
  </si>
  <si>
    <t xml:space="preserve">MARTINEZ DEL PINO</t>
  </si>
  <si>
    <t xml:space="preserve">Martinez Ruiz Dias</t>
  </si>
  <si>
    <t xml:space="preserve">MARTINEZ RUIZ DIAZ</t>
  </si>
  <si>
    <t xml:space="preserve">MEDINA</t>
  </si>
  <si>
    <t xml:space="preserve">MELIN</t>
  </si>
  <si>
    <t xml:space="preserve">OLIVERA</t>
  </si>
  <si>
    <t xml:space="preserve">ORTEGA</t>
  </si>
  <si>
    <t xml:space="preserve">PALERMO TEJADA</t>
  </si>
  <si>
    <t xml:space="preserve">PRADO</t>
  </si>
  <si>
    <t xml:space="preserve">SAIGUA FRANCO</t>
  </si>
  <si>
    <t xml:space="preserve">VIDELA</t>
  </si>
  <si>
    <t xml:space="preserve">ZARRAGA</t>
  </si>
  <si>
    <t xml:space="preserve">CORONEL</t>
  </si>
  <si>
    <t xml:space="preserve">LOAIZA</t>
  </si>
  <si>
    <t xml:space="preserve">Martinez Ruiz Riaz</t>
  </si>
  <si>
    <t xml:space="preserve">toal</t>
  </si>
  <si>
    <t xml:space="preserve">RAVANELLI</t>
  </si>
  <si>
    <t xml:space="preserve">SANTIBAÑEZ RAMÍREZ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</si>
</sst>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6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0"/>
      <color rgb="FF00000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Calibri"/>
        <charset val="1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charset val="1"/>
        <family val="0"/>
        <color rgb="FFCC0000"/>
        <sz val="12"/>
      </font>
      <fill>
        <patternFill>
          <bgColor rgb="FFFFCCCC"/>
        </patternFill>
      </fill>
    </dxf>
    <dxf>
      <font>
        <name val="Calibri"/>
        <charset val="1"/>
        <family val="0"/>
        <b val="1"/>
        <color rgb="FFFFFFFF"/>
        <sz val="12"/>
      </font>
      <fill>
        <patternFill>
          <bgColor rgb="FFCC0000"/>
        </patternFill>
      </fill>
    </dxf>
    <dxf>
      <font>
        <name val="Calibri"/>
        <charset val="1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charset val="1"/>
        <family val="0"/>
        <color rgb="FFCC0000"/>
        <sz val="12"/>
      </font>
      <fill>
        <patternFill>
          <bgColor rgb="FFFFCCCC"/>
        </patternFill>
      </fill>
    </dxf>
    <dxf>
      <font>
        <name val="Calibri"/>
        <charset val="1"/>
        <family val="0"/>
        <b val="1"/>
        <color rgb="FFFFFFFF"/>
        <sz val="12"/>
      </font>
      <fill>
        <patternFill>
          <bgColor rgb="FFCC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31"/>
  <sheetViews>
    <sheetView showFormulas="false" showGridLines="true" showRowColHeaders="true" showZeros="true" rightToLeft="false" tabSelected="true" showOutlineSymbols="true" defaultGridColor="true" view="normal" topLeftCell="A4" colorId="64" zoomScale="120" zoomScaleNormal="120" zoomScalePageLayoutView="100" workbookViewId="0">
      <selection pane="topLeft" activeCell="AE19" activeCellId="0" sqref="AE19"/>
    </sheetView>
  </sheetViews>
  <sheetFormatPr defaultColWidth="8.86328125" defaultRowHeight="15" zeroHeight="false" outlineLevelRow="0" outlineLevelCol="0"/>
  <cols>
    <col collapsed="false" customWidth="true" hidden="false" outlineLevel="0" max="1" min="1" style="1" width="4.2"/>
    <col collapsed="false" customWidth="true" hidden="true" outlineLevel="0" max="2" min="2" style="1" width="20.07"/>
    <col collapsed="false" customWidth="true" hidden="false" outlineLevel="0" max="3" min="3" style="1" width="32.79"/>
    <col collapsed="false" customWidth="true" hidden="true" outlineLevel="0" max="4" min="4" style="1" width="35.71"/>
    <col collapsed="false" customWidth="false" hidden="true" outlineLevel="0" max="21" min="5" style="1" width="8.86"/>
    <col collapsed="false" customWidth="false" hidden="true" outlineLevel="0" max="28" min="22" style="0" width="8.86"/>
    <col collapsed="false" customWidth="true" hidden="false" outlineLevel="0" max="985" min="985" style="1" width="9.33"/>
    <col collapsed="false" customWidth="true" hidden="false" outlineLevel="0" max="16384" min="16346" style="1" width="10.58"/>
  </cols>
  <sheetData>
    <row r="1" customFormat="false" ht="15" hidden="false" customHeight="false" outlineLevel="0" collapsed="false">
      <c r="B1" s="2"/>
      <c r="C1" s="2"/>
      <c r="D1" s="2"/>
      <c r="E1" s="2"/>
    </row>
    <row r="2" customFormat="false" ht="15" hidden="false" customHeight="false" outlineLevel="0" collapsed="false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n">
        <v>46189</v>
      </c>
      <c r="G2" s="2" t="s">
        <v>5</v>
      </c>
      <c r="H2" s="3" t="n">
        <v>46111</v>
      </c>
      <c r="I2" s="3" t="s">
        <v>5</v>
      </c>
      <c r="J2" s="3" t="n">
        <v>46118</v>
      </c>
      <c r="K2" s="3" t="n">
        <v>46125</v>
      </c>
      <c r="L2" s="3" t="n">
        <v>46132</v>
      </c>
      <c r="M2" s="3" t="n">
        <v>46139</v>
      </c>
      <c r="N2" s="3" t="n">
        <v>46146</v>
      </c>
      <c r="O2" s="3" t="n">
        <v>46160</v>
      </c>
      <c r="P2" s="3" t="n">
        <v>46167</v>
      </c>
      <c r="Q2" s="3" t="n">
        <v>46174</v>
      </c>
      <c r="R2" s="3" t="s">
        <v>6</v>
      </c>
      <c r="S2" s="3" t="s">
        <v>7</v>
      </c>
      <c r="T2" s="3" t="s">
        <v>8</v>
      </c>
      <c r="U2" s="3" t="s">
        <v>9</v>
      </c>
      <c r="V2" s="3" t="n">
        <v>46181</v>
      </c>
      <c r="W2" s="3" t="n">
        <v>46202</v>
      </c>
      <c r="X2" s="3" t="n">
        <v>46209</v>
      </c>
      <c r="Y2" s="3" t="n">
        <v>46216</v>
      </c>
      <c r="Z2" s="3" t="n">
        <v>46237</v>
      </c>
      <c r="AA2" s="3" t="n">
        <v>46244</v>
      </c>
      <c r="AB2" s="3" t="n">
        <v>46258</v>
      </c>
      <c r="AC2" s="3" t="n">
        <v>46265</v>
      </c>
      <c r="AD2" s="3" t="n">
        <v>46241</v>
      </c>
      <c r="AE2" s="3" t="n">
        <v>46248</v>
      </c>
      <c r="AF2" s="3" t="n">
        <v>46251</v>
      </c>
      <c r="AG2" s="3" t="n">
        <v>46258</v>
      </c>
      <c r="AH2" s="3" t="n">
        <v>46265</v>
      </c>
      <c r="AI2" s="3" t="n">
        <v>46272</v>
      </c>
      <c r="AJ2" s="3" t="n">
        <v>46279</v>
      </c>
      <c r="AK2" s="3" t="n">
        <v>46286</v>
      </c>
      <c r="AL2" s="3" t="n">
        <v>46293</v>
      </c>
      <c r="AM2" s="3" t="n">
        <v>46300</v>
      </c>
      <c r="AN2" s="3" t="n">
        <v>46307</v>
      </c>
      <c r="AO2" s="3" t="n">
        <v>46314</v>
      </c>
      <c r="AP2" s="3" t="n">
        <v>46321</v>
      </c>
      <c r="AQ2" s="3" t="n">
        <v>46328</v>
      </c>
      <c r="AR2" s="3" t="n">
        <v>46335</v>
      </c>
      <c r="AS2" s="3" t="n">
        <v>46342</v>
      </c>
      <c r="AT2" s="3" t="n">
        <v>46349</v>
      </c>
      <c r="AU2" s="3" t="n">
        <v>46356</v>
      </c>
      <c r="AV2" s="3" t="n">
        <v>46363</v>
      </c>
      <c r="AW2" s="3" t="n">
        <v>46370</v>
      </c>
      <c r="AX2" s="3" t="n">
        <v>46377</v>
      </c>
      <c r="AY2" s="3" t="n">
        <v>46384</v>
      </c>
    </row>
    <row r="3" customFormat="false" ht="15" hidden="false" customHeight="false" outlineLevel="0" collapsed="false">
      <c r="A3" s="1" t="n">
        <v>1</v>
      </c>
      <c r="B3" s="2" t="s">
        <v>10</v>
      </c>
      <c r="C3" s="2" t="s">
        <v>11</v>
      </c>
      <c r="D3" s="2"/>
      <c r="E3" s="2" t="n">
        <v>4</v>
      </c>
      <c r="F3" s="2" t="s">
        <v>12</v>
      </c>
      <c r="H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13</v>
      </c>
      <c r="Q3" s="2" t="s">
        <v>12</v>
      </c>
      <c r="R3" s="2" t="n">
        <f aca="false">COUNTIF(F3:Q3,"P")</f>
        <v>8</v>
      </c>
      <c r="S3" s="2" t="n">
        <f aca="false">COUNTIF(F3:Q3,"A")</f>
        <v>1</v>
      </c>
      <c r="T3" s="2" t="n">
        <f aca="false">SUM(R3:S3)</f>
        <v>9</v>
      </c>
      <c r="U3" s="2" t="n">
        <f aca="false">ROUND(R3*10/T3,0)</f>
        <v>9</v>
      </c>
      <c r="V3" s="2" t="s">
        <v>12</v>
      </c>
      <c r="W3" s="2" t="s">
        <v>12</v>
      </c>
      <c r="X3" s="1" t="s">
        <v>12</v>
      </c>
      <c r="Y3" s="2" t="s">
        <v>12</v>
      </c>
      <c r="Z3" s="2" t="s">
        <v>12</v>
      </c>
      <c r="AA3" s="2" t="s">
        <v>13</v>
      </c>
      <c r="AB3" s="2" t="s">
        <v>12</v>
      </c>
      <c r="AC3" s="2" t="s">
        <v>12</v>
      </c>
      <c r="AD3" s="2" t="s">
        <v>12</v>
      </c>
      <c r="AE3" s="4" t="s">
        <v>12</v>
      </c>
    </row>
    <row r="4" customFormat="false" ht="15" hidden="false" customHeight="false" outlineLevel="0" collapsed="false">
      <c r="A4" s="1" t="n">
        <v>2</v>
      </c>
      <c r="B4" s="2" t="s">
        <v>14</v>
      </c>
      <c r="C4" s="2" t="s">
        <v>15</v>
      </c>
      <c r="D4" s="2"/>
      <c r="E4" s="2" t="n">
        <v>2</v>
      </c>
      <c r="F4" s="2" t="s">
        <v>12</v>
      </c>
      <c r="H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Q4" s="2" t="s">
        <v>12</v>
      </c>
      <c r="R4" s="2" t="n">
        <f aca="false">COUNTIF(F4:Q4,"P")</f>
        <v>9</v>
      </c>
      <c r="S4" s="2" t="n">
        <f aca="false">COUNTIF(F4:Q4,"A")</f>
        <v>0</v>
      </c>
      <c r="T4" s="2" t="n">
        <f aca="false">SUM(R4:S4)</f>
        <v>9</v>
      </c>
      <c r="U4" s="2" t="n">
        <f aca="false">ROUND(R4*10/T4,0)</f>
        <v>10</v>
      </c>
      <c r="V4" s="2" t="s">
        <v>13</v>
      </c>
      <c r="W4" s="2" t="s">
        <v>12</v>
      </c>
      <c r="X4" s="1" t="s">
        <v>12</v>
      </c>
      <c r="Y4" s="2" t="s">
        <v>12</v>
      </c>
      <c r="Z4" s="2" t="s">
        <v>12</v>
      </c>
      <c r="AA4" s="2" t="s">
        <v>13</v>
      </c>
      <c r="AB4" s="2" t="s">
        <v>12</v>
      </c>
      <c r="AC4" s="2" t="s">
        <v>13</v>
      </c>
      <c r="AD4" s="2" t="s">
        <v>12</v>
      </c>
      <c r="AE4" s="4" t="s">
        <v>12</v>
      </c>
    </row>
    <row r="5" customFormat="false" ht="15" hidden="false" customHeight="false" outlineLevel="0" collapsed="false">
      <c r="A5" s="1" t="n">
        <v>3</v>
      </c>
      <c r="B5" s="2" t="s">
        <v>16</v>
      </c>
      <c r="C5" s="2" t="s">
        <v>17</v>
      </c>
      <c r="D5" s="2"/>
      <c r="E5" s="2" t="n">
        <v>2</v>
      </c>
      <c r="F5" s="2" t="s">
        <v>13</v>
      </c>
      <c r="G5" s="2" t="s">
        <v>18</v>
      </c>
      <c r="H5" s="2" t="s">
        <v>13</v>
      </c>
      <c r="I5" s="2" t="s">
        <v>19</v>
      </c>
      <c r="J5" s="2" t="s">
        <v>13</v>
      </c>
      <c r="K5" s="2" t="s">
        <v>12</v>
      </c>
      <c r="L5" s="2" t="s">
        <v>13</v>
      </c>
      <c r="M5" s="2" t="s">
        <v>13</v>
      </c>
      <c r="N5" s="2" t="s">
        <v>13</v>
      </c>
      <c r="O5" s="2" t="s">
        <v>12</v>
      </c>
      <c r="Q5" s="2" t="s">
        <v>12</v>
      </c>
      <c r="R5" s="2" t="n">
        <f aca="false">COUNTIF(F5:Q5,"P")</f>
        <v>3</v>
      </c>
      <c r="S5" s="2" t="n">
        <f aca="false">COUNTIF(F5:Q5,"A")</f>
        <v>6</v>
      </c>
      <c r="T5" s="2" t="n">
        <f aca="false">SUM(R5:S5)</f>
        <v>9</v>
      </c>
      <c r="U5" s="2" t="n">
        <f aca="false">ROUND(R5*10/T5,0)</f>
        <v>3</v>
      </c>
      <c r="V5" s="2" t="s">
        <v>13</v>
      </c>
      <c r="W5" s="2" t="s">
        <v>12</v>
      </c>
      <c r="X5" s="1" t="s">
        <v>12</v>
      </c>
      <c r="Y5" s="2" t="s">
        <v>12</v>
      </c>
      <c r="Z5" s="2" t="s">
        <v>12</v>
      </c>
      <c r="AA5" s="2" t="s">
        <v>13</v>
      </c>
      <c r="AB5" s="2" t="s">
        <v>12</v>
      </c>
      <c r="AC5" s="2" t="s">
        <v>12</v>
      </c>
      <c r="AD5" s="2" t="s">
        <v>12</v>
      </c>
      <c r="AE5" s="4" t="s">
        <v>12</v>
      </c>
    </row>
    <row r="6" customFormat="false" ht="15" hidden="false" customHeight="false" outlineLevel="0" collapsed="false">
      <c r="A6" s="1" t="n">
        <v>4</v>
      </c>
      <c r="B6" s="2" t="s">
        <v>20</v>
      </c>
      <c r="C6" s="2" t="s">
        <v>21</v>
      </c>
      <c r="D6" s="2"/>
      <c r="E6" s="2"/>
      <c r="F6" s="2" t="s">
        <v>12</v>
      </c>
      <c r="H6" s="2" t="s">
        <v>12</v>
      </c>
      <c r="J6" s="2" t="s">
        <v>12</v>
      </c>
      <c r="K6" s="2" t="s">
        <v>12</v>
      </c>
      <c r="L6" s="2" t="s">
        <v>12</v>
      </c>
      <c r="M6" s="2" t="s">
        <v>13</v>
      </c>
      <c r="N6" s="2" t="s">
        <v>12</v>
      </c>
      <c r="O6" s="2" t="s">
        <v>12</v>
      </c>
      <c r="Q6" s="2" t="s">
        <v>12</v>
      </c>
      <c r="R6" s="2" t="n">
        <f aca="false">COUNTIF(F6:Q6,"P")</f>
        <v>8</v>
      </c>
      <c r="S6" s="2" t="n">
        <f aca="false">COUNTIF(F6:Q6,"A")</f>
        <v>1</v>
      </c>
      <c r="T6" s="2" t="n">
        <f aca="false">SUM(R6:S6)</f>
        <v>9</v>
      </c>
      <c r="U6" s="2" t="n">
        <f aca="false">ROUND(R6*10/T6,0)</f>
        <v>9</v>
      </c>
      <c r="V6" s="2" t="s">
        <v>12</v>
      </c>
      <c r="W6" s="2" t="s">
        <v>12</v>
      </c>
      <c r="X6" s="1" t="s">
        <v>12</v>
      </c>
      <c r="Y6" s="2" t="s">
        <v>12</v>
      </c>
      <c r="Z6" s="2" t="s">
        <v>13</v>
      </c>
      <c r="AA6" s="2" t="s">
        <v>13</v>
      </c>
      <c r="AB6" s="2" t="s">
        <v>12</v>
      </c>
      <c r="AC6" s="2" t="s">
        <v>12</v>
      </c>
      <c r="AD6" s="2" t="s">
        <v>12</v>
      </c>
      <c r="AE6" s="4" t="s">
        <v>12</v>
      </c>
    </row>
    <row r="7" customFormat="false" ht="15" hidden="false" customHeight="false" outlineLevel="0" collapsed="false">
      <c r="A7" s="1" t="n">
        <v>5</v>
      </c>
      <c r="B7" s="2" t="s">
        <v>22</v>
      </c>
      <c r="C7" s="2" t="s">
        <v>23</v>
      </c>
      <c r="D7" s="2"/>
      <c r="E7" s="2"/>
      <c r="F7" s="2" t="s">
        <v>12</v>
      </c>
      <c r="H7" s="2" t="s">
        <v>12</v>
      </c>
      <c r="J7" s="2" t="s">
        <v>13</v>
      </c>
      <c r="K7" s="2" t="s">
        <v>12</v>
      </c>
      <c r="L7" s="2" t="s">
        <v>12</v>
      </c>
      <c r="M7" s="2" t="s">
        <v>12</v>
      </c>
      <c r="N7" s="2" t="s">
        <v>12</v>
      </c>
      <c r="O7" s="2" t="s">
        <v>12</v>
      </c>
      <c r="Q7" s="2" t="s">
        <v>12</v>
      </c>
      <c r="R7" s="2" t="n">
        <f aca="false">COUNTIF(F7:Q7,"P")</f>
        <v>8</v>
      </c>
      <c r="S7" s="2" t="n">
        <f aca="false">COUNTIF(F7:Q7,"A")</f>
        <v>1</v>
      </c>
      <c r="T7" s="2" t="n">
        <f aca="false">SUM(R7:S7)</f>
        <v>9</v>
      </c>
      <c r="U7" s="2" t="n">
        <f aca="false">ROUND(R7*10/T7,0)</f>
        <v>9</v>
      </c>
      <c r="V7" s="2" t="s">
        <v>13</v>
      </c>
      <c r="W7" s="2" t="s">
        <v>12</v>
      </c>
      <c r="X7" s="1" t="s">
        <v>12</v>
      </c>
      <c r="Y7" s="2" t="s">
        <v>12</v>
      </c>
      <c r="Z7" s="2" t="s">
        <v>12</v>
      </c>
      <c r="AA7" s="2" t="s">
        <v>13</v>
      </c>
      <c r="AB7" s="2" t="s">
        <v>12</v>
      </c>
      <c r="AC7" s="2" t="s">
        <v>12</v>
      </c>
      <c r="AD7" s="2" t="s">
        <v>12</v>
      </c>
      <c r="AE7" s="4" t="s">
        <v>12</v>
      </c>
    </row>
    <row r="8" customFormat="false" ht="15" hidden="false" customHeight="false" outlineLevel="0" collapsed="false">
      <c r="A8" s="1" t="n">
        <v>6</v>
      </c>
      <c r="B8" s="2" t="s">
        <v>24</v>
      </c>
      <c r="C8" s="2" t="s">
        <v>25</v>
      </c>
      <c r="D8" s="2"/>
      <c r="E8" s="2"/>
      <c r="F8" s="2" t="s">
        <v>12</v>
      </c>
      <c r="H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  <c r="N8" s="2" t="s">
        <v>12</v>
      </c>
      <c r="O8" s="2" t="s">
        <v>13</v>
      </c>
      <c r="Q8" s="2" t="s">
        <v>12</v>
      </c>
      <c r="R8" s="2" t="n">
        <f aca="false">COUNTIF(F8:Q8,"P")</f>
        <v>8</v>
      </c>
      <c r="S8" s="2" t="n">
        <f aca="false">COUNTIF(F8:Q8,"A")</f>
        <v>1</v>
      </c>
      <c r="T8" s="2" t="n">
        <f aca="false">SUM(R8:S8)</f>
        <v>9</v>
      </c>
      <c r="U8" s="2" t="n">
        <f aca="false">ROUND(R8*10/T8,0)</f>
        <v>9</v>
      </c>
      <c r="V8" s="2" t="s">
        <v>12</v>
      </c>
      <c r="W8" s="2" t="s">
        <v>12</v>
      </c>
      <c r="X8" s="1" t="s">
        <v>12</v>
      </c>
      <c r="Y8" s="2" t="s">
        <v>12</v>
      </c>
      <c r="Z8" s="2" t="s">
        <v>13</v>
      </c>
      <c r="AA8" s="2" t="s">
        <v>13</v>
      </c>
      <c r="AB8" s="2" t="s">
        <v>12</v>
      </c>
      <c r="AC8" s="2" t="s">
        <v>12</v>
      </c>
      <c r="AD8" s="2" t="s">
        <v>12</v>
      </c>
      <c r="AE8" s="4" t="s">
        <v>12</v>
      </c>
    </row>
    <row r="9" customFormat="false" ht="15" hidden="false" customHeight="false" outlineLevel="0" collapsed="false">
      <c r="A9" s="1" t="n">
        <v>7</v>
      </c>
      <c r="B9" s="2" t="s">
        <v>26</v>
      </c>
      <c r="C9" s="2" t="s">
        <v>27</v>
      </c>
      <c r="D9" s="2"/>
      <c r="E9" s="2"/>
      <c r="F9" s="2" t="s">
        <v>12</v>
      </c>
      <c r="H9" s="2" t="s">
        <v>12</v>
      </c>
      <c r="J9" s="2" t="s">
        <v>12</v>
      </c>
      <c r="K9" s="2" t="s">
        <v>12</v>
      </c>
      <c r="L9" s="2" t="s">
        <v>12</v>
      </c>
      <c r="M9" s="2" t="s">
        <v>13</v>
      </c>
      <c r="N9" s="2" t="s">
        <v>12</v>
      </c>
      <c r="O9" s="2" t="s">
        <v>12</v>
      </c>
      <c r="Q9" s="2" t="s">
        <v>12</v>
      </c>
      <c r="R9" s="2" t="n">
        <f aca="false">COUNTIF(F9:Q9,"P")</f>
        <v>8</v>
      </c>
      <c r="S9" s="2" t="n">
        <f aca="false">COUNTIF(F9:Q9,"A")</f>
        <v>1</v>
      </c>
      <c r="T9" s="2" t="n">
        <f aca="false">SUM(R9:S9)</f>
        <v>9</v>
      </c>
      <c r="U9" s="2" t="n">
        <f aca="false">ROUND(R9*10/T9,0)</f>
        <v>9</v>
      </c>
      <c r="V9" s="2" t="s">
        <v>13</v>
      </c>
      <c r="W9" s="2" t="s">
        <v>12</v>
      </c>
      <c r="X9" s="1" t="s">
        <v>12</v>
      </c>
      <c r="Y9" s="2" t="s">
        <v>12</v>
      </c>
      <c r="Z9" s="2" t="s">
        <v>13</v>
      </c>
      <c r="AA9" s="2" t="s">
        <v>13</v>
      </c>
      <c r="AB9" s="2" t="s">
        <v>13</v>
      </c>
      <c r="AC9" s="2" t="s">
        <v>13</v>
      </c>
      <c r="AD9" s="2" t="s">
        <v>12</v>
      </c>
      <c r="AE9" s="4" t="s">
        <v>12</v>
      </c>
    </row>
    <row r="10" s="5" customFormat="true" ht="15" hidden="false" customHeight="false" outlineLevel="0" collapsed="false">
      <c r="A10" s="5" t="n">
        <v>25</v>
      </c>
      <c r="B10" s="6"/>
      <c r="C10" s="6" t="s">
        <v>28</v>
      </c>
      <c r="F10" s="6"/>
      <c r="J10" s="6" t="s">
        <v>12</v>
      </c>
      <c r="K10" s="6" t="s">
        <v>12</v>
      </c>
      <c r="L10" s="6" t="s">
        <v>12</v>
      </c>
      <c r="M10" s="6" t="s">
        <v>12</v>
      </c>
      <c r="N10" s="6" t="s">
        <v>12</v>
      </c>
      <c r="O10" s="6" t="s">
        <v>12</v>
      </c>
      <c r="Q10" s="6" t="s">
        <v>12</v>
      </c>
      <c r="R10" s="6" t="n">
        <f aca="false">COUNTIF(F10:Q10,"P")</f>
        <v>7</v>
      </c>
      <c r="S10" s="6" t="n">
        <f aca="false">COUNTIF(F10:Q10,"A")</f>
        <v>0</v>
      </c>
      <c r="T10" s="6" t="n">
        <f aca="false">SUM(R10:S10)</f>
        <v>7</v>
      </c>
      <c r="U10" s="6" t="n">
        <f aca="false">ROUND(R10*10/T10,0)</f>
        <v>10</v>
      </c>
      <c r="V10" s="5" t="s">
        <v>13</v>
      </c>
      <c r="W10" s="5" t="s">
        <v>12</v>
      </c>
      <c r="X10" s="5" t="s">
        <v>12</v>
      </c>
      <c r="Y10" s="5" t="s">
        <v>12</v>
      </c>
      <c r="Z10" s="5" t="s">
        <v>12</v>
      </c>
      <c r="AA10" s="2" t="s">
        <v>13</v>
      </c>
      <c r="AB10" s="5" t="s">
        <v>12</v>
      </c>
      <c r="AC10" s="5" t="s">
        <v>12</v>
      </c>
      <c r="AD10" s="5" t="s">
        <v>13</v>
      </c>
      <c r="AE10" s="5" t="s">
        <v>12</v>
      </c>
    </row>
    <row r="11" customFormat="false" ht="15" hidden="false" customHeight="false" outlineLevel="0" collapsed="false">
      <c r="A11" s="1" t="n">
        <v>8</v>
      </c>
      <c r="B11" s="2" t="s">
        <v>29</v>
      </c>
      <c r="C11" s="2" t="s">
        <v>30</v>
      </c>
      <c r="D11" s="2"/>
      <c r="E11" s="2"/>
      <c r="F11" s="2" t="s">
        <v>12</v>
      </c>
      <c r="H11" s="2" t="s">
        <v>12</v>
      </c>
      <c r="J11" s="2" t="s">
        <v>12</v>
      </c>
      <c r="K11" s="2" t="s">
        <v>12</v>
      </c>
      <c r="L11" s="2" t="s">
        <v>12</v>
      </c>
      <c r="M11" s="2" t="s">
        <v>12</v>
      </c>
      <c r="N11" s="2" t="s">
        <v>12</v>
      </c>
      <c r="O11" s="2" t="s">
        <v>12</v>
      </c>
      <c r="Q11" s="2" t="s">
        <v>12</v>
      </c>
      <c r="R11" s="2" t="n">
        <f aca="false">COUNTIF(F11:Q11,"P")</f>
        <v>9</v>
      </c>
      <c r="S11" s="2" t="n">
        <f aca="false">COUNTIF(F11:Q11,"A")</f>
        <v>0</v>
      </c>
      <c r="T11" s="2" t="n">
        <f aca="false">SUM(R11:S11)</f>
        <v>9</v>
      </c>
      <c r="U11" s="2" t="n">
        <f aca="false">ROUND(R11*10/T11,0)</f>
        <v>10</v>
      </c>
      <c r="V11" s="2" t="s">
        <v>12</v>
      </c>
      <c r="W11" s="2" t="s">
        <v>12</v>
      </c>
      <c r="X11" s="1" t="s">
        <v>12</v>
      </c>
      <c r="Y11" s="2" t="s">
        <v>12</v>
      </c>
      <c r="Z11" s="2" t="s">
        <v>13</v>
      </c>
      <c r="AA11" s="2" t="s">
        <v>13</v>
      </c>
      <c r="AB11" s="2" t="s">
        <v>12</v>
      </c>
      <c r="AC11" s="2" t="s">
        <v>12</v>
      </c>
      <c r="AD11" s="2" t="s">
        <v>12</v>
      </c>
      <c r="AE11" s="4" t="s">
        <v>12</v>
      </c>
    </row>
    <row r="12" customFormat="false" ht="15" hidden="false" customHeight="false" outlineLevel="0" collapsed="false">
      <c r="A12" s="1" t="n">
        <v>9</v>
      </c>
      <c r="B12" s="2" t="s">
        <v>31</v>
      </c>
      <c r="C12" s="2" t="s">
        <v>32</v>
      </c>
      <c r="D12" s="2"/>
      <c r="E12" s="2"/>
      <c r="F12" s="2" t="s">
        <v>12</v>
      </c>
      <c r="H12" s="2" t="s">
        <v>12</v>
      </c>
      <c r="J12" s="2" t="s">
        <v>12</v>
      </c>
      <c r="K12" s="2" t="s">
        <v>12</v>
      </c>
      <c r="L12" s="2" t="s">
        <v>12</v>
      </c>
      <c r="M12" s="2" t="s">
        <v>12</v>
      </c>
      <c r="N12" s="2" t="s">
        <v>12</v>
      </c>
      <c r="O12" s="2" t="s">
        <v>12</v>
      </c>
      <c r="Q12" s="2" t="s">
        <v>12</v>
      </c>
      <c r="R12" s="2" t="n">
        <f aca="false">COUNTIF(F12:Q12,"P")</f>
        <v>9</v>
      </c>
      <c r="S12" s="2" t="n">
        <f aca="false">COUNTIF(F12:Q12,"A")</f>
        <v>0</v>
      </c>
      <c r="T12" s="2" t="n">
        <f aca="false">SUM(R12:S12)</f>
        <v>9</v>
      </c>
      <c r="U12" s="2" t="n">
        <f aca="false">ROUND(R12*10/T12,0)</f>
        <v>10</v>
      </c>
      <c r="V12" s="2" t="s">
        <v>12</v>
      </c>
      <c r="W12" s="2" t="s">
        <v>12</v>
      </c>
      <c r="X12" s="1" t="s">
        <v>12</v>
      </c>
      <c r="Y12" s="2" t="s">
        <v>12</v>
      </c>
      <c r="Z12" s="2" t="s">
        <v>12</v>
      </c>
      <c r="AA12" s="2" t="s">
        <v>13</v>
      </c>
      <c r="AB12" s="2" t="s">
        <v>12</v>
      </c>
      <c r="AC12" s="2" t="s">
        <v>12</v>
      </c>
      <c r="AD12" s="2" t="s">
        <v>12</v>
      </c>
      <c r="AE12" s="4" t="s">
        <v>12</v>
      </c>
    </row>
    <row r="13" customFormat="false" ht="15" hidden="false" customHeight="false" outlineLevel="0" collapsed="false">
      <c r="A13" s="1" t="n">
        <v>10</v>
      </c>
      <c r="B13" s="2" t="s">
        <v>33</v>
      </c>
      <c r="C13" s="2" t="s">
        <v>34</v>
      </c>
      <c r="D13" s="2"/>
      <c r="E13" s="2"/>
      <c r="F13" s="2" t="s">
        <v>12</v>
      </c>
      <c r="H13" s="2" t="s">
        <v>12</v>
      </c>
      <c r="J13" s="2" t="s">
        <v>12</v>
      </c>
      <c r="K13" s="2" t="s">
        <v>12</v>
      </c>
      <c r="L13" s="2" t="s">
        <v>12</v>
      </c>
      <c r="M13" s="2" t="s">
        <v>12</v>
      </c>
      <c r="N13" s="2" t="s">
        <v>12</v>
      </c>
      <c r="O13" s="2" t="s">
        <v>13</v>
      </c>
      <c r="Q13" s="2" t="s">
        <v>12</v>
      </c>
      <c r="R13" s="2" t="n">
        <f aca="false">COUNTIF(F13:Q13,"P")</f>
        <v>8</v>
      </c>
      <c r="S13" s="2" t="n">
        <f aca="false">COUNTIF(F13:Q13,"A")</f>
        <v>1</v>
      </c>
      <c r="T13" s="2" t="n">
        <f aca="false">SUM(R13:S13)</f>
        <v>9</v>
      </c>
      <c r="U13" s="2" t="n">
        <f aca="false">ROUND(R13*10/T13,0)</f>
        <v>9</v>
      </c>
      <c r="V13" s="2" t="s">
        <v>13</v>
      </c>
      <c r="W13" s="2" t="s">
        <v>12</v>
      </c>
      <c r="X13" s="1" t="s">
        <v>12</v>
      </c>
      <c r="Y13" s="2" t="s">
        <v>12</v>
      </c>
      <c r="Z13" s="2" t="s">
        <v>12</v>
      </c>
      <c r="AA13" s="2" t="s">
        <v>13</v>
      </c>
      <c r="AB13" s="2" t="s">
        <v>12</v>
      </c>
      <c r="AC13" s="2" t="s">
        <v>12</v>
      </c>
      <c r="AD13" s="2" t="s">
        <v>12</v>
      </c>
      <c r="AE13" s="4" t="s">
        <v>12</v>
      </c>
    </row>
    <row r="14" customFormat="false" ht="15" hidden="false" customHeight="false" outlineLevel="0" collapsed="false">
      <c r="A14" s="1" t="n">
        <v>11</v>
      </c>
      <c r="B14" s="2" t="s">
        <v>35</v>
      </c>
      <c r="C14" s="2" t="s">
        <v>36</v>
      </c>
      <c r="D14" s="2"/>
      <c r="E14" s="2"/>
      <c r="F14" s="2" t="s">
        <v>12</v>
      </c>
      <c r="H14" s="2" t="s">
        <v>12</v>
      </c>
      <c r="J14" s="2" t="s">
        <v>12</v>
      </c>
      <c r="K14" s="2" t="s">
        <v>12</v>
      </c>
      <c r="L14" s="2" t="s">
        <v>12</v>
      </c>
      <c r="M14" s="2" t="s">
        <v>12</v>
      </c>
      <c r="N14" s="2" t="s">
        <v>13</v>
      </c>
      <c r="O14" s="2" t="s">
        <v>12</v>
      </c>
      <c r="Q14" s="2" t="s">
        <v>12</v>
      </c>
      <c r="R14" s="2" t="n">
        <f aca="false">COUNTIF(F14:Q14,"P")</f>
        <v>8</v>
      </c>
      <c r="S14" s="2" t="n">
        <f aca="false">COUNTIF(F14:Q14,"A")</f>
        <v>1</v>
      </c>
      <c r="T14" s="2" t="n">
        <f aca="false">SUM(R14:S14)</f>
        <v>9</v>
      </c>
      <c r="U14" s="2" t="n">
        <f aca="false">ROUND(R14*10/T14,0)</f>
        <v>9</v>
      </c>
      <c r="V14" s="2" t="s">
        <v>12</v>
      </c>
      <c r="W14" s="2" t="s">
        <v>12</v>
      </c>
      <c r="X14" s="1" t="s">
        <v>13</v>
      </c>
      <c r="Y14" s="2" t="s">
        <v>12</v>
      </c>
      <c r="Z14" s="2" t="s">
        <v>12</v>
      </c>
      <c r="AA14" s="2" t="s">
        <v>13</v>
      </c>
      <c r="AB14" s="2" t="s">
        <v>12</v>
      </c>
      <c r="AC14" s="2" t="s">
        <v>13</v>
      </c>
      <c r="AD14" s="2" t="s">
        <v>12</v>
      </c>
      <c r="AE14" s="4" t="s">
        <v>12</v>
      </c>
    </row>
    <row r="15" s="2" customFormat="true" ht="15" hidden="false" customHeight="false" outlineLevel="0" collapsed="false">
      <c r="A15" s="1" t="n">
        <v>12</v>
      </c>
      <c r="B15" s="2" t="s">
        <v>35</v>
      </c>
      <c r="C15" s="2" t="s">
        <v>37</v>
      </c>
      <c r="F15" s="2" t="s">
        <v>12</v>
      </c>
      <c r="G15" s="1"/>
      <c r="H15" s="2" t="s">
        <v>12</v>
      </c>
      <c r="I15" s="1"/>
      <c r="J15" s="2" t="s">
        <v>13</v>
      </c>
      <c r="K15" s="2" t="s">
        <v>12</v>
      </c>
      <c r="L15" s="2" t="s">
        <v>12</v>
      </c>
      <c r="M15" s="2" t="s">
        <v>12</v>
      </c>
      <c r="N15" s="2" t="s">
        <v>13</v>
      </c>
      <c r="O15" s="2" t="s">
        <v>12</v>
      </c>
      <c r="P15" s="1"/>
      <c r="Q15" s="2" t="s">
        <v>12</v>
      </c>
      <c r="R15" s="2" t="n">
        <f aca="false">COUNTIF(F15:Q15,"P")</f>
        <v>7</v>
      </c>
      <c r="S15" s="2" t="n">
        <f aca="false">COUNTIF(F15:Q15,"A")</f>
        <v>2</v>
      </c>
      <c r="T15" s="2" t="n">
        <f aca="false">SUM(R15:S15)</f>
        <v>9</v>
      </c>
      <c r="U15" s="2" t="n">
        <f aca="false">ROUND(R15*10/T15,0)</f>
        <v>8</v>
      </c>
      <c r="V15" s="2" t="s">
        <v>12</v>
      </c>
      <c r="W15" s="2" t="s">
        <v>12</v>
      </c>
      <c r="X15" s="2" t="s">
        <v>12</v>
      </c>
      <c r="Y15" s="2" t="s">
        <v>12</v>
      </c>
      <c r="Z15" s="2" t="s">
        <v>12</v>
      </c>
      <c r="AA15" s="2" t="s">
        <v>13</v>
      </c>
      <c r="AB15" s="2" t="s">
        <v>12</v>
      </c>
      <c r="AC15" s="2" t="s">
        <v>12</v>
      </c>
      <c r="AD15" s="2" t="s">
        <v>12</v>
      </c>
      <c r="AE15" s="2" t="s">
        <v>12</v>
      </c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  <c r="AMK15" s="1"/>
      <c r="AML15" s="1"/>
      <c r="AMM15" s="1"/>
      <c r="AMN15" s="1"/>
      <c r="AMO15" s="1"/>
      <c r="XDR15" s="1"/>
      <c r="XDS15" s="1"/>
      <c r="XDT15" s="1"/>
      <c r="XDU15" s="1"/>
      <c r="XDV15" s="1"/>
      <c r="XDW15" s="1"/>
      <c r="XDX15" s="1"/>
      <c r="XDY15" s="1"/>
      <c r="XDZ15" s="1"/>
      <c r="XEA15" s="1"/>
      <c r="XEB15" s="1"/>
      <c r="XEC15" s="1"/>
      <c r="XED15" s="1"/>
      <c r="XEE15" s="1"/>
      <c r="XEF15" s="1"/>
      <c r="XEG15" s="1"/>
      <c r="XEH15" s="1"/>
      <c r="XEI15" s="1"/>
      <c r="XEJ15" s="1"/>
      <c r="XEK15" s="1"/>
      <c r="XEL15" s="1"/>
      <c r="XEM15" s="1"/>
      <c r="XEN15" s="1"/>
      <c r="XEO15" s="1"/>
      <c r="XEP15" s="1"/>
      <c r="XEQ15" s="1"/>
      <c r="XER15" s="1"/>
      <c r="XES15" s="1"/>
      <c r="XET15" s="1"/>
      <c r="XEU15" s="1"/>
      <c r="XEV15" s="1"/>
      <c r="XEW15" s="1"/>
      <c r="XEX15" s="1"/>
      <c r="XEY15" s="1"/>
      <c r="XEZ15" s="1"/>
      <c r="XFA15" s="1"/>
      <c r="XFB15" s="1"/>
      <c r="XFC15" s="1"/>
      <c r="XFD15" s="1"/>
    </row>
    <row r="16" s="1" customFormat="true" ht="15" hidden="false" customHeight="false" outlineLevel="0" collapsed="false">
      <c r="A16" s="1" t="n">
        <v>13</v>
      </c>
      <c r="B16" s="2" t="s">
        <v>38</v>
      </c>
      <c r="C16" s="2" t="s">
        <v>39</v>
      </c>
      <c r="D16" s="2"/>
      <c r="E16" s="2"/>
      <c r="F16" s="2" t="s">
        <v>12</v>
      </c>
      <c r="G16" s="2"/>
      <c r="H16" s="2" t="s">
        <v>12</v>
      </c>
      <c r="I16" s="2"/>
      <c r="J16" s="2" t="s">
        <v>12</v>
      </c>
      <c r="K16" s="2" t="s">
        <v>13</v>
      </c>
      <c r="L16" s="2" t="s">
        <v>12</v>
      </c>
      <c r="M16" s="2" t="s">
        <v>12</v>
      </c>
      <c r="N16" s="2" t="s">
        <v>12</v>
      </c>
      <c r="O16" s="2" t="s">
        <v>12</v>
      </c>
      <c r="P16" s="2"/>
      <c r="Q16" s="2" t="s">
        <v>12</v>
      </c>
      <c r="R16" s="2" t="n">
        <f aca="false">COUNTIF(F16:Q16,"P")</f>
        <v>8</v>
      </c>
      <c r="S16" s="2" t="n">
        <f aca="false">COUNTIF(F16:Q16,"A")</f>
        <v>1</v>
      </c>
      <c r="T16" s="2" t="n">
        <f aca="false">SUM(R16:S16)</f>
        <v>9</v>
      </c>
      <c r="U16" s="2" t="n">
        <f aca="false">ROUND(R16*10/T16,0)</f>
        <v>9</v>
      </c>
      <c r="V16" s="1" t="s">
        <v>12</v>
      </c>
      <c r="W16" s="1" t="s">
        <v>12</v>
      </c>
      <c r="X16" s="1" t="s">
        <v>12</v>
      </c>
      <c r="Y16" s="1" t="s">
        <v>12</v>
      </c>
      <c r="Z16" s="1" t="s">
        <v>12</v>
      </c>
      <c r="AA16" s="2" t="s">
        <v>13</v>
      </c>
      <c r="AB16" s="1" t="s">
        <v>12</v>
      </c>
      <c r="AC16" s="1" t="s">
        <v>12</v>
      </c>
      <c r="AD16" s="1" t="s">
        <v>13</v>
      </c>
      <c r="AE16" s="1" t="s">
        <v>12</v>
      </c>
    </row>
    <row r="17" s="5" customFormat="true" ht="15" hidden="false" customHeight="false" outlineLevel="0" collapsed="false">
      <c r="A17" s="5" t="n">
        <v>26</v>
      </c>
      <c r="B17" s="6"/>
      <c r="C17" s="6" t="s">
        <v>40</v>
      </c>
      <c r="F17" s="6"/>
      <c r="J17" s="6" t="s">
        <v>12</v>
      </c>
      <c r="K17" s="6" t="s">
        <v>12</v>
      </c>
      <c r="L17" s="6" t="s">
        <v>12</v>
      </c>
      <c r="M17" s="6" t="s">
        <v>12</v>
      </c>
      <c r="N17" s="6" t="s">
        <v>12</v>
      </c>
      <c r="O17" s="6" t="s">
        <v>12</v>
      </c>
      <c r="Q17" s="6" t="s">
        <v>13</v>
      </c>
      <c r="R17" s="6" t="n">
        <f aca="false">COUNTIF(F17:Q17,"P")</f>
        <v>6</v>
      </c>
      <c r="S17" s="6" t="n">
        <f aca="false">COUNTIF(F17:Q17,"A")</f>
        <v>1</v>
      </c>
      <c r="T17" s="6" t="n">
        <f aca="false">SUM(R17:S17)</f>
        <v>7</v>
      </c>
      <c r="U17" s="6" t="n">
        <f aca="false">ROUND(R17*10/T17,0)</f>
        <v>9</v>
      </c>
      <c r="V17" s="5" t="s">
        <v>13</v>
      </c>
      <c r="W17" s="5" t="s">
        <v>12</v>
      </c>
      <c r="X17" s="5" t="s">
        <v>12</v>
      </c>
      <c r="Y17" s="5" t="s">
        <v>12</v>
      </c>
      <c r="Z17" s="5" t="s">
        <v>12</v>
      </c>
      <c r="AA17" s="2" t="s">
        <v>13</v>
      </c>
      <c r="AB17" s="5" t="s">
        <v>12</v>
      </c>
      <c r="AC17" s="5" t="s">
        <v>12</v>
      </c>
      <c r="AD17" s="5" t="s">
        <v>13</v>
      </c>
      <c r="AE17" s="5" t="s">
        <v>12</v>
      </c>
    </row>
    <row r="18" s="2" customFormat="true" ht="15" hidden="false" customHeight="false" outlineLevel="0" collapsed="false">
      <c r="A18" s="1" t="n">
        <v>14</v>
      </c>
      <c r="B18" s="2" t="s">
        <v>41</v>
      </c>
      <c r="C18" s="2" t="s">
        <v>42</v>
      </c>
      <c r="F18" s="1" t="s">
        <v>12</v>
      </c>
      <c r="G18" s="1"/>
      <c r="H18" s="1" t="s">
        <v>12</v>
      </c>
      <c r="I18" s="1"/>
      <c r="J18" s="1" t="s">
        <v>13</v>
      </c>
      <c r="K18" s="1" t="s">
        <v>12</v>
      </c>
      <c r="L18" s="1" t="s">
        <v>12</v>
      </c>
      <c r="M18" s="1" t="s">
        <v>12</v>
      </c>
      <c r="N18" s="1" t="s">
        <v>12</v>
      </c>
      <c r="O18" s="1" t="s">
        <v>12</v>
      </c>
      <c r="P18" s="1"/>
      <c r="Q18" s="1" t="s">
        <v>12</v>
      </c>
      <c r="R18" s="2" t="n">
        <f aca="false">COUNTIF(F18:Q18,"P")</f>
        <v>8</v>
      </c>
      <c r="S18" s="2" t="n">
        <f aca="false">COUNTIF(F18:Q18,"A")</f>
        <v>1</v>
      </c>
      <c r="T18" s="2" t="n">
        <f aca="false">SUM(R18:S18)</f>
        <v>9</v>
      </c>
      <c r="U18" s="2" t="n">
        <f aca="false">ROUND(R18*10/T18,0)</f>
        <v>9</v>
      </c>
      <c r="V18" s="2" t="s">
        <v>12</v>
      </c>
      <c r="W18" s="2" t="s">
        <v>12</v>
      </c>
      <c r="X18" s="2" t="s">
        <v>12</v>
      </c>
      <c r="Y18" s="2" t="s">
        <v>13</v>
      </c>
      <c r="Z18" s="2" t="s">
        <v>12</v>
      </c>
      <c r="AA18" s="2" t="s">
        <v>13</v>
      </c>
      <c r="AB18" s="2" t="s">
        <v>13</v>
      </c>
      <c r="AC18" s="2" t="s">
        <v>12</v>
      </c>
      <c r="AD18" s="2" t="s">
        <v>12</v>
      </c>
      <c r="AE18" s="2" t="s">
        <v>12</v>
      </c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XDR18" s="1"/>
      <c r="XDS18" s="1"/>
      <c r="XDT18" s="1"/>
      <c r="XDU18" s="1"/>
      <c r="XDV18" s="1"/>
      <c r="XDW18" s="1"/>
      <c r="XDX18" s="1"/>
      <c r="XDY18" s="1"/>
      <c r="XDZ18" s="1"/>
      <c r="XEA18" s="1"/>
      <c r="XEB18" s="1"/>
      <c r="XEC18" s="1"/>
      <c r="XED18" s="1"/>
      <c r="XEE18" s="1"/>
      <c r="XEF18" s="1"/>
      <c r="XEG18" s="1"/>
      <c r="XEH18" s="1"/>
      <c r="XEI18" s="1"/>
      <c r="XEJ18" s="1"/>
      <c r="XEK18" s="1"/>
      <c r="XEL18" s="1"/>
      <c r="XEM18" s="1"/>
      <c r="XEN18" s="1"/>
      <c r="XEO18" s="1"/>
      <c r="XEP18" s="1"/>
      <c r="XEQ18" s="1"/>
      <c r="XER18" s="1"/>
      <c r="XES18" s="1"/>
      <c r="XET18" s="1"/>
      <c r="XEU18" s="1"/>
      <c r="XEV18" s="1"/>
      <c r="XEW18" s="1"/>
      <c r="XEX18" s="1"/>
      <c r="XEY18" s="1"/>
      <c r="XEZ18" s="1"/>
      <c r="XFA18" s="1"/>
      <c r="XFB18" s="1"/>
      <c r="XFC18" s="1"/>
      <c r="XFD18" s="1"/>
    </row>
    <row r="19" s="6" customFormat="true" ht="15" hidden="false" customHeight="false" outlineLevel="0" collapsed="false">
      <c r="A19" s="5" t="n">
        <v>24</v>
      </c>
      <c r="C19" s="6" t="s">
        <v>43</v>
      </c>
      <c r="D19" s="5"/>
      <c r="E19" s="5"/>
      <c r="G19" s="5"/>
      <c r="H19" s="5"/>
      <c r="I19" s="5"/>
      <c r="J19" s="6" t="s">
        <v>12</v>
      </c>
      <c r="K19" s="6" t="s">
        <v>12</v>
      </c>
      <c r="L19" s="6" t="s">
        <v>12</v>
      </c>
      <c r="M19" s="6" t="s">
        <v>12</v>
      </c>
      <c r="N19" s="6" t="s">
        <v>13</v>
      </c>
      <c r="O19" s="6" t="s">
        <v>12</v>
      </c>
      <c r="P19" s="5"/>
      <c r="Q19" s="6" t="s">
        <v>13</v>
      </c>
      <c r="R19" s="6" t="n">
        <f aca="false">COUNTIF(F19:Q19,"P")</f>
        <v>5</v>
      </c>
      <c r="S19" s="6" t="n">
        <f aca="false">COUNTIF(F19:Q19,"A")</f>
        <v>2</v>
      </c>
      <c r="T19" s="6" t="n">
        <f aca="false">SUM(R19:S19)</f>
        <v>7</v>
      </c>
      <c r="U19" s="6" t="n">
        <f aca="false">ROUND(R19*10/T19,0)</f>
        <v>7</v>
      </c>
      <c r="V19" s="6" t="s">
        <v>13</v>
      </c>
      <c r="W19" s="6" t="s">
        <v>12</v>
      </c>
      <c r="X19" s="6" t="s">
        <v>12</v>
      </c>
      <c r="Y19" s="6" t="s">
        <v>12</v>
      </c>
      <c r="Z19" s="6" t="s">
        <v>12</v>
      </c>
      <c r="AA19" s="2" t="s">
        <v>13</v>
      </c>
      <c r="AB19" s="6" t="s">
        <v>13</v>
      </c>
      <c r="AC19" s="6" t="s">
        <v>12</v>
      </c>
      <c r="AD19" s="6" t="s">
        <v>13</v>
      </c>
      <c r="AE19" s="6" t="s">
        <v>12</v>
      </c>
      <c r="AKW19" s="5"/>
      <c r="AKX19" s="5"/>
      <c r="AKY19" s="5"/>
      <c r="AKZ19" s="5"/>
      <c r="ALA19" s="5"/>
      <c r="ALB19" s="5"/>
      <c r="ALC19" s="5"/>
      <c r="ALD19" s="5"/>
      <c r="ALE19" s="5"/>
      <c r="ALF19" s="5"/>
      <c r="ALG19" s="5"/>
      <c r="ALH19" s="5"/>
      <c r="ALI19" s="5"/>
      <c r="ALJ19" s="5"/>
      <c r="ALK19" s="5"/>
      <c r="ALL19" s="5"/>
      <c r="ALM19" s="5"/>
      <c r="ALN19" s="5"/>
      <c r="ALO19" s="5"/>
      <c r="ALP19" s="5"/>
      <c r="ALQ19" s="5"/>
      <c r="ALR19" s="5"/>
      <c r="ALS19" s="5"/>
      <c r="ALT19" s="5"/>
      <c r="ALU19" s="5"/>
      <c r="ALV19" s="5"/>
      <c r="ALW19" s="5"/>
      <c r="ALX19" s="5"/>
      <c r="ALY19" s="5"/>
      <c r="ALZ19" s="5"/>
      <c r="AMA19" s="5"/>
      <c r="AMB19" s="5"/>
      <c r="AMC19" s="5"/>
      <c r="AMD19" s="5"/>
      <c r="AME19" s="5"/>
      <c r="AMF19" s="5"/>
      <c r="AMG19" s="5"/>
      <c r="AMH19" s="5"/>
      <c r="AMI19" s="5"/>
      <c r="AMJ19" s="5"/>
      <c r="AMK19" s="5"/>
      <c r="AML19" s="5"/>
      <c r="AMM19" s="5"/>
      <c r="AMN19" s="5"/>
      <c r="AMO19" s="5"/>
      <c r="XDR19" s="5"/>
      <c r="XDS19" s="5"/>
      <c r="XDT19" s="5"/>
      <c r="XDU19" s="5"/>
      <c r="XDV19" s="5"/>
      <c r="XDW19" s="5"/>
      <c r="XDX19" s="5"/>
      <c r="XDY19" s="5"/>
      <c r="XDZ19" s="5"/>
      <c r="XEA19" s="5"/>
      <c r="XEB19" s="5"/>
      <c r="XEC19" s="5"/>
      <c r="XED19" s="5"/>
      <c r="XEE19" s="5"/>
      <c r="XEF19" s="5"/>
      <c r="XEG19" s="5"/>
      <c r="XEH19" s="5"/>
      <c r="XEI19" s="5"/>
      <c r="XEJ19" s="5"/>
      <c r="XEK19" s="5"/>
      <c r="XEL19" s="5"/>
      <c r="XEM19" s="5"/>
      <c r="XEN19" s="5"/>
      <c r="XEO19" s="5"/>
      <c r="XEP19" s="5"/>
      <c r="XEQ19" s="5"/>
      <c r="XER19" s="5"/>
      <c r="XES19" s="5"/>
      <c r="XET19" s="5"/>
      <c r="XEU19" s="5"/>
      <c r="XEV19" s="5"/>
      <c r="XEW19" s="5"/>
      <c r="XEX19" s="5"/>
      <c r="XEY19" s="5"/>
      <c r="XEZ19" s="5"/>
      <c r="XFA19" s="5"/>
      <c r="XFB19" s="5"/>
      <c r="XFC19" s="5"/>
      <c r="XFD19" s="5"/>
    </row>
    <row r="20" s="1" customFormat="true" ht="15" hidden="false" customHeight="false" outlineLevel="0" collapsed="false">
      <c r="A20" s="1" t="n">
        <v>15</v>
      </c>
      <c r="B20" s="2" t="s">
        <v>44</v>
      </c>
      <c r="C20" s="2" t="s">
        <v>45</v>
      </c>
      <c r="D20" s="2"/>
      <c r="E20" s="2"/>
      <c r="F20" s="1" t="s">
        <v>12</v>
      </c>
      <c r="H20" s="1" t="s">
        <v>12</v>
      </c>
      <c r="J20" s="1" t="s">
        <v>13</v>
      </c>
      <c r="K20" s="1" t="s">
        <v>12</v>
      </c>
      <c r="L20" s="1" t="s">
        <v>12</v>
      </c>
      <c r="M20" s="1" t="s">
        <v>12</v>
      </c>
      <c r="N20" s="1" t="s">
        <v>12</v>
      </c>
      <c r="O20" s="1" t="s">
        <v>12</v>
      </c>
      <c r="Q20" s="1" t="s">
        <v>12</v>
      </c>
      <c r="R20" s="2" t="n">
        <f aca="false">COUNTIF(F20:Q20,"P")</f>
        <v>8</v>
      </c>
      <c r="S20" s="2" t="n">
        <f aca="false">COUNTIF(F20:Q20,"A")</f>
        <v>1</v>
      </c>
      <c r="T20" s="2" t="n">
        <f aca="false">SUM(R20:S20)</f>
        <v>9</v>
      </c>
      <c r="U20" s="2" t="n">
        <f aca="false">ROUND(R20*10/T20,0)</f>
        <v>9</v>
      </c>
      <c r="V20" s="1" t="s">
        <v>12</v>
      </c>
      <c r="W20" s="1" t="s">
        <v>12</v>
      </c>
      <c r="X20" s="1" t="s">
        <v>12</v>
      </c>
      <c r="Y20" s="1" t="s">
        <v>12</v>
      </c>
      <c r="Z20" s="1" t="s">
        <v>12</v>
      </c>
      <c r="AA20" s="2" t="s">
        <v>13</v>
      </c>
      <c r="AB20" s="1" t="s">
        <v>12</v>
      </c>
      <c r="AC20" s="1" t="s">
        <v>12</v>
      </c>
      <c r="AD20" s="1" t="s">
        <v>12</v>
      </c>
      <c r="AE20" s="1" t="s">
        <v>12</v>
      </c>
    </row>
    <row r="21" customFormat="false" ht="15" hidden="false" customHeight="false" outlineLevel="0" collapsed="false">
      <c r="A21" s="1" t="n">
        <v>16</v>
      </c>
      <c r="B21" s="2" t="s">
        <v>46</v>
      </c>
      <c r="C21" s="2" t="s">
        <v>47</v>
      </c>
      <c r="D21" s="2"/>
      <c r="E21" s="2"/>
      <c r="F21" s="2" t="s">
        <v>12</v>
      </c>
      <c r="G21" s="2"/>
      <c r="H21" s="2" t="s">
        <v>12</v>
      </c>
      <c r="I21" s="2"/>
      <c r="J21" s="2" t="s">
        <v>12</v>
      </c>
      <c r="K21" s="2" t="s">
        <v>12</v>
      </c>
      <c r="L21" s="2" t="s">
        <v>12</v>
      </c>
      <c r="M21" s="2" t="s">
        <v>12</v>
      </c>
      <c r="N21" s="2" t="s">
        <v>12</v>
      </c>
      <c r="O21" s="2" t="s">
        <v>12</v>
      </c>
      <c r="P21" s="2"/>
      <c r="Q21" s="2" t="s">
        <v>12</v>
      </c>
      <c r="R21" s="2" t="n">
        <f aca="false">COUNTIF(F21:Q21,"P")</f>
        <v>9</v>
      </c>
      <c r="S21" s="2" t="n">
        <f aca="false">COUNTIF(F21:Q21,"A")</f>
        <v>0</v>
      </c>
      <c r="T21" s="2" t="n">
        <f aca="false">SUM(R21:S21)</f>
        <v>9</v>
      </c>
      <c r="U21" s="2" t="n">
        <f aca="false">ROUND(R21*10/T21,0)</f>
        <v>10</v>
      </c>
      <c r="V21" s="2" t="s">
        <v>12</v>
      </c>
      <c r="W21" s="2" t="s">
        <v>12</v>
      </c>
      <c r="X21" s="1" t="s">
        <v>12</v>
      </c>
      <c r="Y21" s="2" t="s">
        <v>12</v>
      </c>
      <c r="Z21" s="2" t="s">
        <v>12</v>
      </c>
      <c r="AA21" s="2" t="s">
        <v>13</v>
      </c>
      <c r="AB21" s="2" t="s">
        <v>12</v>
      </c>
      <c r="AC21" s="2" t="s">
        <v>12</v>
      </c>
      <c r="AD21" s="2" t="s">
        <v>12</v>
      </c>
      <c r="AE21" s="4" t="s">
        <v>12</v>
      </c>
    </row>
    <row r="22" customFormat="false" ht="15" hidden="false" customHeight="false" outlineLevel="0" collapsed="false">
      <c r="A22" s="1" t="n">
        <v>17</v>
      </c>
      <c r="B22" s="1" t="s">
        <v>48</v>
      </c>
      <c r="C22" s="1" t="s">
        <v>49</v>
      </c>
      <c r="D22" s="2"/>
      <c r="E22" s="2"/>
      <c r="F22" s="2" t="s">
        <v>12</v>
      </c>
      <c r="G22" s="2"/>
      <c r="H22" s="2" t="s">
        <v>12</v>
      </c>
      <c r="I22" s="2"/>
      <c r="J22" s="2" t="s">
        <v>12</v>
      </c>
      <c r="K22" s="2" t="s">
        <v>12</v>
      </c>
      <c r="L22" s="2" t="s">
        <v>12</v>
      </c>
      <c r="M22" s="2" t="s">
        <v>12</v>
      </c>
      <c r="N22" s="2" t="s">
        <v>12</v>
      </c>
      <c r="O22" s="2" t="s">
        <v>13</v>
      </c>
      <c r="P22" s="2"/>
      <c r="Q22" s="2" t="s">
        <v>12</v>
      </c>
      <c r="R22" s="2" t="n">
        <f aca="false">COUNTIF(F22:Q22,"P")</f>
        <v>8</v>
      </c>
      <c r="S22" s="2" t="n">
        <f aca="false">COUNTIF(F22:Q22,"A")</f>
        <v>1</v>
      </c>
      <c r="T22" s="2" t="n">
        <f aca="false">SUM(R22:S22)</f>
        <v>9</v>
      </c>
      <c r="U22" s="2" t="n">
        <f aca="false">ROUND(R22*10/T22,0)</f>
        <v>9</v>
      </c>
      <c r="V22" s="2" t="s">
        <v>12</v>
      </c>
      <c r="W22" s="2" t="s">
        <v>12</v>
      </c>
      <c r="X22" s="1" t="s">
        <v>12</v>
      </c>
      <c r="Y22" s="2" t="s">
        <v>12</v>
      </c>
      <c r="Z22" s="2" t="s">
        <v>12</v>
      </c>
      <c r="AA22" s="2" t="s">
        <v>13</v>
      </c>
      <c r="AB22" s="2" t="s">
        <v>12</v>
      </c>
      <c r="AC22" s="2" t="s">
        <v>12</v>
      </c>
      <c r="AD22" s="2" t="s">
        <v>12</v>
      </c>
      <c r="AE22" s="4" t="s">
        <v>12</v>
      </c>
    </row>
    <row r="23" customFormat="false" ht="15" hidden="false" customHeight="false" outlineLevel="0" collapsed="false">
      <c r="A23" s="1" t="n">
        <v>18</v>
      </c>
      <c r="B23" s="2" t="s">
        <v>50</v>
      </c>
      <c r="C23" s="2" t="s">
        <v>51</v>
      </c>
      <c r="D23" s="2"/>
      <c r="E23" s="2"/>
      <c r="F23" s="1" t="s">
        <v>12</v>
      </c>
      <c r="H23" s="1" t="s">
        <v>12</v>
      </c>
      <c r="J23" s="1" t="s">
        <v>13</v>
      </c>
      <c r="K23" s="1" t="s">
        <v>12</v>
      </c>
      <c r="L23" s="1" t="s">
        <v>12</v>
      </c>
      <c r="M23" s="1" t="s">
        <v>12</v>
      </c>
      <c r="N23" s="1" t="s">
        <v>12</v>
      </c>
      <c r="O23" s="1" t="s">
        <v>12</v>
      </c>
      <c r="Q23" s="1" t="s">
        <v>12</v>
      </c>
      <c r="R23" s="2" t="n">
        <f aca="false">COUNTIF(F23:Q23,"P")</f>
        <v>8</v>
      </c>
      <c r="S23" s="2" t="n">
        <f aca="false">COUNTIF(F23:Q23,"A")</f>
        <v>1</v>
      </c>
      <c r="T23" s="2" t="n">
        <f aca="false">SUM(R23:S23)</f>
        <v>9</v>
      </c>
      <c r="U23" s="2" t="n">
        <f aca="false">ROUND(R23*10/T23,0)</f>
        <v>9</v>
      </c>
      <c r="V23" s="2" t="s">
        <v>12</v>
      </c>
      <c r="W23" s="2" t="s">
        <v>12</v>
      </c>
      <c r="X23" s="1" t="s">
        <v>13</v>
      </c>
      <c r="Y23" s="2" t="s">
        <v>12</v>
      </c>
      <c r="Z23" s="2" t="s">
        <v>12</v>
      </c>
      <c r="AA23" s="2" t="s">
        <v>13</v>
      </c>
      <c r="AB23" s="2" t="s">
        <v>12</v>
      </c>
      <c r="AC23" s="2" t="s">
        <v>12</v>
      </c>
      <c r="AD23" s="2" t="s">
        <v>13</v>
      </c>
      <c r="AE23" s="4" t="s">
        <v>12</v>
      </c>
    </row>
    <row r="24" s="2" customFormat="true" ht="15" hidden="false" customHeight="false" outlineLevel="0" collapsed="false">
      <c r="A24" s="1" t="n">
        <v>19</v>
      </c>
      <c r="B24" s="2" t="s">
        <v>52</v>
      </c>
      <c r="C24" s="2" t="s">
        <v>53</v>
      </c>
      <c r="F24" s="2" t="s">
        <v>12</v>
      </c>
      <c r="G24" s="1"/>
      <c r="H24" s="2" t="s">
        <v>12</v>
      </c>
      <c r="I24" s="1"/>
      <c r="J24" s="2" t="s">
        <v>13</v>
      </c>
      <c r="K24" s="2" t="s">
        <v>12</v>
      </c>
      <c r="L24" s="2" t="s">
        <v>13</v>
      </c>
      <c r="M24" s="2" t="s">
        <v>12</v>
      </c>
      <c r="N24" s="2" t="s">
        <v>13</v>
      </c>
      <c r="O24" s="2" t="s">
        <v>12</v>
      </c>
      <c r="P24" s="1"/>
      <c r="Q24" s="2" t="s">
        <v>12</v>
      </c>
      <c r="R24" s="2" t="n">
        <f aca="false">COUNTIF(F24:Q24,"P")</f>
        <v>6</v>
      </c>
      <c r="S24" s="2" t="n">
        <f aca="false">COUNTIF(F24:Q24,"A")</f>
        <v>3</v>
      </c>
      <c r="T24" s="2" t="n">
        <f aca="false">SUM(R24:S24)</f>
        <v>9</v>
      </c>
      <c r="U24" s="2" t="n">
        <f aca="false">ROUND(R24*10/T24,0)</f>
        <v>7</v>
      </c>
      <c r="V24" s="2" t="s">
        <v>12</v>
      </c>
      <c r="W24" s="2" t="s">
        <v>12</v>
      </c>
      <c r="X24" s="2" t="s">
        <v>12</v>
      </c>
      <c r="Y24" s="2" t="s">
        <v>12</v>
      </c>
      <c r="Z24" s="2" t="s">
        <v>13</v>
      </c>
      <c r="AA24" s="2" t="s">
        <v>13</v>
      </c>
      <c r="AB24" s="2" t="s">
        <v>12</v>
      </c>
      <c r="AC24" s="2" t="s">
        <v>12</v>
      </c>
      <c r="AD24" s="2" t="s">
        <v>12</v>
      </c>
      <c r="AE24" s="2" t="s">
        <v>12</v>
      </c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  <c r="AML24" s="1"/>
      <c r="AMM24" s="1"/>
      <c r="AMN24" s="1"/>
      <c r="AMO24" s="1"/>
      <c r="XDR24" s="1"/>
      <c r="XDS24" s="1"/>
      <c r="XDT24" s="1"/>
      <c r="XDU24" s="1"/>
      <c r="XDV24" s="1"/>
      <c r="XDW24" s="1"/>
      <c r="XDX24" s="1"/>
      <c r="XDY24" s="1"/>
      <c r="XDZ24" s="1"/>
      <c r="XEA24" s="1"/>
      <c r="XEB24" s="1"/>
      <c r="XEC24" s="1"/>
      <c r="XED24" s="1"/>
      <c r="XEE24" s="1"/>
      <c r="XEF24" s="1"/>
      <c r="XEG24" s="1"/>
      <c r="XEH24" s="1"/>
      <c r="XEI24" s="1"/>
      <c r="XEJ24" s="1"/>
      <c r="XEK24" s="1"/>
      <c r="XEL24" s="1"/>
      <c r="XEM24" s="1"/>
      <c r="XEN24" s="1"/>
      <c r="XEO24" s="1"/>
      <c r="XEP24" s="1"/>
      <c r="XEQ24" s="1"/>
      <c r="XER24" s="1"/>
      <c r="XES24" s="1"/>
      <c r="XET24" s="1"/>
      <c r="XEU24" s="1"/>
      <c r="XEV24" s="1"/>
      <c r="XEW24" s="1"/>
      <c r="XEX24" s="1"/>
      <c r="XEY24" s="1"/>
      <c r="XEZ24" s="1"/>
      <c r="XFA24" s="1"/>
      <c r="XFB24" s="1"/>
      <c r="XFC24" s="1"/>
      <c r="XFD24" s="1"/>
    </row>
    <row r="25" customFormat="false" ht="15" hidden="false" customHeight="false" outlineLevel="0" collapsed="false">
      <c r="A25" s="1" t="n">
        <v>20</v>
      </c>
      <c r="B25" s="2" t="s">
        <v>54</v>
      </c>
      <c r="C25" s="2" t="s">
        <v>55</v>
      </c>
      <c r="D25" s="2"/>
      <c r="E25" s="2"/>
      <c r="F25" s="2" t="s">
        <v>12</v>
      </c>
      <c r="H25" s="2" t="s">
        <v>12</v>
      </c>
      <c r="J25" s="2" t="s">
        <v>12</v>
      </c>
      <c r="K25" s="2" t="s">
        <v>12</v>
      </c>
      <c r="L25" s="2" t="s">
        <v>13</v>
      </c>
      <c r="M25" s="2" t="s">
        <v>12</v>
      </c>
      <c r="N25" s="2" t="s">
        <v>12</v>
      </c>
      <c r="O25" s="2" t="s">
        <v>12</v>
      </c>
      <c r="Q25" s="2" t="s">
        <v>12</v>
      </c>
      <c r="R25" s="2" t="n">
        <f aca="false">COUNTIF(F25:Q25,"P")</f>
        <v>8</v>
      </c>
      <c r="S25" s="2" t="n">
        <f aca="false">COUNTIF(F25:Q25,"A")</f>
        <v>1</v>
      </c>
      <c r="T25" s="2" t="n">
        <f aca="false">SUM(R25:S25)</f>
        <v>9</v>
      </c>
      <c r="U25" s="2" t="n">
        <f aca="false">ROUND(R25*10/T25,0)</f>
        <v>9</v>
      </c>
      <c r="V25" s="2" t="s">
        <v>12</v>
      </c>
      <c r="W25" s="2" t="s">
        <v>12</v>
      </c>
      <c r="X25" s="1" t="s">
        <v>12</v>
      </c>
      <c r="Y25" s="2" t="s">
        <v>12</v>
      </c>
      <c r="Z25" s="2" t="s">
        <v>13</v>
      </c>
      <c r="AA25" s="2" t="s">
        <v>13</v>
      </c>
      <c r="AB25" s="2" t="s">
        <v>13</v>
      </c>
      <c r="AC25" s="2" t="s">
        <v>13</v>
      </c>
      <c r="AD25" s="2" t="s">
        <v>13</v>
      </c>
      <c r="AE25" s="4" t="s">
        <v>13</v>
      </c>
    </row>
    <row r="26" customFormat="false" ht="15" hidden="false" customHeight="false" outlineLevel="0" collapsed="false">
      <c r="A26" s="1" t="n">
        <v>21</v>
      </c>
      <c r="B26" s="2" t="s">
        <v>16</v>
      </c>
      <c r="C26" s="2" t="s">
        <v>56</v>
      </c>
      <c r="D26" s="2"/>
      <c r="E26" s="2"/>
      <c r="F26" s="2" t="s">
        <v>12</v>
      </c>
      <c r="H26" s="2" t="s">
        <v>12</v>
      </c>
      <c r="J26" s="2" t="s">
        <v>12</v>
      </c>
      <c r="K26" s="2" t="s">
        <v>12</v>
      </c>
      <c r="L26" s="2" t="s">
        <v>12</v>
      </c>
      <c r="M26" s="2" t="s">
        <v>12</v>
      </c>
      <c r="N26" s="2" t="s">
        <v>12</v>
      </c>
      <c r="O26" s="2" t="s">
        <v>12</v>
      </c>
      <c r="Q26" s="2" t="s">
        <v>12</v>
      </c>
      <c r="R26" s="2" t="n">
        <f aca="false">COUNTIF(F26:Q26,"P")</f>
        <v>9</v>
      </c>
      <c r="S26" s="2" t="n">
        <f aca="false">COUNTIF(F26:Q26,"A")</f>
        <v>0</v>
      </c>
      <c r="T26" s="2" t="n">
        <f aca="false">SUM(R26:S26)</f>
        <v>9</v>
      </c>
      <c r="U26" s="2" t="n">
        <f aca="false">ROUND(R26*10/T26,0)</f>
        <v>10</v>
      </c>
      <c r="V26" s="2" t="s">
        <v>12</v>
      </c>
      <c r="W26" s="2" t="s">
        <v>12</v>
      </c>
      <c r="X26" s="1" t="s">
        <v>13</v>
      </c>
      <c r="Y26" s="2" t="s">
        <v>12</v>
      </c>
      <c r="Z26" s="2" t="s">
        <v>12</v>
      </c>
      <c r="AA26" s="2" t="s">
        <v>13</v>
      </c>
      <c r="AB26" s="2" t="s">
        <v>12</v>
      </c>
      <c r="AC26" s="2" t="s">
        <v>13</v>
      </c>
      <c r="AD26" s="2" t="s">
        <v>12</v>
      </c>
      <c r="AE26" s="4" t="s">
        <v>12</v>
      </c>
    </row>
    <row r="27" customFormat="false" ht="15" hidden="false" customHeight="false" outlineLevel="0" collapsed="false">
      <c r="A27" s="1" t="n">
        <v>22</v>
      </c>
      <c r="B27" s="2" t="s">
        <v>57</v>
      </c>
      <c r="C27" s="2" t="s">
        <v>58</v>
      </c>
      <c r="D27" s="2"/>
      <c r="E27" s="2"/>
      <c r="F27" s="2" t="s">
        <v>12</v>
      </c>
      <c r="G27" s="2"/>
      <c r="H27" s="2" t="s">
        <v>12</v>
      </c>
      <c r="I27" s="2"/>
      <c r="J27" s="2" t="s">
        <v>12</v>
      </c>
      <c r="K27" s="2" t="s">
        <v>12</v>
      </c>
      <c r="L27" s="2" t="s">
        <v>12</v>
      </c>
      <c r="M27" s="2" t="s">
        <v>12</v>
      </c>
      <c r="N27" s="2" t="s">
        <v>12</v>
      </c>
      <c r="O27" s="2" t="s">
        <v>12</v>
      </c>
      <c r="P27" s="2"/>
      <c r="Q27" s="2" t="s">
        <v>12</v>
      </c>
      <c r="R27" s="2" t="n">
        <f aca="false">COUNTIF(F27:Q27,"P")</f>
        <v>9</v>
      </c>
      <c r="S27" s="2" t="n">
        <f aca="false">COUNTIF(F27:Q27,"A")</f>
        <v>0</v>
      </c>
      <c r="T27" s="2" t="n">
        <f aca="false">SUM(R27:S27)</f>
        <v>9</v>
      </c>
      <c r="U27" s="2" t="n">
        <f aca="false">ROUND(R27*10/T27,0)</f>
        <v>10</v>
      </c>
      <c r="V27" s="2" t="s">
        <v>12</v>
      </c>
      <c r="W27" s="2" t="s">
        <v>12</v>
      </c>
      <c r="X27" s="1" t="s">
        <v>12</v>
      </c>
      <c r="Y27" s="2" t="s">
        <v>12</v>
      </c>
      <c r="Z27" s="2" t="s">
        <v>12</v>
      </c>
      <c r="AA27" s="2" t="s">
        <v>12</v>
      </c>
      <c r="AB27" s="2" t="s">
        <v>12</v>
      </c>
      <c r="AC27" s="2" t="s">
        <v>12</v>
      </c>
      <c r="AD27" s="2" t="s">
        <v>12</v>
      </c>
      <c r="AE27" s="4" t="s">
        <v>12</v>
      </c>
    </row>
    <row r="28" customFormat="false" ht="15" hidden="false" customHeight="false" outlineLevel="0" collapsed="false">
      <c r="A28" s="1" t="n">
        <v>23</v>
      </c>
      <c r="B28" s="2" t="s">
        <v>59</v>
      </c>
      <c r="C28" s="2" t="s">
        <v>60</v>
      </c>
      <c r="F28" s="2" t="s">
        <v>12</v>
      </c>
      <c r="H28" s="2" t="s">
        <v>12</v>
      </c>
      <c r="J28" s="2" t="s">
        <v>13</v>
      </c>
      <c r="K28" s="2" t="s">
        <v>12</v>
      </c>
      <c r="L28" s="2" t="s">
        <v>12</v>
      </c>
      <c r="M28" s="2" t="s">
        <v>12</v>
      </c>
      <c r="N28" s="2" t="s">
        <v>12</v>
      </c>
      <c r="O28" s="2" t="s">
        <v>13</v>
      </c>
      <c r="Q28" s="2" t="s">
        <v>61</v>
      </c>
      <c r="R28" s="2" t="n">
        <f aca="false">COUNTIF(F28:Q28,"P")</f>
        <v>7</v>
      </c>
      <c r="S28" s="2" t="n">
        <f aca="false">COUNTIF(F28:Q28,"A")</f>
        <v>2</v>
      </c>
      <c r="T28" s="2" t="n">
        <f aca="false">SUM(R28:S28)</f>
        <v>9</v>
      </c>
      <c r="U28" s="2" t="n">
        <f aca="false">ROUND(R28*10/T28,0)</f>
        <v>8</v>
      </c>
      <c r="W28" s="2" t="s">
        <v>13</v>
      </c>
      <c r="X28" s="1" t="s">
        <v>13</v>
      </c>
      <c r="Y28" s="2" t="s">
        <v>13</v>
      </c>
      <c r="Z28" s="2" t="s">
        <v>12</v>
      </c>
      <c r="AA28" s="2" t="s">
        <v>13</v>
      </c>
      <c r="AB28" s="2" t="s">
        <v>12</v>
      </c>
      <c r="AC28" s="2" t="s">
        <v>12</v>
      </c>
      <c r="AD28" s="2" t="s">
        <v>12</v>
      </c>
      <c r="AE28" s="4" t="s">
        <v>12</v>
      </c>
    </row>
    <row r="29" s="5" customFormat="true" ht="15" hidden="false" customHeight="false" outlineLevel="0" collapsed="false">
      <c r="A29" s="5" t="n">
        <v>27</v>
      </c>
      <c r="C29" s="5" t="s">
        <v>62</v>
      </c>
      <c r="F29" s="6" t="n">
        <f aca="false">COUNTIF(F3:F25,"p")</f>
        <v>19</v>
      </c>
      <c r="J29" s="6" t="s">
        <v>12</v>
      </c>
      <c r="K29" s="6" t="s">
        <v>12</v>
      </c>
      <c r="L29" s="6" t="s">
        <v>12</v>
      </c>
      <c r="M29" s="6" t="s">
        <v>12</v>
      </c>
      <c r="N29" s="6" t="s">
        <v>12</v>
      </c>
      <c r="O29" s="6" t="s">
        <v>12</v>
      </c>
      <c r="Q29" s="6" t="s">
        <v>12</v>
      </c>
      <c r="R29" s="6" t="n">
        <f aca="false">COUNTIF(F29:Q29,"P")</f>
        <v>7</v>
      </c>
      <c r="S29" s="6" t="n">
        <f aca="false">COUNTIF(F29:Q29,"A")</f>
        <v>0</v>
      </c>
      <c r="T29" s="6" t="n">
        <f aca="false">SUM(R29:S29)</f>
        <v>7</v>
      </c>
      <c r="U29" s="6" t="n">
        <f aca="false">ROUND(R29*10/T29,0)</f>
        <v>10</v>
      </c>
      <c r="W29" s="5" t="s">
        <v>12</v>
      </c>
      <c r="X29" s="5" t="s">
        <v>12</v>
      </c>
      <c r="Y29" s="5" t="s">
        <v>12</v>
      </c>
      <c r="Z29" s="5" t="s">
        <v>12</v>
      </c>
      <c r="AA29" s="2" t="s">
        <v>13</v>
      </c>
      <c r="AB29" s="5" t="s">
        <v>12</v>
      </c>
      <c r="AC29" s="5" t="s">
        <v>12</v>
      </c>
      <c r="AD29" s="5" t="s">
        <v>13</v>
      </c>
      <c r="AE29" s="5" t="s">
        <v>12</v>
      </c>
    </row>
    <row r="30" s="5" customFormat="true" ht="15.65" hidden="false" customHeight="false" outlineLevel="0" collapsed="false">
      <c r="A30" s="5" t="n">
        <v>28</v>
      </c>
      <c r="C30" s="7" t="s">
        <v>63</v>
      </c>
      <c r="F30" s="6" t="s">
        <v>13</v>
      </c>
      <c r="H30" s="5" t="s">
        <v>13</v>
      </c>
      <c r="J30" s="6" t="s">
        <v>13</v>
      </c>
      <c r="K30" s="6" t="s">
        <v>13</v>
      </c>
      <c r="L30" s="6" t="s">
        <v>13</v>
      </c>
      <c r="M30" s="6" t="s">
        <v>13</v>
      </c>
      <c r="N30" s="6" t="s">
        <v>13</v>
      </c>
      <c r="O30" s="6" t="s">
        <v>13</v>
      </c>
      <c r="Q30" s="6" t="s">
        <v>12</v>
      </c>
      <c r="R30" s="6"/>
      <c r="S30" s="6"/>
      <c r="T30" s="6"/>
      <c r="U30" s="6"/>
      <c r="W30" s="6" t="s">
        <v>12</v>
      </c>
      <c r="X30" s="5" t="s">
        <v>12</v>
      </c>
      <c r="Y30" s="5" t="s">
        <v>12</v>
      </c>
      <c r="Z30" s="5" t="s">
        <v>12</v>
      </c>
      <c r="AA30" s="2" t="s">
        <v>13</v>
      </c>
      <c r="AB30" s="5" t="s">
        <v>12</v>
      </c>
      <c r="AC30" s="5" t="s">
        <v>12</v>
      </c>
      <c r="AD30" s="5" t="s">
        <v>13</v>
      </c>
      <c r="AE30" s="5" t="s">
        <v>13</v>
      </c>
    </row>
    <row r="31" customFormat="false" ht="15" hidden="false" customHeight="false" outlineLevel="0" collapsed="false">
      <c r="J31" s="2" t="n">
        <f aca="false">COUNTIF(J3:J29,"P")</f>
        <v>19</v>
      </c>
      <c r="K31" s="2" t="n">
        <f aca="false">COUNTIF(K3:K29,"P")</f>
        <v>26</v>
      </c>
      <c r="L31" s="2" t="n">
        <f aca="false">COUNTIF(L3:L29,"P")</f>
        <v>24</v>
      </c>
      <c r="M31" s="2" t="n">
        <f aca="false">COUNTIF(M3:M29,"P")</f>
        <v>24</v>
      </c>
      <c r="N31" s="2" t="n">
        <f aca="false">COUNTIF(N3:N29,"P")</f>
        <v>22</v>
      </c>
      <c r="O31" s="2" t="n">
        <f aca="false">COUNTIF(O3:O29,"P")</f>
        <v>22</v>
      </c>
      <c r="Q31" s="2" t="n">
        <f aca="false">COUNTIF(Q3:Q30,"P")</f>
        <v>26</v>
      </c>
      <c r="R31" s="2"/>
      <c r="S31" s="2"/>
      <c r="T31" s="2"/>
      <c r="U31" s="2"/>
      <c r="W31" s="2" t="n">
        <f aca="false">COUNTIF(W3:W30,"P")</f>
        <v>27</v>
      </c>
      <c r="X31" s="2" t="n">
        <f aca="false">COUNTIF(X3:X30,"P")</f>
        <v>24</v>
      </c>
      <c r="Y31" s="2" t="n">
        <f aca="false">COUNTIF(Y3:Y30,"P")</f>
        <v>26</v>
      </c>
      <c r="Z31" s="2" t="n">
        <f aca="false">COUNTIF(Z3:Z30,"P")</f>
        <v>22</v>
      </c>
      <c r="AA31" s="2" t="n">
        <f aca="false">COUNTIF(AA3:AA30,"P")</f>
        <v>1</v>
      </c>
      <c r="AB31" s="2" t="n">
        <f aca="false">COUNTIF(AB3:AB30,"P")</f>
        <v>24</v>
      </c>
      <c r="AC31" s="2" t="n">
        <f aca="false">COUNTIF(AC3:AC30,"P")</f>
        <v>23</v>
      </c>
      <c r="AD31" s="2" t="n">
        <f aca="false">COUNTIF(AD3:AD30,"P")</f>
        <v>20</v>
      </c>
      <c r="AE31" s="2" t="n">
        <f aca="false">COUNTIF(AE3:AE30,"P")</f>
        <v>26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3"/>
  <sheetViews>
    <sheetView showFormulas="false" showGridLines="true" showRowColHeaders="true" showZeros="true" rightToLeft="false" tabSelected="false" showOutlineSymbols="true" defaultGridColor="true" view="normal" topLeftCell="A14" colorId="64" zoomScale="120" zoomScaleNormal="120" zoomScalePageLayoutView="100" workbookViewId="0">
      <selection pane="topLeft" activeCell="C27" activeCellId="0" sqref="C27"/>
    </sheetView>
  </sheetViews>
  <sheetFormatPr defaultColWidth="9.6640625" defaultRowHeight="15" zeroHeight="false" outlineLevelRow="0" outlineLevelCol="0"/>
  <cols>
    <col collapsed="false" customWidth="true" hidden="false" outlineLevel="0" max="1" min="1" style="1" width="4.2"/>
    <col collapsed="false" customWidth="true" hidden="true" outlineLevel="0" max="2" min="2" style="1" width="20.07"/>
    <col collapsed="false" customWidth="true" hidden="false" outlineLevel="0" max="3" min="3" style="1" width="27.82"/>
    <col collapsed="false" customWidth="false" hidden="false" outlineLevel="0" max="12" min="4" style="1" width="9.66"/>
    <col collapsed="false" customWidth="true" hidden="false" outlineLevel="0" max="13" min="13" style="1" width="14.97"/>
    <col collapsed="false" customWidth="false" hidden="false" outlineLevel="0" max="15" min="14" style="1" width="9.66"/>
    <col collapsed="false" customWidth="false" hidden="true" outlineLevel="0" max="17" min="17" style="1" width="9.66"/>
    <col collapsed="false" customWidth="true" hidden="false" outlineLevel="0" max="16384" min="16342" style="1" width="10.58"/>
  </cols>
  <sheetData>
    <row r="1" customFormat="false" ht="15" hidden="false" customHeight="false" outlineLevel="0" collapsed="false">
      <c r="B1" s="2"/>
    </row>
    <row r="2" customFormat="false" ht="15" hidden="false" customHeight="false" outlineLevel="0" collapsed="false">
      <c r="A2" s="1" t="s">
        <v>0</v>
      </c>
      <c r="B2" s="2" t="s">
        <v>64</v>
      </c>
      <c r="C2" s="1" t="s">
        <v>65</v>
      </c>
      <c r="D2" s="1" t="s">
        <v>66</v>
      </c>
      <c r="E2" s="1" t="s">
        <v>5</v>
      </c>
      <c r="F2" s="1" t="s">
        <v>67</v>
      </c>
      <c r="G2" s="2" t="s">
        <v>68</v>
      </c>
      <c r="H2" s="2" t="s">
        <v>69</v>
      </c>
      <c r="I2" s="2" t="s">
        <v>70</v>
      </c>
      <c r="J2" s="2" t="s">
        <v>71</v>
      </c>
      <c r="K2" s="2" t="s">
        <v>72</v>
      </c>
      <c r="L2" s="2" t="s">
        <v>71</v>
      </c>
      <c r="M2" s="2" t="s">
        <v>73</v>
      </c>
      <c r="N2" s="8" t="n">
        <v>46209</v>
      </c>
      <c r="O2" s="2" t="s">
        <v>74</v>
      </c>
      <c r="P2" s="2" t="s">
        <v>9</v>
      </c>
      <c r="Q2" s="2" t="s">
        <v>75</v>
      </c>
      <c r="R2" s="2" t="s">
        <v>76</v>
      </c>
      <c r="S2" s="2"/>
      <c r="T2" s="2"/>
      <c r="U2" s="2" t="s">
        <v>77</v>
      </c>
      <c r="V2" s="1" t="s">
        <v>78</v>
      </c>
      <c r="W2" s="1" t="s">
        <v>79</v>
      </c>
    </row>
    <row r="3" customFormat="false" ht="15.65" hidden="false" customHeight="false" outlineLevel="0" collapsed="false">
      <c r="A3" s="1" t="n">
        <v>1</v>
      </c>
      <c r="B3" s="2" t="s">
        <v>10</v>
      </c>
      <c r="C3" s="2" t="s">
        <v>11</v>
      </c>
      <c r="D3" s="1" t="n">
        <v>10</v>
      </c>
      <c r="F3" s="1" t="n">
        <v>9</v>
      </c>
      <c r="G3" s="1" t="n">
        <v>10</v>
      </c>
      <c r="I3" s="1" t="n">
        <v>9</v>
      </c>
      <c r="K3" s="1" t="n">
        <v>7</v>
      </c>
      <c r="M3" s="1" t="n">
        <v>1</v>
      </c>
      <c r="O3" s="1" t="n">
        <v>6.25</v>
      </c>
      <c r="P3" s="1" t="n">
        <f aca="false">ROUND(AVERAGE(D3,F3,G3,I3,K3,M3,O3),0)</f>
        <v>7</v>
      </c>
      <c r="Q3" s="1" t="str">
        <f aca="false">IF(P3&gt;6,"TEA",IF(P3&gt;3,"TEP","TED"))</f>
        <v>TEA</v>
      </c>
      <c r="R3" s="1" t="n">
        <v>5</v>
      </c>
      <c r="S3" s="1" t="n">
        <f aca="false">IF(AND(P3&gt;6,R3&gt;6),ROUND((P3+R3)/2,0),MIN(P3,R3))</f>
        <v>5</v>
      </c>
      <c r="T3" s="1" t="str">
        <f aca="false">IF(S3&gt;6,"TEA",IF(S3&gt;3,"TEP","TED"))</f>
        <v>TEP</v>
      </c>
      <c r="U3" s="1" t="n">
        <v>4</v>
      </c>
    </row>
    <row r="4" customFormat="false" ht="15.65" hidden="false" customHeight="false" outlineLevel="0" collapsed="false">
      <c r="A4" s="1" t="n">
        <v>2</v>
      </c>
      <c r="B4" s="2" t="s">
        <v>14</v>
      </c>
      <c r="C4" s="2" t="s">
        <v>15</v>
      </c>
      <c r="D4" s="1" t="n">
        <v>10</v>
      </c>
      <c r="F4" s="1" t="n">
        <v>10</v>
      </c>
      <c r="G4" s="1" t="n">
        <v>5</v>
      </c>
      <c r="I4" s="1" t="n">
        <v>10</v>
      </c>
      <c r="K4" s="1" t="n">
        <v>9</v>
      </c>
      <c r="M4" s="1" t="n">
        <v>7</v>
      </c>
      <c r="O4" s="1" t="n">
        <v>7</v>
      </c>
      <c r="P4" s="1" t="n">
        <f aca="false">ROUND(AVERAGE(D4,F4,G4,I4,K4,M4,O4),0)</f>
        <v>8</v>
      </c>
      <c r="Q4" s="1" t="str">
        <f aca="false">IF(P4&gt;6,"TEA",IF(P4&gt;3,"TEP","TED"))</f>
        <v>TEA</v>
      </c>
      <c r="R4" s="1" t="n">
        <v>2</v>
      </c>
      <c r="S4" s="1" t="n">
        <f aca="false">IF(AND(P4&gt;6,R4&gt;6),ROUND((P4+R4)/2,0),MIN(P4,R4))</f>
        <v>2</v>
      </c>
      <c r="T4" s="1" t="str">
        <f aca="false">IF(S4&gt;6,"TEA",IF(S4&gt;3,"TEP","TED"))</f>
        <v>TED</v>
      </c>
      <c r="U4" s="1" t="n">
        <v>2</v>
      </c>
    </row>
    <row r="5" customFormat="false" ht="15.65" hidden="false" customHeight="false" outlineLevel="0" collapsed="false">
      <c r="A5" s="1" t="n">
        <v>3</v>
      </c>
      <c r="B5" s="2" t="s">
        <v>16</v>
      </c>
      <c r="C5" s="2" t="s">
        <v>17</v>
      </c>
      <c r="D5" s="1" t="n">
        <v>9</v>
      </c>
      <c r="E5" s="3" t="n">
        <v>46209</v>
      </c>
      <c r="F5" s="1" t="n">
        <v>3</v>
      </c>
      <c r="G5" s="1" t="n">
        <v>1</v>
      </c>
      <c r="I5" s="1" t="n">
        <v>8</v>
      </c>
      <c r="K5" s="1" t="n">
        <v>3</v>
      </c>
      <c r="M5" s="1" t="n">
        <v>1</v>
      </c>
      <c r="O5" s="1" t="n">
        <v>6</v>
      </c>
      <c r="P5" s="1" t="n">
        <f aca="false">ROUND(AVERAGE(D5,F5,G5,I5,K5,M5,O5),0)</f>
        <v>4</v>
      </c>
      <c r="Q5" s="1" t="str">
        <f aca="false">IF(P5&gt;6,"TEA",IF(P5&gt;3,"TEP","TED"))</f>
        <v>TEP</v>
      </c>
      <c r="R5" s="1" t="n">
        <v>2</v>
      </c>
      <c r="S5" s="1" t="n">
        <f aca="false">IF(AND(P5&gt;6,R5&gt;6),ROUND((P5+R5)/2,0),MIN(P5,R5))</f>
        <v>2</v>
      </c>
      <c r="T5" s="1" t="str">
        <f aca="false">IF(S5&gt;6,"TEA",IF(S5&gt;3,"TEP","TED"))</f>
        <v>TED</v>
      </c>
      <c r="U5" s="1" t="n">
        <v>2</v>
      </c>
    </row>
    <row r="6" customFormat="false" ht="15.65" hidden="false" customHeight="false" outlineLevel="0" collapsed="false">
      <c r="A6" s="1" t="n">
        <v>4</v>
      </c>
      <c r="B6" s="2" t="s">
        <v>20</v>
      </c>
      <c r="C6" s="2" t="s">
        <v>21</v>
      </c>
      <c r="D6" s="1" t="n">
        <v>8</v>
      </c>
      <c r="F6" s="1" t="n">
        <v>9</v>
      </c>
      <c r="G6" s="1" t="n">
        <v>4</v>
      </c>
      <c r="I6" s="1" t="n">
        <v>1</v>
      </c>
      <c r="K6" s="1" t="n">
        <v>4</v>
      </c>
      <c r="M6" s="1" t="n">
        <v>1</v>
      </c>
      <c r="O6" s="1" t="n">
        <v>4.25</v>
      </c>
      <c r="P6" s="1" t="n">
        <f aca="false">ROUND(AVERAGE(D6,F6,G6,I6,K6,M6,O6),0)</f>
        <v>4</v>
      </c>
      <c r="Q6" s="1" t="str">
        <f aca="false">IF(P6&gt;6,"TEA",IF(P6&gt;3,"TEP","TED"))</f>
        <v>TEP</v>
      </c>
      <c r="R6" s="1" t="n">
        <v>5</v>
      </c>
      <c r="S6" s="1" t="n">
        <f aca="false">IF(AND(P6&gt;6,R6&gt;6),ROUND((P6+R6)/2,0),MIN(P6,R6))</f>
        <v>4</v>
      </c>
      <c r="T6" s="1" t="str">
        <f aca="false">IF(S6&gt;6,"TEA",IF(S6&gt;3,"TEP","TED"))</f>
        <v>TEP</v>
      </c>
      <c r="U6" s="1" t="n">
        <v>4</v>
      </c>
    </row>
    <row r="7" customFormat="false" ht="15.65" hidden="false" customHeight="false" outlineLevel="0" collapsed="false">
      <c r="A7" s="1" t="n">
        <v>5</v>
      </c>
      <c r="B7" s="2" t="s">
        <v>22</v>
      </c>
      <c r="C7" s="2" t="s">
        <v>23</v>
      </c>
      <c r="D7" s="1" t="n">
        <v>10</v>
      </c>
      <c r="E7" s="3" t="n">
        <v>46209</v>
      </c>
      <c r="F7" s="1" t="n">
        <v>9</v>
      </c>
      <c r="G7" s="1" t="n">
        <v>8</v>
      </c>
      <c r="I7" s="1" t="n">
        <v>1</v>
      </c>
      <c r="K7" s="1" t="n">
        <v>8</v>
      </c>
      <c r="M7" s="1" t="n">
        <v>1</v>
      </c>
      <c r="O7" s="1" t="n">
        <v>7.75</v>
      </c>
      <c r="P7" s="1" t="n">
        <f aca="false">ROUND(AVERAGE(D7,F7,G7,I7,K7,M7,O6),0)</f>
        <v>6</v>
      </c>
      <c r="Q7" s="1" t="str">
        <f aca="false">IF(P7&gt;6,"TEA",IF(P7&gt;3,"TEP","TED"))</f>
        <v>TEP</v>
      </c>
      <c r="R7" s="1" t="n">
        <v>4</v>
      </c>
      <c r="S7" s="1" t="n">
        <f aca="false">IF(AND(P7&gt;6,R7&gt;6),ROUND((P7+R7)/2,0),MIN(P7,R7))</f>
        <v>4</v>
      </c>
      <c r="T7" s="1" t="str">
        <f aca="false">IF(S7&gt;6,"TEA",IF(S7&gt;3,"TEP","TED"))</f>
        <v>TEP</v>
      </c>
      <c r="U7" s="1" t="n">
        <v>3</v>
      </c>
    </row>
    <row r="8" customFormat="false" ht="15.65" hidden="false" customHeight="false" outlineLevel="0" collapsed="false">
      <c r="A8" s="1" t="n">
        <v>6</v>
      </c>
      <c r="B8" s="2" t="s">
        <v>24</v>
      </c>
      <c r="C8" s="2" t="s">
        <v>25</v>
      </c>
      <c r="D8" s="1" t="n">
        <v>10</v>
      </c>
      <c r="F8" s="1" t="n">
        <v>9</v>
      </c>
      <c r="G8" s="1" t="n">
        <v>8</v>
      </c>
      <c r="I8" s="1" t="n">
        <v>10</v>
      </c>
      <c r="K8" s="1" t="n">
        <v>7</v>
      </c>
      <c r="M8" s="1" t="n">
        <v>7</v>
      </c>
      <c r="O8" s="1" t="n">
        <v>9</v>
      </c>
      <c r="P8" s="1" t="n">
        <f aca="false">ROUND(AVERAGE(D8,F8,G8,I8,K8,M8,O7),0)</f>
        <v>8</v>
      </c>
      <c r="Q8" s="1" t="str">
        <f aca="false">IF(P8&gt;6,"TEA",IF(P8&gt;3,"TEP","TED"))</f>
        <v>TEA</v>
      </c>
      <c r="R8" s="1" t="n">
        <v>7</v>
      </c>
      <c r="S8" s="1" t="n">
        <f aca="false">IF(AND(P8&gt;6,R8&gt;6),ROUND((P8+R8)/2,0),MIN(P8,R8))</f>
        <v>8</v>
      </c>
      <c r="T8" s="1" t="str">
        <f aca="false">IF(S8&gt;6,"TEA",IF(S8&gt;3,"TEP","TED"))</f>
        <v>TEA</v>
      </c>
      <c r="U8" s="1" t="n">
        <v>4</v>
      </c>
    </row>
    <row r="9" customFormat="false" ht="15.65" hidden="false" customHeight="false" outlineLevel="0" collapsed="false">
      <c r="A9" s="1" t="n">
        <v>7</v>
      </c>
      <c r="B9" s="2" t="s">
        <v>26</v>
      </c>
      <c r="C9" s="2" t="s">
        <v>27</v>
      </c>
      <c r="D9" s="1" t="n">
        <v>8</v>
      </c>
      <c r="F9" s="1" t="n">
        <v>9</v>
      </c>
      <c r="G9" s="1" t="n">
        <v>10</v>
      </c>
      <c r="I9" s="1" t="n">
        <v>2</v>
      </c>
      <c r="K9" s="1" t="n">
        <v>7</v>
      </c>
      <c r="M9" s="1" t="n">
        <v>1</v>
      </c>
      <c r="O9" s="1" t="n">
        <v>6.5</v>
      </c>
      <c r="P9" s="1" t="n">
        <f aca="false">ROUND(AVERAGE(D9,F9,G9,I9,K9,M9,O8),0)</f>
        <v>7</v>
      </c>
      <c r="Q9" s="1" t="str">
        <f aca="false">IF(P9&gt;6,"TEA",IF(P9&gt;3,"TEP","TED"))</f>
        <v>TEA</v>
      </c>
      <c r="R9" s="1" t="n">
        <v>0</v>
      </c>
      <c r="S9" s="1" t="n">
        <f aca="false">IF(AND(P9&gt;6,R9&gt;6),ROUND((P9+R9)/2,0),MIN(P9,R9))</f>
        <v>0</v>
      </c>
      <c r="T9" s="1" t="str">
        <f aca="false">IF(S9&gt;6,"TEA",IF(S9&gt;3,"TEP","TED"))</f>
        <v>TED</v>
      </c>
      <c r="U9" s="1" t="n">
        <v>1</v>
      </c>
      <c r="V9" s="1" t="n">
        <v>7</v>
      </c>
    </row>
    <row r="10" customFormat="false" ht="15.65" hidden="false" customHeight="false" outlineLevel="0" collapsed="false">
      <c r="A10" s="1" t="n">
        <v>25</v>
      </c>
      <c r="B10" s="2"/>
      <c r="C10" s="2" t="s">
        <v>28</v>
      </c>
      <c r="D10" s="1" t="n">
        <v>5</v>
      </c>
      <c r="F10" s="1" t="n">
        <v>10</v>
      </c>
      <c r="G10" s="1" t="n">
        <v>9</v>
      </c>
      <c r="I10" s="1" t="n">
        <v>1</v>
      </c>
      <c r="K10" s="1" t="n">
        <v>7</v>
      </c>
      <c r="M10" s="1" t="n">
        <v>7</v>
      </c>
      <c r="O10" s="1" t="n">
        <v>6.5</v>
      </c>
      <c r="P10" s="1" t="n">
        <f aca="false">ROUND(AVERAGE(D10,F10,G10,I10,K10,M10,O9),0)</f>
        <v>7</v>
      </c>
      <c r="Q10" s="1" t="str">
        <f aca="false">IF(P10&gt;6,"TEA",IF(P10&gt;3,"TEP","TED"))</f>
        <v>TEA</v>
      </c>
      <c r="R10" s="1" t="n">
        <v>7</v>
      </c>
      <c r="S10" s="1" t="n">
        <f aca="false">IF(AND(P10&gt;6,R10&gt;6),ROUND((P10+R10)/2,0),MIN(P10,R10))</f>
        <v>7</v>
      </c>
      <c r="T10" s="1" t="str">
        <f aca="false">IF(S10&gt;6,"TEA",IF(S10&gt;3,"TEP","TED"))</f>
        <v>TEA</v>
      </c>
      <c r="U10" s="1" t="n">
        <v>3</v>
      </c>
      <c r="V10" s="1" t="n">
        <v>6</v>
      </c>
    </row>
    <row r="11" customFormat="false" ht="15.65" hidden="false" customHeight="false" outlineLevel="0" collapsed="false">
      <c r="A11" s="1" t="n">
        <v>8</v>
      </c>
      <c r="B11" s="2" t="s">
        <v>29</v>
      </c>
      <c r="C11" s="2" t="s">
        <v>30</v>
      </c>
      <c r="D11" s="1" t="n">
        <v>9</v>
      </c>
      <c r="F11" s="1" t="n">
        <v>10</v>
      </c>
      <c r="G11" s="1" t="n">
        <v>9</v>
      </c>
      <c r="I11" s="1" t="n">
        <v>8</v>
      </c>
      <c r="K11" s="1" t="n">
        <v>8</v>
      </c>
      <c r="M11" s="1" t="n">
        <v>6</v>
      </c>
      <c r="O11" s="1" t="n">
        <v>8.5</v>
      </c>
      <c r="P11" s="1" t="n">
        <f aca="false">ROUND(AVERAGE(D11,F11,G11,I11,K11,M11,O10),0)</f>
        <v>8</v>
      </c>
      <c r="Q11" s="1" t="str">
        <f aca="false">IF(P11&gt;6,"TEA",IF(P11&gt;3,"TEP","TED"))</f>
        <v>TEA</v>
      </c>
      <c r="R11" s="1" t="n">
        <v>7</v>
      </c>
      <c r="S11" s="1" t="n">
        <f aca="false">IF(AND(P11&gt;6,R11&gt;6),ROUND((P11+R11)/2,0),MIN(P11,R11))</f>
        <v>8</v>
      </c>
      <c r="T11" s="1" t="str">
        <f aca="false">IF(S11&gt;6,"TEA",IF(S11&gt;3,"TEP","TED"))</f>
        <v>TEA</v>
      </c>
      <c r="U11" s="1" t="n">
        <v>4</v>
      </c>
      <c r="V11" s="1" t="n">
        <v>6</v>
      </c>
    </row>
    <row r="12" customFormat="false" ht="15.65" hidden="false" customHeight="false" outlineLevel="0" collapsed="false">
      <c r="A12" s="1" t="n">
        <v>9</v>
      </c>
      <c r="B12" s="2" t="s">
        <v>31</v>
      </c>
      <c r="C12" s="2" t="s">
        <v>32</v>
      </c>
      <c r="D12" s="1" t="n">
        <v>5</v>
      </c>
      <c r="F12" s="1" t="n">
        <v>10</v>
      </c>
      <c r="G12" s="1" t="n">
        <v>1</v>
      </c>
      <c r="I12" s="1" t="n">
        <v>1</v>
      </c>
      <c r="K12" s="1" t="n">
        <v>4</v>
      </c>
      <c r="M12" s="1" t="n">
        <v>1</v>
      </c>
      <c r="O12" s="1" t="n">
        <v>5.25</v>
      </c>
      <c r="P12" s="1" t="n">
        <f aca="false">ROUND(AVERAGE(D12,F12,G12,I12,K12,M12,O11),0)</f>
        <v>4</v>
      </c>
      <c r="Q12" s="1" t="str">
        <f aca="false">IF(P12&gt;6,"TEA",IF(P12&gt;3,"TEP","TED"))</f>
        <v>TEP</v>
      </c>
      <c r="R12" s="1" t="n">
        <v>2</v>
      </c>
      <c r="S12" s="1" t="n">
        <f aca="false">IF(AND(P12&gt;6,R12&gt;6),ROUND((P12+R12)/2,0),MIN(P12,R12))</f>
        <v>2</v>
      </c>
      <c r="T12" s="1" t="str">
        <f aca="false">IF(S12&gt;6,"TEA",IF(S12&gt;3,"TEP","TED"))</f>
        <v>TED</v>
      </c>
      <c r="U12" s="1" t="n">
        <v>1</v>
      </c>
      <c r="V12" s="1" t="n">
        <v>6</v>
      </c>
    </row>
    <row r="13" customFormat="false" ht="15.65" hidden="false" customHeight="false" outlineLevel="0" collapsed="false">
      <c r="A13" s="1" t="n">
        <v>10</v>
      </c>
      <c r="B13" s="2" t="s">
        <v>33</v>
      </c>
      <c r="C13" s="2" t="s">
        <v>34</v>
      </c>
      <c r="D13" s="1" t="n">
        <v>3</v>
      </c>
      <c r="F13" s="1" t="n">
        <v>9</v>
      </c>
      <c r="G13" s="1" t="n">
        <v>1</v>
      </c>
      <c r="I13" s="1" t="n">
        <v>3</v>
      </c>
      <c r="K13" s="1" t="n">
        <v>8</v>
      </c>
      <c r="M13" s="1" t="n">
        <v>1</v>
      </c>
      <c r="O13" s="1" t="n">
        <v>5.5</v>
      </c>
      <c r="P13" s="1" t="n">
        <f aca="false">ROUND(AVERAGE(D13,F13,G13,I13,K13,M13,O12),0)</f>
        <v>4</v>
      </c>
      <c r="Q13" s="1" t="str">
        <f aca="false">IF(P13&gt;6,"TEA",IF(P13&gt;3,"TEP","TED"))</f>
        <v>TEP</v>
      </c>
      <c r="R13" s="1" t="n">
        <v>2</v>
      </c>
      <c r="S13" s="1" t="n">
        <f aca="false">IF(AND(P13&gt;6,R13&gt;6),ROUND((P13+R13)/2,0),MIN(P13,R13))</f>
        <v>2</v>
      </c>
      <c r="T13" s="1" t="str">
        <f aca="false">IF(S13&gt;6,"TEA",IF(S13&gt;3,"TEP","TED"))</f>
        <v>TED</v>
      </c>
      <c r="U13" s="1" t="n">
        <v>1</v>
      </c>
      <c r="V13" s="1" t="n">
        <v>7</v>
      </c>
    </row>
    <row r="14" customFormat="false" ht="15.65" hidden="false" customHeight="false" outlineLevel="0" collapsed="false">
      <c r="A14" s="1" t="n">
        <v>11</v>
      </c>
      <c r="B14" s="2" t="s">
        <v>35</v>
      </c>
      <c r="C14" s="2" t="s">
        <v>36</v>
      </c>
      <c r="D14" s="1" t="n">
        <v>9</v>
      </c>
      <c r="F14" s="1" t="n">
        <v>9</v>
      </c>
      <c r="G14" s="1" t="n">
        <v>10</v>
      </c>
      <c r="I14" s="1" t="n">
        <v>7</v>
      </c>
      <c r="J14" s="3" t="n">
        <v>46209</v>
      </c>
      <c r="K14" s="1" t="n">
        <v>9</v>
      </c>
      <c r="M14" s="1" t="n">
        <v>7</v>
      </c>
      <c r="O14" s="1" t="n">
        <v>10</v>
      </c>
      <c r="P14" s="1" t="n">
        <f aca="false">ROUND(AVERAGE(D14,F14,G14,I14,K14,M14,O13),0)</f>
        <v>8</v>
      </c>
      <c r="Q14" s="1" t="str">
        <f aca="false">IF(P14&gt;6,"TEA",IF(P14&gt;3,"TEP","TED"))</f>
        <v>TEA</v>
      </c>
      <c r="R14" s="1" t="n">
        <v>5</v>
      </c>
      <c r="S14" s="1" t="n">
        <f aca="false">IF(AND(P14&gt;6,R14&gt;6),ROUND((P14+R14)/2,0),MIN(P14,R14))</f>
        <v>5</v>
      </c>
      <c r="T14" s="1" t="str">
        <f aca="false">IF(S14&gt;6,"TEA",IF(S14&gt;3,"TEP","TED"))</f>
        <v>TEP</v>
      </c>
      <c r="U14" s="1" t="n">
        <v>2</v>
      </c>
      <c r="V14" s="1" t="n">
        <v>7</v>
      </c>
    </row>
    <row r="15" customFormat="false" ht="15.65" hidden="false" customHeight="false" outlineLevel="0" collapsed="false">
      <c r="A15" s="1" t="n">
        <v>12</v>
      </c>
      <c r="B15" s="2" t="s">
        <v>35</v>
      </c>
      <c r="C15" s="2" t="s">
        <v>37</v>
      </c>
      <c r="D15" s="1" t="n">
        <v>7</v>
      </c>
      <c r="E15" s="3" t="n">
        <v>46209</v>
      </c>
      <c r="F15" s="1" t="n">
        <v>8</v>
      </c>
      <c r="G15" s="1" t="n">
        <v>9</v>
      </c>
      <c r="I15" s="1" t="n">
        <v>6</v>
      </c>
      <c r="J15" s="3" t="n">
        <v>46209</v>
      </c>
      <c r="K15" s="1" t="n">
        <v>9</v>
      </c>
      <c r="M15" s="1" t="n">
        <v>8</v>
      </c>
      <c r="O15" s="1" t="n">
        <v>8</v>
      </c>
      <c r="P15" s="1" t="n">
        <f aca="false">ROUND(AVERAGE(D15,F15,G15,I15,K15,M15,O14),0)</f>
        <v>8</v>
      </c>
      <c r="Q15" s="1" t="str">
        <f aca="false">IF(P15&gt;6,"TEA",IF(P15&gt;3,"TEP","TED"))</f>
        <v>TEA</v>
      </c>
      <c r="R15" s="9" t="n">
        <v>7</v>
      </c>
      <c r="S15" s="1" t="n">
        <f aca="false">IF(AND(P15&gt;6,R15&gt;6),ROUND((P15+R15)/2,0),MIN(P15,R15))</f>
        <v>8</v>
      </c>
      <c r="T15" s="1" t="str">
        <f aca="false">IF(S15&gt;6,"TEA",IF(S15&gt;3,"TEP","TED"))</f>
        <v>TEA</v>
      </c>
      <c r="U15" s="1" t="n">
        <v>2</v>
      </c>
    </row>
    <row r="16" customFormat="false" ht="15.65" hidden="false" customHeight="false" outlineLevel="0" collapsed="false">
      <c r="A16" s="1" t="n">
        <v>13</v>
      </c>
      <c r="B16" s="2" t="s">
        <v>38</v>
      </c>
      <c r="C16" s="2" t="s">
        <v>80</v>
      </c>
      <c r="D16" s="1" t="n">
        <v>8</v>
      </c>
      <c r="F16" s="1" t="n">
        <v>9</v>
      </c>
      <c r="G16" s="1" t="n">
        <v>10</v>
      </c>
      <c r="I16" s="1" t="n">
        <v>7</v>
      </c>
      <c r="K16" s="1" t="n">
        <v>8</v>
      </c>
      <c r="M16" s="1" t="n">
        <v>1</v>
      </c>
      <c r="O16" s="1" t="n">
        <v>6.75</v>
      </c>
      <c r="P16" s="1" t="n">
        <f aca="false">ROUND(AVERAGE(D16,F16,G16,I16,K16,M16,O15),0)</f>
        <v>7</v>
      </c>
      <c r="Q16" s="1" t="str">
        <f aca="false">IF(P16&gt;6,"TEA",IF(P16&gt;3,"TEP","TED"))</f>
        <v>TEA</v>
      </c>
      <c r="R16" s="9" t="n">
        <v>7</v>
      </c>
      <c r="S16" s="1" t="n">
        <f aca="false">IF(AND(P16&gt;6,R16&gt;6),ROUND((P16+R16)/2,0),MIN(P16,R16))</f>
        <v>7</v>
      </c>
      <c r="T16" s="1" t="str">
        <f aca="false">IF(S16&gt;6,"TEA",IF(S16&gt;3,"TEP","TED"))</f>
        <v>TEA</v>
      </c>
      <c r="U16" s="1" t="n">
        <v>4</v>
      </c>
    </row>
    <row r="17" customFormat="false" ht="15.65" hidden="false" customHeight="false" outlineLevel="0" collapsed="false">
      <c r="A17" s="1" t="n">
        <v>26</v>
      </c>
      <c r="B17" s="2" t="s">
        <v>81</v>
      </c>
      <c r="C17" s="2" t="s">
        <v>40</v>
      </c>
      <c r="D17" s="1" t="n">
        <v>8</v>
      </c>
      <c r="F17" s="1" t="n">
        <v>9</v>
      </c>
      <c r="G17" s="1" t="n">
        <v>10</v>
      </c>
      <c r="I17" s="1" t="n">
        <v>1</v>
      </c>
      <c r="K17" s="1" t="n">
        <v>8</v>
      </c>
      <c r="M17" s="1" t="n">
        <v>6</v>
      </c>
      <c r="O17" s="1" t="n">
        <v>4.75</v>
      </c>
      <c r="P17" s="1" t="n">
        <f aca="false">ROUND(AVERAGE(D17,F17,G17,I17,K17,M17,O16),0)</f>
        <v>7</v>
      </c>
      <c r="Q17" s="1" t="str">
        <f aca="false">IF(P17&gt;6,"TEA",IF(P17&gt;3,"TEP","TED"))</f>
        <v>TEA</v>
      </c>
      <c r="R17" s="9" t="n">
        <v>4</v>
      </c>
      <c r="S17" s="1" t="n">
        <f aca="false">IF(AND(P17&gt;6,R17&gt;6),ROUND((P17+R17)/2,0),MIN(P17,R17))</f>
        <v>4</v>
      </c>
      <c r="T17" s="1" t="str">
        <f aca="false">IF(S17&gt;6,"TEA",IF(S17&gt;3,"TEP","TED"))</f>
        <v>TEP</v>
      </c>
      <c r="U17" s="1" t="n">
        <v>3</v>
      </c>
    </row>
    <row r="18" customFormat="false" ht="15.65" hidden="false" customHeight="false" outlineLevel="0" collapsed="false">
      <c r="A18" s="1" t="n">
        <v>14</v>
      </c>
      <c r="B18" s="2" t="s">
        <v>41</v>
      </c>
      <c r="C18" s="2" t="s">
        <v>82</v>
      </c>
      <c r="D18" s="1" t="n">
        <v>8</v>
      </c>
      <c r="F18" s="1" t="n">
        <v>9</v>
      </c>
      <c r="G18" s="1" t="n">
        <v>1</v>
      </c>
      <c r="I18" s="1" t="n">
        <v>1</v>
      </c>
      <c r="K18" s="1" t="n">
        <v>6</v>
      </c>
      <c r="M18" s="1" t="n">
        <v>1</v>
      </c>
      <c r="O18" s="1" t="n">
        <v>5.5</v>
      </c>
      <c r="P18" s="1" t="n">
        <f aca="false">ROUND(AVERAGE(D18,F18,G18,I18,K18,M18,O17),0)</f>
        <v>4</v>
      </c>
      <c r="Q18" s="1" t="str">
        <f aca="false">IF(P18&gt;6,"TEA",IF(P18&gt;3,"TEP","TED"))</f>
        <v>TEP</v>
      </c>
      <c r="R18" s="9" t="n">
        <v>4</v>
      </c>
      <c r="S18" s="1" t="n">
        <f aca="false">IF(AND(P18&gt;6,R18&gt;6),ROUND((P18+R18)/2,0),MIN(P18,R18))</f>
        <v>4</v>
      </c>
      <c r="T18" s="1" t="str">
        <f aca="false">IF(S18&gt;6,"TEA",IF(S18&gt;3,"TEP","TED"))</f>
        <v>TEP</v>
      </c>
      <c r="U18" s="1" t="n">
        <v>1</v>
      </c>
    </row>
    <row r="19" customFormat="false" ht="15.65" hidden="false" customHeight="false" outlineLevel="0" collapsed="false">
      <c r="A19" s="1" t="n">
        <v>24</v>
      </c>
      <c r="B19" s="2"/>
      <c r="C19" s="2" t="s">
        <v>43</v>
      </c>
      <c r="D19" s="1" t="n">
        <v>8</v>
      </c>
      <c r="E19" s="3" t="n">
        <v>46209</v>
      </c>
      <c r="F19" s="1" t="n">
        <v>7</v>
      </c>
      <c r="G19" s="1" t="n">
        <v>9</v>
      </c>
      <c r="I19" s="1" t="n">
        <v>3</v>
      </c>
      <c r="J19" s="3" t="n">
        <v>46209</v>
      </c>
      <c r="K19" s="1" t="n">
        <v>8</v>
      </c>
      <c r="M19" s="1" t="n">
        <v>7</v>
      </c>
      <c r="O19" s="1" t="n">
        <v>1</v>
      </c>
      <c r="P19" s="1" t="n">
        <f aca="false">ROUND(AVERAGE(D19,F19,G19,I19,K19,M19,O18),0)</f>
        <v>7</v>
      </c>
      <c r="Q19" s="1" t="str">
        <f aca="false">IF(P19&gt;6,"TEA",IF(P19&gt;3,"TEP","TED"))</f>
        <v>TEA</v>
      </c>
      <c r="R19" s="9" t="n">
        <v>9</v>
      </c>
      <c r="S19" s="1" t="n">
        <f aca="false">IF(AND(P19&gt;6,R19&gt;6),ROUND((P19+R19)/2,0),MIN(P19,R19))</f>
        <v>8</v>
      </c>
      <c r="T19" s="1" t="str">
        <f aca="false">IF(S19&gt;6,"TEA",IF(S19&gt;3,"TEP","TED"))</f>
        <v>TEA</v>
      </c>
      <c r="U19" s="1" t="n">
        <v>3</v>
      </c>
    </row>
    <row r="20" customFormat="false" ht="15.65" hidden="false" customHeight="false" outlineLevel="0" collapsed="false">
      <c r="A20" s="1" t="n">
        <v>15</v>
      </c>
      <c r="B20" s="2" t="s">
        <v>44</v>
      </c>
      <c r="C20" s="2" t="s">
        <v>45</v>
      </c>
      <c r="D20" s="1" t="n">
        <v>10</v>
      </c>
      <c r="F20" s="1" t="n">
        <v>9</v>
      </c>
      <c r="G20" s="1" t="n">
        <v>8</v>
      </c>
      <c r="I20" s="1" t="n">
        <v>7</v>
      </c>
      <c r="J20" s="3" t="n">
        <v>46209</v>
      </c>
      <c r="K20" s="1" t="n">
        <v>7</v>
      </c>
      <c r="M20" s="1" t="n">
        <v>7</v>
      </c>
      <c r="O20" s="1" t="n">
        <v>5.25</v>
      </c>
      <c r="P20" s="1" t="n">
        <f aca="false">ROUND(AVERAGE(D20,F20,G20,I20,K20,M20,O19),0)</f>
        <v>7</v>
      </c>
      <c r="Q20" s="1" t="str">
        <f aca="false">IF(P20&gt;6,"TEA",IF(P20&gt;3,"TEP","TED"))</f>
        <v>TEA</v>
      </c>
      <c r="R20" s="9" t="n">
        <v>7</v>
      </c>
      <c r="S20" s="1" t="n">
        <f aca="false">IF(AND(P20&gt;6,R20&gt;6),ROUND((P20+R20)/2,0),MIN(P20,R20))</f>
        <v>7</v>
      </c>
      <c r="T20" s="1" t="str">
        <f aca="false">IF(S20&gt;6,"TEA",IF(S20&gt;3,"TEP","TED"))</f>
        <v>TEA</v>
      </c>
      <c r="U20" s="1" t="n">
        <v>1</v>
      </c>
    </row>
    <row r="21" customFormat="false" ht="15.65" hidden="false" customHeight="false" outlineLevel="0" collapsed="false">
      <c r="A21" s="1" t="n">
        <v>16</v>
      </c>
      <c r="B21" s="2" t="s">
        <v>46</v>
      </c>
      <c r="C21" s="2" t="s">
        <v>47</v>
      </c>
      <c r="D21" s="1" t="n">
        <v>10</v>
      </c>
      <c r="F21" s="1" t="n">
        <v>10</v>
      </c>
      <c r="G21" s="1" t="n">
        <v>8</v>
      </c>
      <c r="I21" s="1" t="n">
        <v>7</v>
      </c>
      <c r="J21" s="3" t="n">
        <v>46209</v>
      </c>
      <c r="K21" s="1" t="n">
        <v>6</v>
      </c>
      <c r="M21" s="1" t="n">
        <v>7</v>
      </c>
      <c r="O21" s="1" t="n">
        <v>7.25</v>
      </c>
      <c r="P21" s="1" t="n">
        <f aca="false">ROUND(AVERAGE(D21,F21,G21,I21,K21,M21,O20),0)</f>
        <v>8</v>
      </c>
      <c r="Q21" s="1" t="str">
        <f aca="false">IF(P21&gt;6,"TEA",IF(P21&gt;3,"TEP","TED"))</f>
        <v>TEA</v>
      </c>
      <c r="R21" s="9" t="n">
        <v>9</v>
      </c>
      <c r="S21" s="1" t="n">
        <f aca="false">IF(AND(P21&gt;6,R21&gt;6),ROUND((P21+R21)/2,0),MIN(P21,R21))</f>
        <v>9</v>
      </c>
      <c r="T21" s="1" t="str">
        <f aca="false">IF(S21&gt;6,"TEA",IF(S21&gt;3,"TEP","TED"))</f>
        <v>TEA</v>
      </c>
      <c r="U21" s="1" t="n">
        <v>4</v>
      </c>
    </row>
    <row r="22" customFormat="false" ht="15.65" hidden="false" customHeight="false" outlineLevel="0" collapsed="false">
      <c r="A22" s="1" t="n">
        <v>17</v>
      </c>
      <c r="B22" s="1" t="s">
        <v>48</v>
      </c>
      <c r="C22" s="1" t="s">
        <v>49</v>
      </c>
      <c r="D22" s="1" t="n">
        <v>7</v>
      </c>
      <c r="E22" s="3" t="n">
        <v>46209</v>
      </c>
      <c r="F22" s="1" t="n">
        <v>9</v>
      </c>
      <c r="G22" s="1" t="n">
        <v>10</v>
      </c>
      <c r="I22" s="1" t="n">
        <v>9</v>
      </c>
      <c r="K22" s="1" t="n">
        <v>9</v>
      </c>
      <c r="M22" s="1" t="n">
        <v>10</v>
      </c>
      <c r="O22" s="1" t="n">
        <v>9</v>
      </c>
      <c r="P22" s="1" t="n">
        <f aca="false">ROUND(AVERAGE(D22,F22,G22,I22,K22,M22,O21),0)</f>
        <v>9</v>
      </c>
      <c r="Q22" s="1" t="str">
        <f aca="false">IF(P22&gt;6,"TEA",IF(P22&gt;3,"TEP","TED"))</f>
        <v>TEA</v>
      </c>
      <c r="R22" s="9" t="n">
        <v>10</v>
      </c>
      <c r="S22" s="1" t="n">
        <f aca="false">IF(AND(P22&gt;6,R22&gt;6),ROUND((P22+R22)/2,0),MIN(P22,R22))</f>
        <v>10</v>
      </c>
      <c r="T22" s="1" t="str">
        <f aca="false">IF(S22&gt;6,"TEA",IF(S22&gt;3,"TEP","TED"))</f>
        <v>TEA</v>
      </c>
      <c r="U22" s="1" t="n">
        <v>3</v>
      </c>
    </row>
    <row r="23" customFormat="false" ht="15.65" hidden="false" customHeight="false" outlineLevel="0" collapsed="false">
      <c r="A23" s="1" t="n">
        <v>18</v>
      </c>
      <c r="B23" s="2" t="s">
        <v>50</v>
      </c>
      <c r="C23" s="2" t="s">
        <v>51</v>
      </c>
      <c r="D23" s="1" t="n">
        <v>8</v>
      </c>
      <c r="F23" s="1" t="n">
        <v>9</v>
      </c>
      <c r="G23" s="1" t="n">
        <v>10</v>
      </c>
      <c r="I23" s="1" t="n">
        <v>6</v>
      </c>
      <c r="K23" s="1" t="n">
        <v>7</v>
      </c>
      <c r="M23" s="1" t="n">
        <v>1</v>
      </c>
      <c r="O23" s="1" t="n">
        <v>8.25</v>
      </c>
      <c r="P23" s="1" t="n">
        <f aca="false">ROUND(AVERAGE(D23,F23,G23,I23,K23,M23,O22),0)</f>
        <v>7</v>
      </c>
      <c r="Q23" s="1" t="str">
        <f aca="false">IF(P23&gt;6,"TEA",IF(P23&gt;3,"TEP","TED"))</f>
        <v>TEA</v>
      </c>
      <c r="R23" s="9" t="n">
        <v>8</v>
      </c>
      <c r="S23" s="1" t="n">
        <f aca="false">IF(AND(P23&gt;6,R23&gt;6),ROUND((P23+R23)/2,0),MIN(P23,R23))</f>
        <v>8</v>
      </c>
      <c r="T23" s="1" t="str">
        <f aca="false">IF(S23&gt;6,"TEA",IF(S23&gt;3,"TEP","TED"))</f>
        <v>TEA</v>
      </c>
      <c r="U23" s="1" t="n">
        <v>3</v>
      </c>
    </row>
    <row r="24" customFormat="false" ht="15.65" hidden="false" customHeight="false" outlineLevel="0" collapsed="false">
      <c r="A24" s="1" t="n">
        <v>19</v>
      </c>
      <c r="B24" s="2" t="s">
        <v>52</v>
      </c>
      <c r="C24" s="2" t="s">
        <v>53</v>
      </c>
      <c r="D24" s="1" t="n">
        <v>7</v>
      </c>
      <c r="E24" s="3" t="n">
        <v>46209</v>
      </c>
      <c r="F24" s="1" t="n">
        <v>7</v>
      </c>
      <c r="G24" s="1" t="n">
        <v>7</v>
      </c>
      <c r="H24" s="3" t="n">
        <v>46209</v>
      </c>
      <c r="I24" s="1" t="n">
        <v>1</v>
      </c>
      <c r="K24" s="1" t="n">
        <v>6</v>
      </c>
      <c r="L24" s="3" t="n">
        <v>46209</v>
      </c>
      <c r="M24" s="1" t="n">
        <v>5</v>
      </c>
      <c r="N24" s="3" t="n">
        <v>46209</v>
      </c>
      <c r="O24" s="1" t="n">
        <v>4</v>
      </c>
      <c r="P24" s="1" t="n">
        <f aca="false">ROUND(AVERAGE(D24,F24,G24,I24,K24,M24,O23),0)</f>
        <v>6</v>
      </c>
      <c r="Q24" s="1" t="str">
        <f aca="false">IF(P24&gt;6,"TEA",IF(P24&gt;3,"TEP","TED"))</f>
        <v>TEP</v>
      </c>
      <c r="R24" s="9" t="n">
        <v>8</v>
      </c>
      <c r="S24" s="1" t="n">
        <f aca="false">IF(AND(P24&gt;6,R24&gt;6),ROUND((P24+R24)/2,0),MIN(P24,R24))</f>
        <v>6</v>
      </c>
      <c r="T24" s="1" t="str">
        <f aca="false">IF(S24&gt;6,"TEA",IF(S24&gt;3,"TEP","TED"))</f>
        <v>TEP</v>
      </c>
      <c r="U24" s="1" t="n">
        <v>1</v>
      </c>
    </row>
    <row r="25" customFormat="false" ht="15.65" hidden="false" customHeight="false" outlineLevel="0" collapsed="false">
      <c r="A25" s="1" t="n">
        <v>20</v>
      </c>
      <c r="B25" s="2" t="s">
        <v>54</v>
      </c>
      <c r="C25" s="2" t="s">
        <v>55</v>
      </c>
      <c r="D25" s="1" t="n">
        <v>1</v>
      </c>
      <c r="F25" s="1" t="n">
        <v>9</v>
      </c>
      <c r="G25" s="1" t="n">
        <v>1</v>
      </c>
      <c r="I25" s="1" t="n">
        <v>1</v>
      </c>
      <c r="K25" s="1" t="n">
        <v>1</v>
      </c>
      <c r="M25" s="1" t="n">
        <v>1</v>
      </c>
      <c r="O25" s="1" t="n">
        <v>6.25</v>
      </c>
      <c r="P25" s="1" t="n">
        <f aca="false">ROUND(AVERAGE(D25,F25,G25,I25,K25,M25,O24),0)</f>
        <v>3</v>
      </c>
      <c r="Q25" s="1" t="str">
        <f aca="false">IF(P25&gt;6,"TEA",IF(P25&gt;3,"TEP","TED"))</f>
        <v>TED</v>
      </c>
      <c r="R25" s="9" t="n">
        <v>2</v>
      </c>
      <c r="S25" s="1" t="n">
        <f aca="false">IF(AND(P25&gt;6,R25&gt;6),ROUND((P25+R25)/2,0),MIN(P25,R25))</f>
        <v>2</v>
      </c>
      <c r="T25" s="1" t="str">
        <f aca="false">IF(S25&gt;6,"TEA",IF(S25&gt;3,"TEP","TED"))</f>
        <v>TED</v>
      </c>
      <c r="U25" s="1" t="n">
        <v>4</v>
      </c>
    </row>
    <row r="26" customFormat="false" ht="15.65" hidden="false" customHeight="false" outlineLevel="0" collapsed="false">
      <c r="A26" s="1" t="n">
        <v>21</v>
      </c>
      <c r="B26" s="2" t="s">
        <v>16</v>
      </c>
      <c r="C26" s="2" t="s">
        <v>56</v>
      </c>
      <c r="D26" s="1" t="n">
        <v>10</v>
      </c>
      <c r="F26" s="1" t="n">
        <v>10</v>
      </c>
      <c r="G26" s="1" t="n">
        <v>10</v>
      </c>
      <c r="I26" s="1" t="n">
        <v>10</v>
      </c>
      <c r="K26" s="1" t="n">
        <v>8</v>
      </c>
      <c r="M26" s="1" t="n">
        <v>8</v>
      </c>
      <c r="O26" s="1" t="n">
        <v>9.5</v>
      </c>
      <c r="P26" s="1" t="n">
        <f aca="false">ROUND(AVERAGE(D26,F26,G26,I26,K26,M26,O25),0)</f>
        <v>9</v>
      </c>
      <c r="Q26" s="1" t="str">
        <f aca="false">IF(P26&gt;6,"TEA",IF(P26&gt;3,"TEP","TED"))</f>
        <v>TEA</v>
      </c>
      <c r="R26" s="9" t="n">
        <v>8</v>
      </c>
      <c r="S26" s="1" t="n">
        <f aca="false">IF(AND(P26&gt;6,R26&gt;6),ROUND((P26+R26)/2,0),MIN(P26,R26))</f>
        <v>9</v>
      </c>
      <c r="T26" s="1" t="str">
        <f aca="false">IF(S26&gt;6,"TEA",IF(S26&gt;3,"TEP","TED"))</f>
        <v>TEA</v>
      </c>
      <c r="U26" s="1" t="n">
        <v>2</v>
      </c>
    </row>
    <row r="27" customFormat="false" ht="15.65" hidden="false" customHeight="false" outlineLevel="0" collapsed="false">
      <c r="A27" s="1" t="n">
        <v>22</v>
      </c>
      <c r="B27" s="2" t="s">
        <v>57</v>
      </c>
      <c r="C27" s="2" t="s">
        <v>58</v>
      </c>
      <c r="D27" s="1" t="n">
        <v>10</v>
      </c>
      <c r="F27" s="1" t="n">
        <v>10</v>
      </c>
      <c r="G27" s="1" t="n">
        <v>9</v>
      </c>
      <c r="I27" s="1" t="n">
        <v>6</v>
      </c>
      <c r="K27" s="1" t="n">
        <v>7</v>
      </c>
      <c r="M27" s="1" t="n">
        <v>7</v>
      </c>
      <c r="O27" s="1" t="n">
        <v>7.25</v>
      </c>
      <c r="P27" s="1" t="n">
        <f aca="false">ROUND(AVERAGE(D27,F27,G27,I27,K27,M27,O26),0)</f>
        <v>8</v>
      </c>
      <c r="Q27" s="1" t="str">
        <f aca="false">IF(P27&gt;6,"TEA",IF(P27&gt;3,"TEP","TED"))</f>
        <v>TEA</v>
      </c>
      <c r="R27" s="9" t="n">
        <v>7</v>
      </c>
      <c r="S27" s="1" t="n">
        <f aca="false">IF(AND(P27&gt;6,R27&gt;6),ROUND((P27+R27)/2,0),MIN(P27,R27))</f>
        <v>8</v>
      </c>
      <c r="T27" s="1" t="str">
        <f aca="false">IF(S27&gt;6,"TEA",IF(S27&gt;3,"TEP","TED"))</f>
        <v>TEA</v>
      </c>
      <c r="U27" s="1" t="n">
        <v>2</v>
      </c>
    </row>
    <row r="28" customFormat="false" ht="15.65" hidden="false" customHeight="false" outlineLevel="0" collapsed="false">
      <c r="A28" s="5" t="n">
        <v>28</v>
      </c>
      <c r="B28" s="5"/>
      <c r="C28" s="7" t="s">
        <v>63</v>
      </c>
      <c r="D28" s="1" t="n">
        <v>7</v>
      </c>
      <c r="F28" s="1" t="n">
        <v>7</v>
      </c>
      <c r="G28" s="1" t="n">
        <v>7</v>
      </c>
      <c r="I28" s="1" t="n">
        <v>5</v>
      </c>
      <c r="K28" s="1" t="n">
        <v>8</v>
      </c>
      <c r="M28" s="1" t="n">
        <v>7</v>
      </c>
      <c r="O28" s="1" t="n">
        <v>7</v>
      </c>
      <c r="P28" s="1" t="n">
        <f aca="false">ROUND(AVERAGE(D28,F28,G28,I28,K28,M28,O27),0)</f>
        <v>7</v>
      </c>
      <c r="Q28" s="1" t="str">
        <f aca="false">IF(P28&gt;6,"TEA",IF(P28&gt;3,"TEP","TED"))</f>
        <v>TEA</v>
      </c>
      <c r="R28" s="9" t="n">
        <v>8</v>
      </c>
      <c r="S28" s="1" t="n">
        <f aca="false">IF(AND(P28&gt;6,R28&gt;6),ROUND((P28+R28)/2,0),MIN(P28,R28))</f>
        <v>8</v>
      </c>
      <c r="T28" s="1" t="str">
        <f aca="false">IF(S28&gt;6,"TEA",IF(S28&gt;3,"TEP","TED"))</f>
        <v>TEA</v>
      </c>
    </row>
    <row r="29" customFormat="false" ht="15.65" hidden="false" customHeight="false" outlineLevel="0" collapsed="false">
      <c r="A29" s="1" t="n">
        <v>23</v>
      </c>
      <c r="B29" s="2" t="s">
        <v>59</v>
      </c>
      <c r="C29" s="2" t="s">
        <v>60</v>
      </c>
      <c r="D29" s="1" t="n">
        <v>1</v>
      </c>
      <c r="F29" s="1" t="n">
        <v>8</v>
      </c>
      <c r="G29" s="1" t="n">
        <v>7</v>
      </c>
      <c r="I29" s="1" t="n">
        <v>4</v>
      </c>
      <c r="J29" s="3" t="n">
        <v>46209</v>
      </c>
      <c r="K29" s="1" t="n">
        <v>8</v>
      </c>
      <c r="M29" s="1" t="n">
        <v>7</v>
      </c>
      <c r="O29" s="1" t="n">
        <v>7.375</v>
      </c>
      <c r="P29" s="1" t="n">
        <f aca="false">ROUND(AVERAGE(D29,F29,G29,I29,K29,M29,O28),0)</f>
        <v>6</v>
      </c>
      <c r="Q29" s="1" t="str">
        <f aca="false">IF(P29&gt;6,"TEA",IF(P29&gt;3,"TEP","TED"))</f>
        <v>TEP</v>
      </c>
      <c r="R29" s="9" t="n">
        <v>7</v>
      </c>
      <c r="S29" s="1" t="n">
        <f aca="false">IF(AND(P29&gt;6,R29&gt;6),ROUND((P29+R29)/2,0),MIN(P29,R29))</f>
        <v>6</v>
      </c>
      <c r="T29" s="1" t="str">
        <f aca="false">IF(S29&gt;6,"TEA",IF(S29&gt;3,"TEP","TED"))</f>
        <v>TEP</v>
      </c>
      <c r="U29" s="1" t="n">
        <v>3</v>
      </c>
    </row>
    <row r="30" customFormat="false" ht="15.65" hidden="false" customHeight="false" outlineLevel="0" collapsed="false">
      <c r="A30" s="1" t="n">
        <v>27</v>
      </c>
      <c r="C30" s="1" t="s">
        <v>62</v>
      </c>
      <c r="D30" s="1" t="n">
        <v>8</v>
      </c>
      <c r="F30" s="1" t="n">
        <v>10</v>
      </c>
      <c r="G30" s="1" t="n">
        <v>6</v>
      </c>
      <c r="I30" s="1" t="n">
        <v>6</v>
      </c>
      <c r="J30" s="3" t="n">
        <v>46209</v>
      </c>
      <c r="K30" s="1" t="n">
        <v>9</v>
      </c>
      <c r="M30" s="1" t="n">
        <v>6</v>
      </c>
      <c r="O30" s="1" t="n">
        <v>7.75</v>
      </c>
      <c r="P30" s="1" t="n">
        <f aca="false">ROUND(AVERAGE(D30,F30,G30,I30,K30,M30,O29),0)</f>
        <v>7</v>
      </c>
      <c r="Q30" s="1" t="str">
        <f aca="false">IF(P30&gt;6,"TEA",IF(P30&gt;3,"TEP","TED"))</f>
        <v>TEA</v>
      </c>
      <c r="R30" s="9" t="n">
        <v>7</v>
      </c>
      <c r="S30" s="1" t="n">
        <f aca="false">IF(AND(P30&gt;6,R30&gt;6),ROUND((P30+R30)/2,0),MIN(P30,R30))</f>
        <v>7</v>
      </c>
      <c r="T30" s="1" t="str">
        <f aca="false">IF(S30&gt;6,"TEA",IF(S30&gt;3,"TEP","TED"))</f>
        <v>TEA</v>
      </c>
      <c r="U30" s="1" t="n">
        <v>3</v>
      </c>
    </row>
    <row r="32" customFormat="false" ht="15" hidden="false" customHeight="false" outlineLevel="0" collapsed="false">
      <c r="G32" s="1" t="n">
        <f aca="false">(5.6+7+7)/3</f>
        <v>6.53333333333333</v>
      </c>
      <c r="P32" s="2" t="s">
        <v>83</v>
      </c>
    </row>
    <row r="33" customFormat="false" ht="15" hidden="false" customHeight="false" outlineLevel="0" collapsed="false">
      <c r="G33" s="1" t="n">
        <f aca="false">(2.6+2.1+6.3)/3</f>
        <v>3.66666666666667</v>
      </c>
      <c r="P33" s="2" t="s">
        <v>84</v>
      </c>
    </row>
  </sheetData>
  <conditionalFormatting sqref="D3:T3 D6:N29 O6:O23 P15:Q30 D4:R5 P6:R14 S4:T30">
    <cfRule type="cellIs" priority="2" operator="greaterThan" aboveAverage="0" equalAverage="0" bottom="0" percent="0" rank="0" text="" dxfId="0">
      <formula>6</formula>
    </cfRule>
    <cfRule type="cellIs" priority="3" operator="between" aboveAverage="0" equalAverage="0" bottom="0" percent="0" rank="0" text="" dxfId="1">
      <formula>4</formula>
      <formula>6</formula>
    </cfRule>
    <cfRule type="cellIs" priority="4" operator="lessThan" aboveAverage="0" equalAverage="0" bottom="0" percent="0" rank="0" text="" dxfId="2">
      <formula>4</formula>
    </cfRule>
    <cfRule type="cellIs" priority="5" operator="equal" aboveAverage="0" equalAverage="0" bottom="0" percent="0" rank="0" text="" dxfId="0">
      <formula>"TEA"</formula>
    </cfRule>
    <cfRule type="cellIs" priority="6" operator="equal" aboveAverage="0" equalAverage="0" bottom="0" percent="0" rank="0" text="" dxfId="1">
      <formula>"TEP"</formula>
    </cfRule>
    <cfRule type="cellIs" priority="7" operator="equal" aboveAverage="0" equalAverage="0" bottom="0" percent="0" rank="0" text="" dxfId="2">
      <formula>"TED"</formula>
    </cfRule>
  </conditionalFormatting>
  <conditionalFormatting sqref="O24:O29">
    <cfRule type="cellIs" priority="8" operator="greaterThan" aboveAverage="0" equalAverage="0" bottom="0" percent="0" rank="0" text="" dxfId="0">
      <formula>6</formula>
    </cfRule>
    <cfRule type="cellIs" priority="9" operator="between" aboveAverage="0" equalAverage="0" bottom="0" percent="0" rank="0" text="" dxfId="1">
      <formula>4</formula>
      <formula>6</formula>
    </cfRule>
    <cfRule type="cellIs" priority="10" operator="lessThan" aboveAverage="0" equalAverage="0" bottom="0" percent="0" rank="0" text="" dxfId="2">
      <formula>4</formula>
    </cfRule>
  </conditionalFormatting>
  <conditionalFormatting sqref="R15:R30">
    <cfRule type="cellIs" priority="11" operator="greaterThan" aboveAverage="0" equalAverage="0" bottom="0" percent="0" rank="0" text="" dxfId="3">
      <formula>6</formula>
    </cfRule>
    <cfRule type="cellIs" priority="12" operator="between" aboveAverage="0" equalAverage="0" bottom="0" percent="0" rank="0" text="" dxfId="4">
      <formula>4</formula>
      <formula>6</formula>
    </cfRule>
    <cfRule type="cellIs" priority="13" operator="lessThan" aboveAverage="0" equalAverage="0" bottom="0" percent="0" rank="0" text="" dxfId="5">
      <formula>4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3" colorId="64" zoomScale="120" zoomScaleNormal="120" zoomScalePageLayoutView="100" workbookViewId="0">
      <selection pane="topLeft" activeCell="G22" activeCellId="0" sqref="G22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4.25"/>
    <col collapsed="false" customWidth="true" hidden="false" outlineLevel="0" max="2" min="2" style="1" width="24.42"/>
    <col collapsed="false" customWidth="true" hidden="false" outlineLevel="0" max="3" min="3" style="1" width="20.07"/>
  </cols>
  <sheetData>
    <row r="1" customFormat="false" ht="15" hidden="false" customHeight="false" outlineLevel="0" collapsed="false">
      <c r="A1" s="1" t="s">
        <v>0</v>
      </c>
      <c r="B1" s="2" t="s">
        <v>2</v>
      </c>
      <c r="C1" s="1" t="s">
        <v>2</v>
      </c>
      <c r="D1" s="1" t="s">
        <v>85</v>
      </c>
      <c r="E1" s="1" t="s">
        <v>86</v>
      </c>
      <c r="F1" s="1" t="s">
        <v>87</v>
      </c>
      <c r="G1" s="1" t="s">
        <v>88</v>
      </c>
    </row>
    <row r="2" customFormat="false" ht="15" hidden="false" customHeight="false" outlineLevel="0" collapsed="false">
      <c r="A2" s="1" t="n">
        <v>1</v>
      </c>
      <c r="B2" s="2" t="s">
        <v>11</v>
      </c>
      <c r="C2" s="1" t="s">
        <v>89</v>
      </c>
      <c r="D2" s="1" t="n">
        <v>10</v>
      </c>
      <c r="G2" s="1" t="n">
        <v>10</v>
      </c>
    </row>
    <row r="3" customFormat="false" ht="15" hidden="false" customHeight="false" outlineLevel="0" collapsed="false">
      <c r="A3" s="1" t="n">
        <v>2</v>
      </c>
      <c r="B3" s="2" t="s">
        <v>15</v>
      </c>
      <c r="C3" s="1" t="s">
        <v>90</v>
      </c>
      <c r="D3" s="1" t="n">
        <v>6</v>
      </c>
      <c r="E3" s="1" t="n">
        <f aca="false">ROUND(AVERAGE(D3:D4),0)</f>
        <v>5</v>
      </c>
      <c r="F3" s="1" t="n">
        <v>3</v>
      </c>
      <c r="G3" s="1" t="n">
        <f aca="false">MAX(F3,E3)</f>
        <v>5</v>
      </c>
    </row>
    <row r="4" customFormat="false" ht="15" hidden="false" customHeight="false" outlineLevel="0" collapsed="false">
      <c r="C4" s="1" t="s">
        <v>90</v>
      </c>
      <c r="D4" s="1" t="n">
        <v>3</v>
      </c>
    </row>
    <row r="5" customFormat="false" ht="15" hidden="false" customHeight="false" outlineLevel="0" collapsed="false">
      <c r="A5" s="1" t="n">
        <v>3</v>
      </c>
      <c r="B5" s="2" t="s">
        <v>17</v>
      </c>
      <c r="D5" s="1" t="n">
        <v>1</v>
      </c>
      <c r="G5" s="1" t="n">
        <v>1</v>
      </c>
    </row>
    <row r="6" customFormat="false" ht="15" hidden="false" customHeight="false" outlineLevel="0" collapsed="false">
      <c r="A6" s="1" t="n">
        <v>4</v>
      </c>
      <c r="B6" s="2" t="s">
        <v>21</v>
      </c>
      <c r="C6" s="1" t="s">
        <v>91</v>
      </c>
      <c r="D6" s="1" t="n">
        <v>4</v>
      </c>
      <c r="G6" s="1" t="n">
        <v>4</v>
      </c>
    </row>
    <row r="7" customFormat="false" ht="15" hidden="false" customHeight="false" outlineLevel="0" collapsed="false">
      <c r="A7" s="1" t="n">
        <v>5</v>
      </c>
      <c r="B7" s="2" t="s">
        <v>23</v>
      </c>
      <c r="C7" s="1" t="s">
        <v>92</v>
      </c>
      <c r="D7" s="1" t="n">
        <v>8</v>
      </c>
      <c r="G7" s="1" t="n">
        <v>8</v>
      </c>
    </row>
    <row r="8" customFormat="false" ht="15" hidden="false" customHeight="false" outlineLevel="0" collapsed="false">
      <c r="A8" s="1" t="n">
        <v>6</v>
      </c>
      <c r="B8" s="2" t="s">
        <v>25</v>
      </c>
      <c r="C8" s="1" t="s">
        <v>93</v>
      </c>
      <c r="D8" s="1" t="n">
        <v>8</v>
      </c>
      <c r="G8" s="1" t="n">
        <v>8</v>
      </c>
    </row>
    <row r="9" customFormat="false" ht="15" hidden="false" customHeight="false" outlineLevel="0" collapsed="false">
      <c r="A9" s="1" t="n">
        <v>7</v>
      </c>
      <c r="B9" s="2" t="s">
        <v>27</v>
      </c>
      <c r="C9" s="1" t="s">
        <v>94</v>
      </c>
      <c r="D9" s="1" t="n">
        <v>10</v>
      </c>
      <c r="G9" s="1" t="n">
        <v>10</v>
      </c>
    </row>
    <row r="10" customFormat="false" ht="15" hidden="false" customHeight="false" outlineLevel="0" collapsed="false">
      <c r="A10" s="1" t="n">
        <v>25</v>
      </c>
      <c r="B10" s="2" t="s">
        <v>28</v>
      </c>
      <c r="C10" s="1" t="s">
        <v>95</v>
      </c>
      <c r="D10" s="1" t="n">
        <v>9</v>
      </c>
      <c r="G10" s="1" t="n">
        <v>9</v>
      </c>
    </row>
    <row r="11" customFormat="false" ht="15" hidden="false" customHeight="false" outlineLevel="0" collapsed="false">
      <c r="A11" s="1" t="n">
        <v>8</v>
      </c>
      <c r="B11" s="2" t="s">
        <v>30</v>
      </c>
      <c r="C11" s="1" t="s">
        <v>96</v>
      </c>
      <c r="D11" s="1" t="n">
        <v>9</v>
      </c>
      <c r="G11" s="1" t="n">
        <v>9</v>
      </c>
    </row>
    <row r="12" customFormat="false" ht="15" hidden="false" customHeight="false" outlineLevel="0" collapsed="false">
      <c r="A12" s="1" t="n">
        <v>9</v>
      </c>
      <c r="B12" s="2" t="s">
        <v>32</v>
      </c>
      <c r="C12" s="1" t="s">
        <v>97</v>
      </c>
      <c r="D12" s="1" t="n">
        <v>1</v>
      </c>
      <c r="G12" s="1" t="n">
        <v>1</v>
      </c>
    </row>
    <row r="13" customFormat="false" ht="15" hidden="false" customHeight="false" outlineLevel="0" collapsed="false">
      <c r="A13" s="1" t="n">
        <v>10</v>
      </c>
      <c r="B13" s="2" t="s">
        <v>34</v>
      </c>
      <c r="D13" s="1" t="n">
        <v>1</v>
      </c>
      <c r="G13" s="1" t="n">
        <v>1</v>
      </c>
    </row>
    <row r="14" customFormat="false" ht="15" hidden="false" customHeight="false" outlineLevel="0" collapsed="false">
      <c r="A14" s="1" t="n">
        <v>11</v>
      </c>
      <c r="B14" s="2" t="s">
        <v>36</v>
      </c>
      <c r="C14" s="1" t="s">
        <v>98</v>
      </c>
      <c r="D14" s="1" t="n">
        <v>10</v>
      </c>
      <c r="G14" s="1" t="n">
        <v>10</v>
      </c>
    </row>
    <row r="15" customFormat="false" ht="15" hidden="false" customHeight="false" outlineLevel="0" collapsed="false">
      <c r="A15" s="1" t="n">
        <v>12</v>
      </c>
      <c r="B15" s="2" t="s">
        <v>37</v>
      </c>
      <c r="C15" s="1" t="s">
        <v>99</v>
      </c>
      <c r="D15" s="1" t="n">
        <v>10</v>
      </c>
      <c r="E15" s="1" t="n">
        <f aca="false">ROUND(AVERAGE(D15:D20),0)</f>
        <v>7</v>
      </c>
      <c r="F15" s="1" t="n">
        <v>9</v>
      </c>
      <c r="G15" s="1" t="n">
        <f aca="false">MAX(F15,E15)</f>
        <v>9</v>
      </c>
    </row>
    <row r="16" customFormat="false" ht="15" hidden="false" customHeight="false" outlineLevel="0" collapsed="false">
      <c r="C16" s="1" t="s">
        <v>99</v>
      </c>
      <c r="D16" s="1" t="n">
        <v>10</v>
      </c>
    </row>
    <row r="17" customFormat="false" ht="15" hidden="false" customHeight="false" outlineLevel="0" collapsed="false">
      <c r="C17" s="1" t="s">
        <v>99</v>
      </c>
      <c r="D17" s="1" t="n">
        <v>9</v>
      </c>
    </row>
    <row r="18" customFormat="false" ht="15" hidden="false" customHeight="false" outlineLevel="0" collapsed="false">
      <c r="C18" s="1" t="s">
        <v>99</v>
      </c>
      <c r="D18" s="1" t="n">
        <v>6</v>
      </c>
    </row>
    <row r="19" customFormat="false" ht="15" hidden="false" customHeight="false" outlineLevel="0" collapsed="false">
      <c r="C19" s="1" t="s">
        <v>99</v>
      </c>
      <c r="D19" s="1" t="n">
        <v>4</v>
      </c>
    </row>
    <row r="20" customFormat="false" ht="15" hidden="false" customHeight="false" outlineLevel="0" collapsed="false">
      <c r="C20" s="1" t="s">
        <v>99</v>
      </c>
      <c r="D20" s="1" t="n">
        <v>2</v>
      </c>
    </row>
    <row r="21" customFormat="false" ht="15" hidden="false" customHeight="false" outlineLevel="0" collapsed="false">
      <c r="A21" s="1" t="n">
        <v>13</v>
      </c>
      <c r="B21" s="10" t="s">
        <v>39</v>
      </c>
      <c r="C21" s="1" t="s">
        <v>100</v>
      </c>
      <c r="D21" s="1" t="n">
        <v>10</v>
      </c>
      <c r="G21" s="1" t="n">
        <v>10</v>
      </c>
    </row>
    <row r="22" customFormat="false" ht="15" hidden="false" customHeight="false" outlineLevel="0" collapsed="false">
      <c r="A22" s="1" t="n">
        <v>26</v>
      </c>
      <c r="B22" s="2" t="s">
        <v>101</v>
      </c>
      <c r="C22" s="1" t="s">
        <v>102</v>
      </c>
      <c r="D22" s="1" t="n">
        <v>10</v>
      </c>
      <c r="G22" s="1" t="n">
        <v>10</v>
      </c>
    </row>
    <row r="23" customFormat="false" ht="15" hidden="false" customHeight="false" outlineLevel="0" collapsed="false">
      <c r="A23" s="1" t="n">
        <v>14</v>
      </c>
      <c r="B23" s="2" t="s">
        <v>103</v>
      </c>
      <c r="C23" s="1" t="s">
        <v>104</v>
      </c>
      <c r="D23" s="1" t="n">
        <v>1</v>
      </c>
      <c r="G23" s="1" t="n">
        <v>1</v>
      </c>
    </row>
    <row r="24" customFormat="false" ht="15" hidden="false" customHeight="false" outlineLevel="0" collapsed="false">
      <c r="A24" s="1" t="n">
        <v>24</v>
      </c>
      <c r="B24" s="2" t="s">
        <v>43</v>
      </c>
      <c r="C24" s="1" t="s">
        <v>105</v>
      </c>
      <c r="D24" s="1" t="n">
        <v>9</v>
      </c>
      <c r="G24" s="1" t="n">
        <v>9</v>
      </c>
    </row>
    <row r="25" customFormat="false" ht="15" hidden="false" customHeight="false" outlineLevel="0" collapsed="false">
      <c r="A25" s="1" t="n">
        <v>15</v>
      </c>
      <c r="B25" s="2" t="s">
        <v>45</v>
      </c>
      <c r="C25" s="1" t="s">
        <v>106</v>
      </c>
      <c r="D25" s="1" t="n">
        <v>10</v>
      </c>
      <c r="E25" s="1" t="n">
        <f aca="false">ROUND(AVERAGE(D25:D26),0)</f>
        <v>8</v>
      </c>
      <c r="F25" s="1" t="n">
        <v>5</v>
      </c>
      <c r="G25" s="1" t="n">
        <f aca="false">MAX(F25,E25)</f>
        <v>8</v>
      </c>
    </row>
    <row r="26" customFormat="false" ht="15" hidden="false" customHeight="false" outlineLevel="0" collapsed="false">
      <c r="C26" s="1" t="s">
        <v>106</v>
      </c>
      <c r="D26" s="1" t="n">
        <v>5</v>
      </c>
    </row>
    <row r="27" customFormat="false" ht="15" hidden="false" customHeight="false" outlineLevel="0" collapsed="false">
      <c r="A27" s="1" t="n">
        <v>16</v>
      </c>
      <c r="B27" s="2" t="s">
        <v>47</v>
      </c>
      <c r="C27" s="1" t="s">
        <v>107</v>
      </c>
      <c r="D27" s="1" t="n">
        <v>8</v>
      </c>
      <c r="G27" s="1" t="n">
        <v>8</v>
      </c>
    </row>
    <row r="28" customFormat="false" ht="15" hidden="false" customHeight="false" outlineLevel="0" collapsed="false">
      <c r="A28" s="1" t="n">
        <v>17</v>
      </c>
      <c r="B28" s="1" t="s">
        <v>49</v>
      </c>
      <c r="C28" s="1" t="s">
        <v>108</v>
      </c>
      <c r="D28" s="1" t="n">
        <v>10</v>
      </c>
      <c r="G28" s="1" t="n">
        <v>10</v>
      </c>
    </row>
    <row r="29" customFormat="false" ht="15" hidden="false" customHeight="false" outlineLevel="0" collapsed="false">
      <c r="A29" s="1" t="n">
        <v>18</v>
      </c>
      <c r="B29" s="2" t="s">
        <v>51</v>
      </c>
      <c r="C29" s="1" t="s">
        <v>109</v>
      </c>
      <c r="D29" s="1" t="n">
        <v>10</v>
      </c>
      <c r="G29" s="1" t="n">
        <v>10</v>
      </c>
    </row>
    <row r="30" customFormat="false" ht="15" hidden="false" customHeight="false" outlineLevel="0" collapsed="false">
      <c r="A30" s="1" t="n">
        <v>19</v>
      </c>
      <c r="B30" s="2" t="s">
        <v>53</v>
      </c>
      <c r="C30" s="1" t="s">
        <v>110</v>
      </c>
      <c r="D30" s="1" t="n">
        <v>3</v>
      </c>
      <c r="G30" s="1" t="n">
        <v>3</v>
      </c>
    </row>
    <row r="31" customFormat="false" ht="15" hidden="false" customHeight="false" outlineLevel="0" collapsed="false">
      <c r="A31" s="1" t="n">
        <v>20</v>
      </c>
      <c r="B31" s="2" t="s">
        <v>55</v>
      </c>
      <c r="D31" s="1" t="n">
        <v>1</v>
      </c>
      <c r="G31" s="1" t="n">
        <v>1</v>
      </c>
    </row>
    <row r="32" customFormat="false" ht="15" hidden="false" customHeight="false" outlineLevel="0" collapsed="false">
      <c r="A32" s="1" t="n">
        <v>21</v>
      </c>
      <c r="B32" s="2" t="s">
        <v>56</v>
      </c>
      <c r="C32" s="1" t="s">
        <v>56</v>
      </c>
      <c r="D32" s="1" t="n">
        <v>10</v>
      </c>
      <c r="G32" s="1" t="n">
        <v>10</v>
      </c>
    </row>
    <row r="33" customFormat="false" ht="15" hidden="false" customHeight="false" outlineLevel="0" collapsed="false">
      <c r="A33" s="1" t="n">
        <v>22</v>
      </c>
      <c r="B33" s="2" t="s">
        <v>58</v>
      </c>
      <c r="C33" s="1" t="s">
        <v>111</v>
      </c>
      <c r="D33" s="1" t="n">
        <v>9</v>
      </c>
      <c r="G33" s="1" t="n">
        <v>9</v>
      </c>
    </row>
    <row r="34" customFormat="false" ht="15" hidden="false" customHeight="false" outlineLevel="0" collapsed="false">
      <c r="A34" s="1" t="n">
        <v>23</v>
      </c>
      <c r="B34" s="2" t="s">
        <v>60</v>
      </c>
      <c r="C34" s="1" t="s">
        <v>112</v>
      </c>
      <c r="D34" s="1" t="n">
        <v>7</v>
      </c>
      <c r="G34" s="1" t="n">
        <v>7</v>
      </c>
    </row>
    <row r="35" customFormat="false" ht="15" hidden="false" customHeight="false" outlineLevel="0" collapsed="false">
      <c r="A35" s="1" t="n">
        <v>27</v>
      </c>
      <c r="B35" s="1" t="s">
        <v>62</v>
      </c>
      <c r="C35" s="1" t="s">
        <v>113</v>
      </c>
      <c r="D35" s="1" t="n">
        <v>8</v>
      </c>
      <c r="E35" s="1" t="n">
        <f aca="false">ROUND(AVERAGE(D35:D37),0)</f>
        <v>6</v>
      </c>
      <c r="F35" s="1" t="n">
        <v>3</v>
      </c>
      <c r="G35" s="1" t="n">
        <f aca="false">MAX(F35,E35)</f>
        <v>6</v>
      </c>
    </row>
    <row r="36" customFormat="false" ht="15" hidden="false" customHeight="false" outlineLevel="0" collapsed="false">
      <c r="C36" s="1" t="s">
        <v>113</v>
      </c>
      <c r="D36" s="1" t="n">
        <v>8</v>
      </c>
    </row>
    <row r="37" customFormat="false" ht="15" hidden="false" customHeight="false" outlineLevel="0" collapsed="false">
      <c r="C37" s="1" t="s">
        <v>113</v>
      </c>
      <c r="D37" s="1" t="n">
        <v>3</v>
      </c>
    </row>
    <row r="38" customFormat="false" ht="15" hidden="false" customHeight="false" outlineLevel="0" collapsed="false">
      <c r="F38" s="1" t="s">
        <v>8</v>
      </c>
      <c r="G38" s="1" t="n">
        <f aca="false">COUNTIF(G2:G36,"&gt;0")</f>
        <v>27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0" colorId="64" zoomScale="120" zoomScaleNormal="120" zoomScalePageLayoutView="100" workbookViewId="0">
      <selection pane="topLeft" activeCell="A25" activeCellId="0" sqref="A25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4.25"/>
    <col collapsed="false" customWidth="true" hidden="false" outlineLevel="0" max="2" min="2" style="1" width="21.86"/>
    <col collapsed="false" customWidth="true" hidden="false" outlineLevel="0" max="3" min="3" style="1" width="20.07"/>
    <col collapsed="false" customWidth="true" hidden="false" outlineLevel="0" max="4" min="4" style="1" width="16.37"/>
  </cols>
  <sheetData>
    <row r="1" customFormat="false" ht="15" hidden="false" customHeight="false" outlineLevel="0" collapsed="false">
      <c r="A1" s="1" t="s">
        <v>0</v>
      </c>
      <c r="B1" s="1" t="s">
        <v>65</v>
      </c>
      <c r="C1" s="1" t="s">
        <v>2</v>
      </c>
      <c r="D1" s="1" t="s">
        <v>85</v>
      </c>
      <c r="E1" s="1" t="s">
        <v>86</v>
      </c>
      <c r="F1" s="1" t="s">
        <v>87</v>
      </c>
      <c r="G1" s="1" t="s">
        <v>88</v>
      </c>
    </row>
    <row r="2" customFormat="false" ht="15" hidden="false" customHeight="false" outlineLevel="0" collapsed="false">
      <c r="A2" s="1" t="n">
        <v>1</v>
      </c>
      <c r="B2" s="2" t="s">
        <v>11</v>
      </c>
      <c r="C2" s="1" t="s">
        <v>89</v>
      </c>
      <c r="D2" s="1" t="n">
        <v>9</v>
      </c>
      <c r="G2" s="1" t="n">
        <v>9</v>
      </c>
    </row>
    <row r="3" customFormat="false" ht="15" hidden="false" customHeight="false" outlineLevel="0" collapsed="false">
      <c r="A3" s="1" t="n">
        <v>2</v>
      </c>
      <c r="B3" s="2" t="s">
        <v>15</v>
      </c>
      <c r="C3" s="1" t="s">
        <v>90</v>
      </c>
      <c r="D3" s="1" t="n">
        <v>10</v>
      </c>
      <c r="E3" s="1" t="n">
        <f aca="false">ROUND(AVERAGE(D3:D4),0)</f>
        <v>10</v>
      </c>
      <c r="F3" s="1" t="n">
        <v>0</v>
      </c>
      <c r="G3" s="1" t="n">
        <f aca="false">MAX(F3,E3)</f>
        <v>10</v>
      </c>
    </row>
    <row r="4" customFormat="false" ht="15" hidden="false" customHeight="false" outlineLevel="0" collapsed="false">
      <c r="C4" s="1" t="s">
        <v>90</v>
      </c>
      <c r="D4" s="1" t="n">
        <v>10</v>
      </c>
    </row>
    <row r="5" customFormat="false" ht="15" hidden="false" customHeight="false" outlineLevel="0" collapsed="false">
      <c r="A5" s="1" t="n">
        <v>3</v>
      </c>
      <c r="B5" s="2" t="s">
        <v>17</v>
      </c>
      <c r="C5" s="1" t="s">
        <v>114</v>
      </c>
      <c r="D5" s="1" t="n">
        <v>9</v>
      </c>
      <c r="E5" s="1" t="n">
        <f aca="false">ROUND(AVERAGE(D5:D9),0)</f>
        <v>5</v>
      </c>
      <c r="F5" s="1" t="n">
        <v>8</v>
      </c>
      <c r="G5" s="1" t="n">
        <f aca="false">MAX(F5,E5)</f>
        <v>8</v>
      </c>
    </row>
    <row r="6" customFormat="false" ht="15" hidden="false" customHeight="false" outlineLevel="0" collapsed="false">
      <c r="C6" s="1" t="s">
        <v>114</v>
      </c>
      <c r="D6" s="1" t="n">
        <v>8</v>
      </c>
    </row>
    <row r="7" customFormat="false" ht="15" hidden="false" customHeight="false" outlineLevel="0" collapsed="false">
      <c r="C7" s="1" t="s">
        <v>114</v>
      </c>
      <c r="D7" s="1" t="n">
        <v>8</v>
      </c>
    </row>
    <row r="8" customFormat="false" ht="15" hidden="false" customHeight="false" outlineLevel="0" collapsed="false">
      <c r="C8" s="1" t="s">
        <v>114</v>
      </c>
      <c r="D8" s="1" t="n">
        <v>1</v>
      </c>
    </row>
    <row r="9" customFormat="false" ht="15" hidden="false" customHeight="false" outlineLevel="0" collapsed="false">
      <c r="C9" s="1" t="s">
        <v>114</v>
      </c>
      <c r="D9" s="1" t="n">
        <v>1</v>
      </c>
    </row>
    <row r="10" customFormat="false" ht="15" hidden="false" customHeight="false" outlineLevel="0" collapsed="false">
      <c r="A10" s="1" t="n">
        <v>4</v>
      </c>
      <c r="B10" s="2" t="s">
        <v>21</v>
      </c>
      <c r="D10" s="1" t="n">
        <v>1</v>
      </c>
      <c r="G10" s="1" t="n">
        <v>1</v>
      </c>
    </row>
    <row r="11" customFormat="false" ht="15" hidden="false" customHeight="false" outlineLevel="0" collapsed="false">
      <c r="A11" s="1" t="n">
        <v>5</v>
      </c>
      <c r="B11" s="2" t="s">
        <v>23</v>
      </c>
      <c r="D11" s="1" t="n">
        <v>1</v>
      </c>
      <c r="G11" s="1" t="n">
        <v>1</v>
      </c>
    </row>
    <row r="12" customFormat="false" ht="15" hidden="false" customHeight="false" outlineLevel="0" collapsed="false">
      <c r="A12" s="1" t="n">
        <v>6</v>
      </c>
      <c r="B12" s="2" t="s">
        <v>25</v>
      </c>
      <c r="C12" s="1" t="s">
        <v>93</v>
      </c>
      <c r="D12" s="1" t="n">
        <v>10</v>
      </c>
      <c r="G12" s="1" t="n">
        <v>10</v>
      </c>
    </row>
    <row r="13" customFormat="false" ht="15" hidden="false" customHeight="false" outlineLevel="0" collapsed="false">
      <c r="A13" s="1" t="n">
        <v>7</v>
      </c>
      <c r="B13" s="2" t="s">
        <v>27</v>
      </c>
      <c r="C13" s="1" t="s">
        <v>94</v>
      </c>
      <c r="D13" s="1" t="n">
        <v>2</v>
      </c>
      <c r="E13" s="1" t="n">
        <f aca="false">ROUND(AVERAGE(D13:D14),0)</f>
        <v>2</v>
      </c>
      <c r="F13" s="1" t="n">
        <v>1</v>
      </c>
      <c r="G13" s="1" t="n">
        <f aca="false">MAX(F13,E13)</f>
        <v>2</v>
      </c>
    </row>
    <row r="14" customFormat="false" ht="15" hidden="false" customHeight="false" outlineLevel="0" collapsed="false">
      <c r="C14" s="1" t="s">
        <v>94</v>
      </c>
      <c r="D14" s="1" t="n">
        <v>1</v>
      </c>
    </row>
    <row r="15" customFormat="false" ht="15" hidden="false" customHeight="false" outlineLevel="0" collapsed="false">
      <c r="A15" s="1" t="n">
        <v>25</v>
      </c>
      <c r="B15" s="2" t="s">
        <v>28</v>
      </c>
      <c r="D15" s="1" t="n">
        <v>1</v>
      </c>
      <c r="G15" s="1" t="n">
        <v>1</v>
      </c>
    </row>
    <row r="16" customFormat="false" ht="15" hidden="false" customHeight="false" outlineLevel="0" collapsed="false">
      <c r="A16" s="1" t="n">
        <v>8</v>
      </c>
      <c r="B16" s="2" t="s">
        <v>30</v>
      </c>
      <c r="C16" s="1" t="s">
        <v>96</v>
      </c>
      <c r="D16" s="1" t="n">
        <v>8</v>
      </c>
      <c r="G16" s="1" t="n">
        <v>8</v>
      </c>
    </row>
    <row r="17" customFormat="false" ht="15" hidden="false" customHeight="false" outlineLevel="0" collapsed="false">
      <c r="A17" s="1" t="n">
        <v>9</v>
      </c>
      <c r="B17" s="2" t="s">
        <v>32</v>
      </c>
      <c r="C17" s="1" t="s">
        <v>97</v>
      </c>
      <c r="D17" s="1" t="n">
        <v>1</v>
      </c>
      <c r="G17" s="1" t="n">
        <v>1</v>
      </c>
    </row>
    <row r="18" customFormat="false" ht="15" hidden="false" customHeight="false" outlineLevel="0" collapsed="false">
      <c r="A18" s="1" t="n">
        <v>10</v>
      </c>
      <c r="B18" s="2" t="s">
        <v>34</v>
      </c>
      <c r="C18" s="1" t="s">
        <v>115</v>
      </c>
      <c r="D18" s="1" t="n">
        <v>3</v>
      </c>
      <c r="G18" s="1" t="n">
        <v>3</v>
      </c>
    </row>
    <row r="19" customFormat="false" ht="15" hidden="false" customHeight="false" outlineLevel="0" collapsed="false">
      <c r="A19" s="1" t="n">
        <v>11</v>
      </c>
      <c r="B19" s="2" t="s">
        <v>36</v>
      </c>
      <c r="D19" s="1" t="n">
        <v>1</v>
      </c>
      <c r="G19" s="1" t="n">
        <v>1</v>
      </c>
    </row>
    <row r="20" customFormat="false" ht="15" hidden="false" customHeight="false" outlineLevel="0" collapsed="false">
      <c r="A20" s="1" t="n">
        <v>12</v>
      </c>
      <c r="B20" s="2" t="s">
        <v>37</v>
      </c>
      <c r="D20" s="1" t="n">
        <v>1</v>
      </c>
      <c r="G20" s="1" t="n">
        <v>1</v>
      </c>
    </row>
    <row r="21" customFormat="false" ht="15" hidden="false" customHeight="false" outlineLevel="0" collapsed="false">
      <c r="A21" s="1" t="n">
        <v>13</v>
      </c>
      <c r="B21" s="2" t="s">
        <v>80</v>
      </c>
      <c r="C21" s="1" t="s">
        <v>100</v>
      </c>
      <c r="D21" s="1" t="n">
        <v>10</v>
      </c>
      <c r="E21" s="1" t="n">
        <f aca="false">ROUND(AVERAGE(D21:D23),0)</f>
        <v>6</v>
      </c>
      <c r="F21" s="1" t="n">
        <v>7</v>
      </c>
      <c r="G21" s="1" t="n">
        <f aca="false">MAX(F21,E21)</f>
        <v>7</v>
      </c>
    </row>
    <row r="22" customFormat="false" ht="15" hidden="false" customHeight="false" outlineLevel="0" collapsed="false">
      <c r="C22" s="1" t="s">
        <v>100</v>
      </c>
      <c r="D22" s="1" t="n">
        <v>7</v>
      </c>
    </row>
    <row r="23" customFormat="false" ht="15" hidden="false" customHeight="false" outlineLevel="0" collapsed="false">
      <c r="C23" s="1" t="s">
        <v>100</v>
      </c>
      <c r="D23" s="1" t="n">
        <v>2</v>
      </c>
    </row>
    <row r="24" customFormat="false" ht="15" hidden="false" customHeight="false" outlineLevel="0" collapsed="false">
      <c r="A24" s="1" t="n">
        <v>26</v>
      </c>
      <c r="B24" s="2" t="s">
        <v>40</v>
      </c>
      <c r="D24" s="1" t="n">
        <v>1</v>
      </c>
      <c r="G24" s="1" t="n">
        <v>1</v>
      </c>
    </row>
    <row r="25" customFormat="false" ht="15" hidden="false" customHeight="false" outlineLevel="0" collapsed="false">
      <c r="A25" s="1" t="n">
        <v>14</v>
      </c>
      <c r="B25" s="2" t="s">
        <v>116</v>
      </c>
      <c r="D25" s="1" t="n">
        <v>1</v>
      </c>
      <c r="G25" s="1" t="n">
        <v>1</v>
      </c>
    </row>
    <row r="26" customFormat="false" ht="15" hidden="false" customHeight="false" outlineLevel="0" collapsed="false">
      <c r="A26" s="1" t="n">
        <v>24</v>
      </c>
      <c r="B26" s="2" t="s">
        <v>43</v>
      </c>
      <c r="D26" s="1" t="n">
        <v>1</v>
      </c>
      <c r="G26" s="1" t="n">
        <v>1</v>
      </c>
    </row>
    <row r="27" customFormat="false" ht="15" hidden="false" customHeight="false" outlineLevel="0" collapsed="false">
      <c r="A27" s="1" t="n">
        <v>15</v>
      </c>
      <c r="B27" s="2" t="s">
        <v>45</v>
      </c>
      <c r="D27" s="1" t="n">
        <v>1</v>
      </c>
      <c r="G27" s="1" t="n">
        <v>1</v>
      </c>
    </row>
    <row r="28" customFormat="false" ht="15" hidden="false" customHeight="false" outlineLevel="0" collapsed="false">
      <c r="A28" s="1" t="n">
        <v>16</v>
      </c>
      <c r="B28" s="2" t="s">
        <v>47</v>
      </c>
      <c r="C28" s="1" t="s">
        <v>107</v>
      </c>
      <c r="D28" s="1" t="n">
        <v>3</v>
      </c>
      <c r="G28" s="1" t="n">
        <v>3</v>
      </c>
    </row>
    <row r="29" customFormat="false" ht="15" hidden="false" customHeight="false" outlineLevel="0" collapsed="false">
      <c r="A29" s="1" t="n">
        <v>17</v>
      </c>
      <c r="B29" s="1" t="s">
        <v>49</v>
      </c>
      <c r="C29" s="1" t="s">
        <v>108</v>
      </c>
      <c r="D29" s="1" t="n">
        <v>9</v>
      </c>
      <c r="G29" s="1" t="n">
        <v>9</v>
      </c>
    </row>
    <row r="30" customFormat="false" ht="15" hidden="false" customHeight="false" outlineLevel="0" collapsed="false">
      <c r="A30" s="1" t="n">
        <v>18</v>
      </c>
      <c r="B30" s="2" t="s">
        <v>51</v>
      </c>
      <c r="C30" s="1" t="s">
        <v>109</v>
      </c>
      <c r="D30" s="1" t="n">
        <v>6</v>
      </c>
      <c r="G30" s="1" t="n">
        <v>6</v>
      </c>
    </row>
    <row r="31" customFormat="false" ht="15" hidden="false" customHeight="false" outlineLevel="0" collapsed="false">
      <c r="A31" s="1" t="n">
        <v>19</v>
      </c>
      <c r="B31" s="2" t="s">
        <v>53</v>
      </c>
      <c r="D31" s="1" t="n">
        <v>1</v>
      </c>
      <c r="G31" s="1" t="n">
        <v>1</v>
      </c>
    </row>
    <row r="32" customFormat="false" ht="15" hidden="false" customHeight="false" outlineLevel="0" collapsed="false">
      <c r="A32" s="1" t="n">
        <v>20</v>
      </c>
      <c r="B32" s="2" t="s">
        <v>55</v>
      </c>
      <c r="D32" s="1" t="n">
        <v>1</v>
      </c>
      <c r="G32" s="1" t="n">
        <v>1</v>
      </c>
    </row>
    <row r="33" customFormat="false" ht="15" hidden="false" customHeight="false" outlineLevel="0" collapsed="false">
      <c r="A33" s="1" t="n">
        <v>21</v>
      </c>
      <c r="B33" s="2" t="s">
        <v>56</v>
      </c>
      <c r="C33" s="1" t="s">
        <v>56</v>
      </c>
      <c r="D33" s="1" t="n">
        <v>10</v>
      </c>
      <c r="G33" s="1" t="n">
        <v>10</v>
      </c>
    </row>
    <row r="34" customFormat="false" ht="15" hidden="false" customHeight="false" outlineLevel="0" collapsed="false">
      <c r="A34" s="1" t="n">
        <v>22</v>
      </c>
      <c r="B34" s="2" t="s">
        <v>58</v>
      </c>
      <c r="C34" s="1" t="s">
        <v>111</v>
      </c>
      <c r="D34" s="1" t="n">
        <v>9</v>
      </c>
      <c r="E34" s="1" t="n">
        <f aca="false">ROUND(AVERAGE(D34:D35),0)</f>
        <v>6</v>
      </c>
      <c r="F34" s="1" t="n">
        <v>3</v>
      </c>
      <c r="G34" s="1" t="n">
        <f aca="false">MAX(F34,E34)</f>
        <v>6</v>
      </c>
    </row>
    <row r="35" customFormat="false" ht="15" hidden="false" customHeight="false" outlineLevel="0" collapsed="false">
      <c r="C35" s="1" t="s">
        <v>111</v>
      </c>
      <c r="D35" s="1" t="n">
        <v>3</v>
      </c>
    </row>
    <row r="36" customFormat="false" ht="15" hidden="false" customHeight="false" outlineLevel="0" collapsed="false">
      <c r="A36" s="1" t="n">
        <v>23</v>
      </c>
      <c r="B36" s="2" t="s">
        <v>60</v>
      </c>
      <c r="C36" s="1" t="s">
        <v>112</v>
      </c>
      <c r="D36" s="1" t="n">
        <v>3</v>
      </c>
      <c r="E36" s="1" t="n">
        <f aca="false">ROUND(AVERAGE(D36:D37),0)</f>
        <v>2</v>
      </c>
      <c r="F36" s="1" t="n">
        <v>3</v>
      </c>
      <c r="G36" s="1" t="n">
        <f aca="false">MAX(F36,E36)</f>
        <v>3</v>
      </c>
    </row>
    <row r="37" customFormat="false" ht="15" hidden="false" customHeight="false" outlineLevel="0" collapsed="false">
      <c r="C37" s="1" t="s">
        <v>112</v>
      </c>
      <c r="D37" s="1" t="n">
        <v>1</v>
      </c>
    </row>
    <row r="38" customFormat="false" ht="15" hidden="false" customHeight="false" outlineLevel="0" collapsed="false">
      <c r="A38" s="1" t="n">
        <v>27</v>
      </c>
      <c r="B38" s="1" t="s">
        <v>62</v>
      </c>
      <c r="D38" s="1" t="n">
        <v>1</v>
      </c>
      <c r="G38" s="1" t="n">
        <v>1</v>
      </c>
    </row>
    <row r="39" customFormat="false" ht="15" hidden="false" customHeight="false" outlineLevel="0" collapsed="false">
      <c r="F39" s="1" t="s">
        <v>8</v>
      </c>
      <c r="G39" s="1" t="n">
        <f aca="false">COUNTIF(G2:G38,"&gt;0")</f>
        <v>27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G56" activeCellId="0" sqref="G56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4.25"/>
    <col collapsed="false" customWidth="true" hidden="false" outlineLevel="0" max="2" min="2" style="1" width="21.86"/>
    <col collapsed="false" customWidth="true" hidden="false" outlineLevel="0" max="3" min="3" style="1" width="20.07"/>
  </cols>
  <sheetData>
    <row r="1" customFormat="false" ht="15" hidden="false" customHeight="false" outlineLevel="0" collapsed="false">
      <c r="A1" s="1" t="s">
        <v>0</v>
      </c>
      <c r="B1" s="1" t="s">
        <v>65</v>
      </c>
      <c r="C1" s="1" t="s">
        <v>2</v>
      </c>
      <c r="D1" s="1" t="s">
        <v>85</v>
      </c>
      <c r="E1" s="1" t="s">
        <v>86</v>
      </c>
      <c r="F1" s="1" t="s">
        <v>87</v>
      </c>
      <c r="G1" s="1" t="s">
        <v>88</v>
      </c>
    </row>
    <row r="2" customFormat="false" ht="15" hidden="false" customHeight="false" outlineLevel="0" collapsed="false">
      <c r="A2" s="1" t="n">
        <v>1</v>
      </c>
      <c r="B2" s="2" t="s">
        <v>11</v>
      </c>
      <c r="C2" s="1" t="s">
        <v>89</v>
      </c>
      <c r="D2" s="1" t="n">
        <v>7</v>
      </c>
      <c r="G2" s="1" t="n">
        <v>7</v>
      </c>
    </row>
    <row r="3" customFormat="false" ht="15" hidden="false" customHeight="false" outlineLevel="0" collapsed="false">
      <c r="A3" s="1" t="n">
        <v>2</v>
      </c>
      <c r="B3" s="2" t="s">
        <v>15</v>
      </c>
      <c r="C3" s="1" t="s">
        <v>90</v>
      </c>
      <c r="D3" s="1" t="n">
        <v>9</v>
      </c>
      <c r="G3" s="1" t="n">
        <v>9</v>
      </c>
    </row>
    <row r="4" customFormat="false" ht="15" hidden="false" customHeight="false" outlineLevel="0" collapsed="false">
      <c r="A4" s="1" t="n">
        <v>3</v>
      </c>
      <c r="B4" s="2" t="s">
        <v>17</v>
      </c>
      <c r="C4" s="1" t="s">
        <v>114</v>
      </c>
      <c r="D4" s="1" t="n">
        <v>3</v>
      </c>
      <c r="G4" s="1" t="n">
        <v>3</v>
      </c>
    </row>
    <row r="5" customFormat="false" ht="15" hidden="false" customHeight="false" outlineLevel="0" collapsed="false">
      <c r="A5" s="1" t="n">
        <v>4</v>
      </c>
      <c r="B5" s="2" t="s">
        <v>21</v>
      </c>
      <c r="C5" s="1" t="s">
        <v>91</v>
      </c>
      <c r="D5" s="1" t="n">
        <v>4</v>
      </c>
      <c r="G5" s="1" t="n">
        <v>4</v>
      </c>
    </row>
    <row r="6" customFormat="false" ht="15" hidden="false" customHeight="false" outlineLevel="0" collapsed="false">
      <c r="A6" s="1" t="n">
        <v>5</v>
      </c>
      <c r="B6" s="2" t="s">
        <v>23</v>
      </c>
      <c r="C6" s="1" t="s">
        <v>92</v>
      </c>
      <c r="D6" s="1" t="n">
        <v>9</v>
      </c>
      <c r="E6" s="1" t="n">
        <f aca="false">ROUND(AVERAGE(D6:D11),0)</f>
        <v>7</v>
      </c>
      <c r="F6" s="1" t="n">
        <v>8</v>
      </c>
      <c r="G6" s="1" t="n">
        <f aca="false">MAX(F6,E6)</f>
        <v>8</v>
      </c>
    </row>
    <row r="7" customFormat="false" ht="15" hidden="false" customHeight="false" outlineLevel="0" collapsed="false">
      <c r="C7" s="1" t="s">
        <v>92</v>
      </c>
      <c r="D7" s="1" t="n">
        <v>8</v>
      </c>
    </row>
    <row r="8" customFormat="false" ht="15" hidden="false" customHeight="false" outlineLevel="0" collapsed="false">
      <c r="C8" s="1" t="s">
        <v>92</v>
      </c>
      <c r="D8" s="1" t="n">
        <v>8</v>
      </c>
    </row>
    <row r="9" customFormat="false" ht="15" hidden="false" customHeight="false" outlineLevel="0" collapsed="false">
      <c r="C9" s="1" t="s">
        <v>92</v>
      </c>
      <c r="D9" s="1" t="n">
        <v>7</v>
      </c>
    </row>
    <row r="10" customFormat="false" ht="15" hidden="false" customHeight="false" outlineLevel="0" collapsed="false">
      <c r="C10" s="1" t="s">
        <v>92</v>
      </c>
      <c r="D10" s="1" t="n">
        <v>6</v>
      </c>
    </row>
    <row r="11" customFormat="false" ht="15" hidden="false" customHeight="false" outlineLevel="0" collapsed="false">
      <c r="C11" s="1" t="s">
        <v>92</v>
      </c>
      <c r="D11" s="1" t="n">
        <v>3</v>
      </c>
    </row>
    <row r="12" customFormat="false" ht="15" hidden="false" customHeight="false" outlineLevel="0" collapsed="false">
      <c r="A12" s="1" t="n">
        <v>6</v>
      </c>
      <c r="B12" s="2" t="s">
        <v>25</v>
      </c>
      <c r="C12" s="1" t="s">
        <v>93</v>
      </c>
      <c r="D12" s="1" t="n">
        <v>7</v>
      </c>
      <c r="G12" s="1" t="n">
        <v>7</v>
      </c>
    </row>
    <row r="13" customFormat="false" ht="15" hidden="false" customHeight="false" outlineLevel="0" collapsed="false">
      <c r="A13" s="1" t="n">
        <v>7</v>
      </c>
      <c r="B13" s="2" t="s">
        <v>27</v>
      </c>
      <c r="C13" s="1" t="s">
        <v>94</v>
      </c>
      <c r="D13" s="1" t="n">
        <v>7</v>
      </c>
      <c r="G13" s="1" t="n">
        <v>7</v>
      </c>
    </row>
    <row r="14" customFormat="false" ht="15" hidden="false" customHeight="false" outlineLevel="0" collapsed="false">
      <c r="A14" s="1" t="n">
        <v>25</v>
      </c>
      <c r="B14" s="2" t="s">
        <v>28</v>
      </c>
      <c r="C14" s="1" t="s">
        <v>95</v>
      </c>
      <c r="D14" s="1" t="n">
        <v>7</v>
      </c>
      <c r="G14" s="1" t="n">
        <v>7</v>
      </c>
    </row>
    <row r="15" customFormat="false" ht="15" hidden="false" customHeight="false" outlineLevel="0" collapsed="false">
      <c r="A15" s="1" t="n">
        <v>8</v>
      </c>
      <c r="B15" s="2" t="s">
        <v>30</v>
      </c>
      <c r="C15" s="1" t="s">
        <v>96</v>
      </c>
      <c r="D15" s="1" t="n">
        <v>10</v>
      </c>
      <c r="E15" s="1" t="n">
        <f aca="false">ROUND(AVERAGE(D15:D23),0)</f>
        <v>7</v>
      </c>
      <c r="F15" s="1" t="n">
        <v>8</v>
      </c>
      <c r="G15" s="1" t="n">
        <f aca="false">MAX(F15,E15)</f>
        <v>8</v>
      </c>
    </row>
    <row r="16" customFormat="false" ht="15" hidden="false" customHeight="false" outlineLevel="0" collapsed="false">
      <c r="C16" s="1" t="s">
        <v>96</v>
      </c>
      <c r="D16" s="1" t="n">
        <v>10</v>
      </c>
    </row>
    <row r="17" customFormat="false" ht="15" hidden="false" customHeight="false" outlineLevel="0" collapsed="false">
      <c r="C17" s="1" t="s">
        <v>96</v>
      </c>
      <c r="D17" s="1" t="n">
        <v>10</v>
      </c>
    </row>
    <row r="18" customFormat="false" ht="15" hidden="false" customHeight="false" outlineLevel="0" collapsed="false">
      <c r="C18" s="1" t="s">
        <v>96</v>
      </c>
      <c r="D18" s="1" t="n">
        <v>8</v>
      </c>
    </row>
    <row r="19" customFormat="false" ht="15" hidden="false" customHeight="false" outlineLevel="0" collapsed="false">
      <c r="C19" s="1" t="s">
        <v>96</v>
      </c>
      <c r="D19" s="1" t="n">
        <v>7</v>
      </c>
    </row>
    <row r="20" customFormat="false" ht="15" hidden="false" customHeight="false" outlineLevel="0" collapsed="false">
      <c r="C20" s="1" t="s">
        <v>96</v>
      </c>
      <c r="D20" s="1" t="n">
        <v>6</v>
      </c>
    </row>
    <row r="21" customFormat="false" ht="15" hidden="false" customHeight="false" outlineLevel="0" collapsed="false">
      <c r="C21" s="1" t="s">
        <v>96</v>
      </c>
      <c r="D21" s="1" t="n">
        <v>5</v>
      </c>
    </row>
    <row r="22" customFormat="false" ht="15" hidden="false" customHeight="false" outlineLevel="0" collapsed="false">
      <c r="C22" s="1" t="s">
        <v>96</v>
      </c>
      <c r="D22" s="1" t="n">
        <v>5</v>
      </c>
    </row>
    <row r="23" customFormat="false" ht="15" hidden="false" customHeight="false" outlineLevel="0" collapsed="false">
      <c r="C23" s="1" t="s">
        <v>96</v>
      </c>
      <c r="D23" s="1" t="n">
        <v>3</v>
      </c>
    </row>
    <row r="24" customFormat="false" ht="15" hidden="false" customHeight="false" outlineLevel="0" collapsed="false">
      <c r="A24" s="1" t="n">
        <v>9</v>
      </c>
      <c r="B24" s="2" t="s">
        <v>32</v>
      </c>
      <c r="C24" s="1" t="s">
        <v>97</v>
      </c>
      <c r="D24" s="1" t="n">
        <v>4</v>
      </c>
      <c r="G24" s="1" t="n">
        <v>4</v>
      </c>
    </row>
    <row r="25" customFormat="false" ht="15" hidden="false" customHeight="false" outlineLevel="0" collapsed="false">
      <c r="A25" s="1" t="n">
        <v>10</v>
      </c>
      <c r="B25" s="2" t="s">
        <v>34</v>
      </c>
      <c r="C25" s="1" t="s">
        <v>115</v>
      </c>
      <c r="D25" s="1" t="n">
        <v>8</v>
      </c>
      <c r="G25" s="1" t="n">
        <v>8</v>
      </c>
    </row>
    <row r="26" customFormat="false" ht="15" hidden="false" customHeight="false" outlineLevel="0" collapsed="false">
      <c r="A26" s="1" t="n">
        <v>11</v>
      </c>
      <c r="B26" s="2" t="s">
        <v>36</v>
      </c>
      <c r="C26" s="1" t="s">
        <v>98</v>
      </c>
      <c r="D26" s="1" t="n">
        <v>10</v>
      </c>
      <c r="E26" s="1" t="n">
        <f aca="false">ROUND(AVERAGE(D26:D29),0)</f>
        <v>9</v>
      </c>
      <c r="F26" s="1" t="n">
        <v>9</v>
      </c>
      <c r="G26" s="1" t="n">
        <f aca="false">MAX(F26,E26)</f>
        <v>9</v>
      </c>
    </row>
    <row r="27" customFormat="false" ht="15" hidden="false" customHeight="false" outlineLevel="0" collapsed="false">
      <c r="C27" s="1" t="s">
        <v>98</v>
      </c>
      <c r="D27" s="1" t="n">
        <v>9</v>
      </c>
    </row>
    <row r="28" customFormat="false" ht="15" hidden="false" customHeight="false" outlineLevel="0" collapsed="false">
      <c r="C28" s="1" t="s">
        <v>98</v>
      </c>
      <c r="D28" s="1" t="n">
        <v>9</v>
      </c>
    </row>
    <row r="29" customFormat="false" ht="15" hidden="false" customHeight="false" outlineLevel="0" collapsed="false">
      <c r="C29" s="1" t="s">
        <v>98</v>
      </c>
      <c r="D29" s="1" t="n">
        <v>7</v>
      </c>
    </row>
    <row r="30" customFormat="false" ht="15" hidden="false" customHeight="false" outlineLevel="0" collapsed="false">
      <c r="A30" s="1" t="n">
        <v>12</v>
      </c>
      <c r="B30" s="2" t="s">
        <v>37</v>
      </c>
      <c r="C30" s="1" t="s">
        <v>99</v>
      </c>
      <c r="D30" s="1" t="n">
        <v>9</v>
      </c>
      <c r="G30" s="1" t="n">
        <v>9</v>
      </c>
    </row>
    <row r="31" customFormat="false" ht="15" hidden="false" customHeight="false" outlineLevel="0" collapsed="false">
      <c r="A31" s="1" t="n">
        <v>13</v>
      </c>
      <c r="B31" s="2" t="s">
        <v>80</v>
      </c>
      <c r="C31" s="1" t="s">
        <v>100</v>
      </c>
      <c r="D31" s="1" t="n">
        <v>8</v>
      </c>
      <c r="G31" s="1" t="n">
        <v>8</v>
      </c>
    </row>
    <row r="32" customFormat="false" ht="15" hidden="false" customHeight="false" outlineLevel="0" collapsed="false">
      <c r="A32" s="1" t="n">
        <v>26</v>
      </c>
      <c r="B32" s="2" t="s">
        <v>40</v>
      </c>
      <c r="C32" s="1" t="s">
        <v>102</v>
      </c>
      <c r="D32" s="1" t="n">
        <v>8</v>
      </c>
      <c r="G32" s="1" t="n">
        <v>8</v>
      </c>
    </row>
    <row r="33" customFormat="false" ht="15" hidden="false" customHeight="false" outlineLevel="0" collapsed="false">
      <c r="A33" s="1" t="n">
        <v>14</v>
      </c>
      <c r="B33" s="2" t="s">
        <v>82</v>
      </c>
      <c r="C33" s="1" t="s">
        <v>104</v>
      </c>
      <c r="D33" s="1" t="n">
        <v>6</v>
      </c>
      <c r="G33" s="1" t="n">
        <v>6</v>
      </c>
    </row>
    <row r="34" customFormat="false" ht="15" hidden="false" customHeight="false" outlineLevel="0" collapsed="false">
      <c r="A34" s="1" t="n">
        <v>24</v>
      </c>
      <c r="B34" s="2" t="s">
        <v>43</v>
      </c>
      <c r="C34" s="1" t="s">
        <v>105</v>
      </c>
      <c r="D34" s="1" t="n">
        <v>9</v>
      </c>
      <c r="E34" s="1" t="n">
        <f aca="false">ROUND(AVERAGE(D34:D35),0)</f>
        <v>8</v>
      </c>
      <c r="F34" s="1" t="n">
        <v>7</v>
      </c>
      <c r="G34" s="1" t="n">
        <f aca="false">MAX(F34,E34)</f>
        <v>8</v>
      </c>
    </row>
    <row r="35" customFormat="false" ht="15" hidden="false" customHeight="false" outlineLevel="0" collapsed="false">
      <c r="C35" s="1" t="s">
        <v>105</v>
      </c>
      <c r="D35" s="1" t="n">
        <v>7</v>
      </c>
    </row>
    <row r="36" customFormat="false" ht="15" hidden="false" customHeight="false" outlineLevel="0" collapsed="false">
      <c r="A36" s="1" t="n">
        <v>15</v>
      </c>
      <c r="B36" s="2" t="s">
        <v>45</v>
      </c>
      <c r="C36" s="1" t="s">
        <v>106</v>
      </c>
      <c r="D36" s="1" t="n">
        <v>7</v>
      </c>
      <c r="G36" s="1" t="n">
        <v>7</v>
      </c>
    </row>
    <row r="37" customFormat="false" ht="15" hidden="false" customHeight="false" outlineLevel="0" collapsed="false">
      <c r="A37" s="1" t="n">
        <v>16</v>
      </c>
      <c r="B37" s="2" t="s">
        <v>47</v>
      </c>
      <c r="C37" s="1" t="s">
        <v>107</v>
      </c>
      <c r="D37" s="1" t="n">
        <v>8</v>
      </c>
      <c r="E37" s="1" t="n">
        <f aca="false">ROUND(AVERAGE(D37:D40),0)</f>
        <v>6</v>
      </c>
      <c r="F37" s="1" t="n">
        <v>6</v>
      </c>
      <c r="G37" s="1" t="n">
        <f aca="false">MAX(F37,E37)</f>
        <v>6</v>
      </c>
    </row>
    <row r="38" customFormat="false" ht="15" hidden="false" customHeight="false" outlineLevel="0" collapsed="false">
      <c r="C38" s="1" t="s">
        <v>107</v>
      </c>
      <c r="D38" s="1" t="n">
        <v>6</v>
      </c>
    </row>
    <row r="39" customFormat="false" ht="15" hidden="false" customHeight="false" outlineLevel="0" collapsed="false">
      <c r="C39" s="1" t="s">
        <v>107</v>
      </c>
      <c r="D39" s="1" t="n">
        <v>6</v>
      </c>
    </row>
    <row r="40" customFormat="false" ht="15" hidden="false" customHeight="false" outlineLevel="0" collapsed="false">
      <c r="C40" s="1" t="s">
        <v>107</v>
      </c>
      <c r="D40" s="1" t="n">
        <v>5</v>
      </c>
    </row>
    <row r="41" customFormat="false" ht="15" hidden="false" customHeight="false" outlineLevel="0" collapsed="false">
      <c r="A41" s="1" t="n">
        <v>17</v>
      </c>
      <c r="B41" s="1" t="s">
        <v>49</v>
      </c>
      <c r="C41" s="1" t="s">
        <v>108</v>
      </c>
      <c r="D41" s="1" t="n">
        <v>9</v>
      </c>
      <c r="G41" s="1" t="n">
        <v>9</v>
      </c>
    </row>
    <row r="42" customFormat="false" ht="15" hidden="false" customHeight="false" outlineLevel="0" collapsed="false">
      <c r="A42" s="1" t="n">
        <v>18</v>
      </c>
      <c r="B42" s="2" t="s">
        <v>51</v>
      </c>
      <c r="C42" s="1" t="s">
        <v>109</v>
      </c>
      <c r="D42" s="1" t="n">
        <v>7</v>
      </c>
      <c r="G42" s="1" t="n">
        <v>7</v>
      </c>
    </row>
    <row r="43" customFormat="false" ht="15" hidden="false" customHeight="false" outlineLevel="0" collapsed="false">
      <c r="A43" s="1" t="n">
        <v>19</v>
      </c>
      <c r="B43" s="2" t="s">
        <v>53</v>
      </c>
      <c r="D43" s="1" t="n">
        <v>1</v>
      </c>
      <c r="G43" s="1" t="n">
        <v>1</v>
      </c>
    </row>
    <row r="44" customFormat="false" ht="15" hidden="false" customHeight="false" outlineLevel="0" collapsed="false">
      <c r="A44" s="1" t="n">
        <v>20</v>
      </c>
      <c r="B44" s="2" t="s">
        <v>55</v>
      </c>
      <c r="D44" s="1" t="n">
        <v>1</v>
      </c>
      <c r="G44" s="1" t="n">
        <v>1</v>
      </c>
    </row>
    <row r="45" customFormat="false" ht="15" hidden="false" customHeight="false" outlineLevel="0" collapsed="false">
      <c r="A45" s="1" t="n">
        <v>21</v>
      </c>
      <c r="B45" s="2" t="s">
        <v>56</v>
      </c>
      <c r="C45" s="1" t="s">
        <v>56</v>
      </c>
      <c r="D45" s="1" t="n">
        <v>10</v>
      </c>
      <c r="E45" s="1" t="n">
        <f aca="false">ROUND(AVERAGE(D45:D49),0)</f>
        <v>8</v>
      </c>
      <c r="F45" s="1" t="n">
        <v>8</v>
      </c>
      <c r="G45" s="1" t="n">
        <f aca="false">MAX(F45,E45)</f>
        <v>8</v>
      </c>
    </row>
    <row r="46" customFormat="false" ht="15" hidden="false" customHeight="false" outlineLevel="0" collapsed="false">
      <c r="C46" s="1" t="s">
        <v>56</v>
      </c>
      <c r="D46" s="1" t="n">
        <v>10</v>
      </c>
    </row>
    <row r="47" customFormat="false" ht="15" hidden="false" customHeight="false" outlineLevel="0" collapsed="false">
      <c r="C47" s="1" t="s">
        <v>56</v>
      </c>
      <c r="D47" s="1" t="n">
        <v>8</v>
      </c>
    </row>
    <row r="48" customFormat="false" ht="15" hidden="false" customHeight="false" outlineLevel="0" collapsed="false">
      <c r="C48" s="1" t="s">
        <v>56</v>
      </c>
      <c r="D48" s="1" t="n">
        <v>7</v>
      </c>
    </row>
    <row r="49" customFormat="false" ht="15" hidden="false" customHeight="false" outlineLevel="0" collapsed="false">
      <c r="C49" s="1" t="s">
        <v>56</v>
      </c>
      <c r="D49" s="1" t="n">
        <v>5</v>
      </c>
    </row>
    <row r="50" customFormat="false" ht="15" hidden="false" customHeight="false" outlineLevel="0" collapsed="false">
      <c r="A50" s="1" t="n">
        <v>22</v>
      </c>
      <c r="B50" s="2" t="s">
        <v>58</v>
      </c>
      <c r="C50" s="1" t="s">
        <v>111</v>
      </c>
      <c r="D50" s="1" t="n">
        <v>7</v>
      </c>
      <c r="G50" s="1" t="n">
        <v>7</v>
      </c>
    </row>
    <row r="51" customFormat="false" ht="15" hidden="false" customHeight="false" outlineLevel="0" collapsed="false">
      <c r="A51" s="1" t="n">
        <v>23</v>
      </c>
      <c r="B51" s="2" t="s">
        <v>60</v>
      </c>
      <c r="C51" s="1" t="s">
        <v>112</v>
      </c>
      <c r="D51" s="1" t="n">
        <v>9</v>
      </c>
      <c r="E51" s="1" t="n">
        <f aca="false">ROUND(AVERAGE(D51:D55),0)</f>
        <v>6</v>
      </c>
      <c r="F51" s="1" t="n">
        <v>8</v>
      </c>
      <c r="G51" s="1" t="n">
        <f aca="false">MAX(F51,E51)</f>
        <v>8</v>
      </c>
    </row>
    <row r="52" customFormat="false" ht="15" hidden="false" customHeight="false" outlineLevel="0" collapsed="false">
      <c r="C52" s="1" t="s">
        <v>112</v>
      </c>
      <c r="D52" s="1" t="n">
        <v>8</v>
      </c>
    </row>
    <row r="53" customFormat="false" ht="15" hidden="false" customHeight="false" outlineLevel="0" collapsed="false">
      <c r="C53" s="1" t="s">
        <v>112</v>
      </c>
      <c r="D53" s="1" t="n">
        <v>5</v>
      </c>
    </row>
    <row r="54" customFormat="false" ht="15" hidden="false" customHeight="false" outlineLevel="0" collapsed="false">
      <c r="C54" s="1" t="s">
        <v>112</v>
      </c>
      <c r="D54" s="1" t="n">
        <v>5</v>
      </c>
    </row>
    <row r="55" customFormat="false" ht="15" hidden="false" customHeight="false" outlineLevel="0" collapsed="false">
      <c r="C55" s="1" t="s">
        <v>112</v>
      </c>
      <c r="D55" s="1" t="n">
        <v>3</v>
      </c>
    </row>
    <row r="56" customFormat="false" ht="15" hidden="false" customHeight="false" outlineLevel="0" collapsed="false">
      <c r="A56" s="1" t="n">
        <v>27</v>
      </c>
      <c r="B56" s="1" t="s">
        <v>62</v>
      </c>
      <c r="C56" s="1" t="s">
        <v>113</v>
      </c>
      <c r="D56" s="1" t="n">
        <v>9</v>
      </c>
      <c r="G56" s="1" t="n">
        <v>9</v>
      </c>
    </row>
    <row r="57" customFormat="false" ht="15" hidden="false" customHeight="false" outlineLevel="0" collapsed="false">
      <c r="F57" s="1" t="s">
        <v>8</v>
      </c>
      <c r="G57" s="1" t="n">
        <f aca="false">COUNTIF(G2:G56,"&gt;0")</f>
        <v>27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28" activeCellId="0" sqref="D28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4.19"/>
    <col collapsed="false" customWidth="true" hidden="false" outlineLevel="0" max="2" min="2" style="1" width="20.92"/>
    <col collapsed="false" customWidth="true" hidden="false" outlineLevel="0" max="3" min="3" style="1" width="18.37"/>
  </cols>
  <sheetData>
    <row r="1" customFormat="false" ht="15" hidden="false" customHeight="false" outlineLevel="0" collapsed="false">
      <c r="A1" s="1" t="s">
        <v>0</v>
      </c>
      <c r="B1" s="1" t="s">
        <v>65</v>
      </c>
      <c r="C1" s="1" t="s">
        <v>2</v>
      </c>
      <c r="D1" s="1" t="s">
        <v>85</v>
      </c>
    </row>
    <row r="2" customFormat="false" ht="15" hidden="false" customHeight="false" outlineLevel="0" collapsed="false">
      <c r="A2" s="1" t="n">
        <v>1</v>
      </c>
      <c r="B2" s="2" t="s">
        <v>11</v>
      </c>
      <c r="D2" s="1" t="n">
        <v>1</v>
      </c>
    </row>
    <row r="3" customFormat="false" ht="15" hidden="false" customHeight="false" outlineLevel="0" collapsed="false">
      <c r="A3" s="1" t="n">
        <v>2</v>
      </c>
      <c r="B3" s="2" t="s">
        <v>15</v>
      </c>
      <c r="C3" s="1" t="s">
        <v>90</v>
      </c>
      <c r="D3" s="1" t="n">
        <v>7</v>
      </c>
    </row>
    <row r="4" customFormat="false" ht="15" hidden="false" customHeight="false" outlineLevel="0" collapsed="false">
      <c r="A4" s="1" t="n">
        <v>3</v>
      </c>
      <c r="B4" s="2" t="s">
        <v>17</v>
      </c>
      <c r="D4" s="1" t="n">
        <v>1</v>
      </c>
    </row>
    <row r="5" customFormat="false" ht="15" hidden="false" customHeight="false" outlineLevel="0" collapsed="false">
      <c r="A5" s="1" t="n">
        <v>4</v>
      </c>
      <c r="B5" s="2" t="s">
        <v>21</v>
      </c>
      <c r="D5" s="1" t="n">
        <v>1</v>
      </c>
    </row>
    <row r="6" customFormat="false" ht="15" hidden="false" customHeight="false" outlineLevel="0" collapsed="false">
      <c r="A6" s="1" t="n">
        <v>5</v>
      </c>
      <c r="B6" s="2" t="s">
        <v>23</v>
      </c>
      <c r="D6" s="1" t="n">
        <v>1</v>
      </c>
    </row>
    <row r="7" customFormat="false" ht="15" hidden="false" customHeight="false" outlineLevel="0" collapsed="false">
      <c r="A7" s="1" t="n">
        <v>6</v>
      </c>
      <c r="B7" s="2" t="s">
        <v>25</v>
      </c>
      <c r="C7" s="1" t="s">
        <v>93</v>
      </c>
      <c r="D7" s="1" t="n">
        <v>7</v>
      </c>
    </row>
    <row r="8" customFormat="false" ht="15" hidden="false" customHeight="false" outlineLevel="0" collapsed="false">
      <c r="A8" s="1" t="n">
        <v>7</v>
      </c>
      <c r="B8" s="2" t="s">
        <v>27</v>
      </c>
      <c r="D8" s="1" t="n">
        <v>1</v>
      </c>
    </row>
    <row r="9" customFormat="false" ht="15" hidden="false" customHeight="false" outlineLevel="0" collapsed="false">
      <c r="A9" s="1" t="n">
        <v>25</v>
      </c>
      <c r="B9" s="2" t="s">
        <v>28</v>
      </c>
      <c r="C9" s="1" t="s">
        <v>95</v>
      </c>
      <c r="D9" s="1" t="n">
        <v>7</v>
      </c>
    </row>
    <row r="10" customFormat="false" ht="15" hidden="false" customHeight="false" outlineLevel="0" collapsed="false">
      <c r="A10" s="1" t="n">
        <v>8</v>
      </c>
      <c r="B10" s="2" t="s">
        <v>30</v>
      </c>
      <c r="C10" s="1" t="s">
        <v>96</v>
      </c>
      <c r="D10" s="1" t="n">
        <v>6</v>
      </c>
    </row>
    <row r="11" customFormat="false" ht="15" hidden="false" customHeight="false" outlineLevel="0" collapsed="false">
      <c r="A11" s="1" t="n">
        <v>9</v>
      </c>
      <c r="B11" s="2" t="s">
        <v>32</v>
      </c>
      <c r="D11" s="1" t="n">
        <v>1</v>
      </c>
    </row>
    <row r="12" customFormat="false" ht="15" hidden="false" customHeight="false" outlineLevel="0" collapsed="false">
      <c r="A12" s="1" t="n">
        <v>10</v>
      </c>
      <c r="B12" s="2" t="s">
        <v>34</v>
      </c>
      <c r="D12" s="1" t="n">
        <v>1</v>
      </c>
    </row>
    <row r="13" customFormat="false" ht="15" hidden="false" customHeight="false" outlineLevel="0" collapsed="false">
      <c r="A13" s="1" t="n">
        <v>11</v>
      </c>
      <c r="B13" s="2" t="s">
        <v>36</v>
      </c>
      <c r="C13" s="1" t="s">
        <v>98</v>
      </c>
      <c r="D13" s="1" t="n">
        <v>7</v>
      </c>
    </row>
    <row r="14" customFormat="false" ht="15" hidden="false" customHeight="false" outlineLevel="0" collapsed="false">
      <c r="A14" s="1" t="n">
        <v>12</v>
      </c>
      <c r="B14" s="2" t="s">
        <v>37</v>
      </c>
      <c r="C14" s="1" t="s">
        <v>99</v>
      </c>
      <c r="D14" s="1" t="n">
        <v>8</v>
      </c>
    </row>
    <row r="15" customFormat="false" ht="15" hidden="false" customHeight="false" outlineLevel="0" collapsed="false">
      <c r="A15" s="1" t="n">
        <v>13</v>
      </c>
      <c r="B15" s="2" t="s">
        <v>80</v>
      </c>
      <c r="D15" s="1" t="n">
        <v>1</v>
      </c>
    </row>
    <row r="16" customFormat="false" ht="15" hidden="false" customHeight="false" outlineLevel="0" collapsed="false">
      <c r="A16" s="1" t="n">
        <v>26</v>
      </c>
      <c r="B16" s="2" t="s">
        <v>40</v>
      </c>
      <c r="C16" s="1" t="s">
        <v>102</v>
      </c>
      <c r="D16" s="1" t="n">
        <v>6</v>
      </c>
    </row>
    <row r="17" customFormat="false" ht="15" hidden="false" customHeight="false" outlineLevel="0" collapsed="false">
      <c r="A17" s="1" t="n">
        <v>14</v>
      </c>
      <c r="B17" s="2" t="s">
        <v>82</v>
      </c>
      <c r="D17" s="1" t="n">
        <v>1</v>
      </c>
    </row>
    <row r="18" customFormat="false" ht="15" hidden="false" customHeight="false" outlineLevel="0" collapsed="false">
      <c r="A18" s="1" t="n">
        <v>24</v>
      </c>
      <c r="B18" s="2" t="s">
        <v>43</v>
      </c>
      <c r="C18" s="1" t="s">
        <v>105</v>
      </c>
      <c r="D18" s="1" t="n">
        <v>7</v>
      </c>
    </row>
    <row r="19" customFormat="false" ht="15" hidden="false" customHeight="false" outlineLevel="0" collapsed="false">
      <c r="A19" s="1" t="n">
        <v>15</v>
      </c>
      <c r="B19" s="2" t="s">
        <v>45</v>
      </c>
      <c r="C19" s="1" t="s">
        <v>106</v>
      </c>
      <c r="D19" s="1" t="n">
        <v>7</v>
      </c>
    </row>
    <row r="20" customFormat="false" ht="15" hidden="false" customHeight="false" outlineLevel="0" collapsed="false">
      <c r="A20" s="1" t="n">
        <v>16</v>
      </c>
      <c r="B20" s="2" t="s">
        <v>47</v>
      </c>
      <c r="C20" s="1" t="s">
        <v>107</v>
      </c>
      <c r="D20" s="1" t="n">
        <v>7</v>
      </c>
    </row>
    <row r="21" customFormat="false" ht="15" hidden="false" customHeight="false" outlineLevel="0" collapsed="false">
      <c r="A21" s="1" t="n">
        <v>17</v>
      </c>
      <c r="B21" s="1" t="s">
        <v>49</v>
      </c>
      <c r="C21" s="1" t="s">
        <v>108</v>
      </c>
      <c r="D21" s="1" t="n">
        <v>10</v>
      </c>
    </row>
    <row r="22" customFormat="false" ht="15" hidden="false" customHeight="false" outlineLevel="0" collapsed="false">
      <c r="A22" s="1" t="n">
        <v>18</v>
      </c>
      <c r="B22" s="2" t="s">
        <v>51</v>
      </c>
      <c r="D22" s="1" t="n">
        <v>1</v>
      </c>
    </row>
    <row r="23" customFormat="false" ht="15" hidden="false" customHeight="false" outlineLevel="0" collapsed="false">
      <c r="A23" s="1" t="n">
        <v>19</v>
      </c>
      <c r="B23" s="2" t="s">
        <v>53</v>
      </c>
      <c r="D23" s="1" t="n">
        <v>1</v>
      </c>
    </row>
    <row r="24" customFormat="false" ht="15" hidden="false" customHeight="false" outlineLevel="0" collapsed="false">
      <c r="A24" s="1" t="n">
        <v>20</v>
      </c>
      <c r="B24" s="2" t="s">
        <v>55</v>
      </c>
      <c r="D24" s="1" t="n">
        <v>1</v>
      </c>
    </row>
    <row r="25" customFormat="false" ht="15" hidden="false" customHeight="false" outlineLevel="0" collapsed="false">
      <c r="A25" s="1" t="n">
        <v>21</v>
      </c>
      <c r="B25" s="2" t="s">
        <v>56</v>
      </c>
      <c r="C25" s="1" t="s">
        <v>56</v>
      </c>
      <c r="D25" s="1" t="n">
        <v>8</v>
      </c>
    </row>
    <row r="26" customFormat="false" ht="15" hidden="false" customHeight="false" outlineLevel="0" collapsed="false">
      <c r="A26" s="1" t="n">
        <v>22</v>
      </c>
      <c r="B26" s="2" t="s">
        <v>58</v>
      </c>
      <c r="C26" s="1" t="s">
        <v>111</v>
      </c>
      <c r="D26" s="1" t="n">
        <v>7</v>
      </c>
    </row>
    <row r="27" customFormat="false" ht="15" hidden="false" customHeight="false" outlineLevel="0" collapsed="false">
      <c r="A27" s="1" t="n">
        <v>23</v>
      </c>
      <c r="B27" s="2" t="s">
        <v>60</v>
      </c>
      <c r="C27" s="1" t="s">
        <v>112</v>
      </c>
      <c r="D27" s="1" t="n">
        <v>7</v>
      </c>
    </row>
    <row r="28" customFormat="false" ht="15" hidden="false" customHeight="false" outlineLevel="0" collapsed="false">
      <c r="A28" s="1" t="n">
        <v>27</v>
      </c>
      <c r="B28" s="1" t="s">
        <v>62</v>
      </c>
      <c r="C28" s="1" t="s">
        <v>113</v>
      </c>
      <c r="D28" s="1" t="n">
        <v>6</v>
      </c>
    </row>
    <row r="29" customFormat="false" ht="15" hidden="false" customHeight="false" outlineLevel="0" collapsed="false">
      <c r="C29" s="1" t="s">
        <v>117</v>
      </c>
      <c r="D29" s="1" t="n">
        <f aca="false">COUNTIF(D2:D28,"&gt;0")</f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F3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F32" activeCellId="0" sqref="F32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4.19"/>
    <col collapsed="false" customWidth="true" hidden="false" outlineLevel="0" max="2" min="2" style="1" width="20.92"/>
    <col collapsed="false" customWidth="true" hidden="false" outlineLevel="0" max="3" min="3" style="1" width="19.94"/>
    <col collapsed="false" customWidth="true" hidden="false" outlineLevel="0" max="4" min="4" style="1" width="15.54"/>
  </cols>
  <sheetData>
    <row r="3" customFormat="false" ht="15" hidden="false" customHeight="false" outlineLevel="0" collapsed="false">
      <c r="A3" s="1" t="s">
        <v>0</v>
      </c>
      <c r="B3" s="1" t="s">
        <v>65</v>
      </c>
      <c r="C3" s="1" t="s">
        <v>2</v>
      </c>
      <c r="D3" s="1" t="s">
        <v>85</v>
      </c>
      <c r="E3" s="1" t="s">
        <v>86</v>
      </c>
      <c r="F3" s="1" t="s">
        <v>88</v>
      </c>
    </row>
    <row r="4" customFormat="false" ht="15" hidden="false" customHeight="false" outlineLevel="0" collapsed="false">
      <c r="A4" s="1" t="n">
        <v>1</v>
      </c>
      <c r="B4" s="2" t="s">
        <v>11</v>
      </c>
      <c r="C4" s="1" t="s">
        <v>89</v>
      </c>
      <c r="D4" s="1" t="n">
        <v>6.25</v>
      </c>
      <c r="F4" s="1" t="n">
        <v>6.25</v>
      </c>
    </row>
    <row r="5" customFormat="false" ht="15" hidden="false" customHeight="false" outlineLevel="0" collapsed="false">
      <c r="A5" s="1" t="n">
        <v>2</v>
      </c>
      <c r="B5" s="2" t="s">
        <v>15</v>
      </c>
      <c r="C5" s="1" t="s">
        <v>90</v>
      </c>
      <c r="D5" s="1" t="n">
        <v>7</v>
      </c>
      <c r="F5" s="1" t="n">
        <v>7</v>
      </c>
    </row>
    <row r="6" customFormat="false" ht="15" hidden="false" customHeight="false" outlineLevel="0" collapsed="false">
      <c r="A6" s="1" t="n">
        <v>3</v>
      </c>
      <c r="B6" s="2" t="s">
        <v>17</v>
      </c>
      <c r="C6" s="1" t="s">
        <v>114</v>
      </c>
      <c r="D6" s="1" t="n">
        <v>7</v>
      </c>
      <c r="E6" s="1" t="n">
        <f aca="false">AVERAGE(D6:D7)</f>
        <v>6</v>
      </c>
      <c r="F6" s="1" t="n">
        <v>6</v>
      </c>
    </row>
    <row r="7" customFormat="false" ht="15" hidden="false" customHeight="false" outlineLevel="0" collapsed="false">
      <c r="C7" s="1" t="s">
        <v>114</v>
      </c>
      <c r="D7" s="1" t="n">
        <v>5</v>
      </c>
    </row>
    <row r="8" customFormat="false" ht="15" hidden="false" customHeight="false" outlineLevel="0" collapsed="false">
      <c r="A8" s="1" t="n">
        <v>4</v>
      </c>
      <c r="B8" s="2" t="s">
        <v>21</v>
      </c>
      <c r="C8" s="1" t="s">
        <v>91</v>
      </c>
      <c r="D8" s="1" t="n">
        <v>4.25</v>
      </c>
      <c r="F8" s="1" t="n">
        <v>4.25</v>
      </c>
    </row>
    <row r="9" customFormat="false" ht="15" hidden="false" customHeight="false" outlineLevel="0" collapsed="false">
      <c r="A9" s="1" t="n">
        <v>5</v>
      </c>
      <c r="B9" s="2" t="s">
        <v>23</v>
      </c>
      <c r="C9" s="1" t="s">
        <v>92</v>
      </c>
      <c r="D9" s="1" t="n">
        <v>7.75</v>
      </c>
      <c r="F9" s="1" t="n">
        <v>7.75</v>
      </c>
    </row>
    <row r="10" customFormat="false" ht="15" hidden="false" customHeight="false" outlineLevel="0" collapsed="false">
      <c r="A10" s="1" t="n">
        <v>6</v>
      </c>
      <c r="B10" s="2" t="s">
        <v>25</v>
      </c>
      <c r="C10" s="1" t="s">
        <v>93</v>
      </c>
      <c r="D10" s="1" t="n">
        <v>9</v>
      </c>
      <c r="F10" s="1" t="n">
        <v>9</v>
      </c>
    </row>
    <row r="11" customFormat="false" ht="15" hidden="false" customHeight="false" outlineLevel="0" collapsed="false">
      <c r="A11" s="1" t="n">
        <v>7</v>
      </c>
      <c r="B11" s="2" t="s">
        <v>27</v>
      </c>
      <c r="C11" s="1" t="s">
        <v>94</v>
      </c>
      <c r="D11" s="1" t="n">
        <v>6.5</v>
      </c>
      <c r="F11" s="1" t="n">
        <v>6.5</v>
      </c>
    </row>
    <row r="12" customFormat="false" ht="15" hidden="false" customHeight="false" outlineLevel="0" collapsed="false">
      <c r="A12" s="1" t="n">
        <v>25</v>
      </c>
      <c r="B12" s="2" t="s">
        <v>28</v>
      </c>
      <c r="C12" s="1" t="s">
        <v>95</v>
      </c>
      <c r="D12" s="1" t="n">
        <v>6.5</v>
      </c>
      <c r="F12" s="1" t="n">
        <v>6.5</v>
      </c>
    </row>
    <row r="13" customFormat="false" ht="15" hidden="false" customHeight="false" outlineLevel="0" collapsed="false">
      <c r="A13" s="1" t="n">
        <v>8</v>
      </c>
      <c r="B13" s="2" t="s">
        <v>30</v>
      </c>
      <c r="C13" s="1" t="s">
        <v>96</v>
      </c>
      <c r="D13" s="1" t="n">
        <v>8.5</v>
      </c>
      <c r="F13" s="1" t="n">
        <v>8.5</v>
      </c>
    </row>
    <row r="14" customFormat="false" ht="15" hidden="false" customHeight="false" outlineLevel="0" collapsed="false">
      <c r="A14" s="1" t="n">
        <v>9</v>
      </c>
      <c r="B14" s="2" t="s">
        <v>32</v>
      </c>
      <c r="C14" s="1" t="s">
        <v>97</v>
      </c>
      <c r="D14" s="1" t="n">
        <v>5.25</v>
      </c>
      <c r="F14" s="1" t="n">
        <v>5.25</v>
      </c>
    </row>
    <row r="15" customFormat="false" ht="15" hidden="false" customHeight="false" outlineLevel="0" collapsed="false">
      <c r="A15" s="1" t="n">
        <v>10</v>
      </c>
      <c r="B15" s="2" t="s">
        <v>34</v>
      </c>
      <c r="C15" s="1" t="s">
        <v>115</v>
      </c>
      <c r="D15" s="1" t="n">
        <v>5.5</v>
      </c>
      <c r="F15" s="1" t="n">
        <v>5.5</v>
      </c>
    </row>
    <row r="16" customFormat="false" ht="15" hidden="false" customHeight="false" outlineLevel="0" collapsed="false">
      <c r="A16" s="1" t="n">
        <v>11</v>
      </c>
      <c r="B16" s="2" t="s">
        <v>36</v>
      </c>
      <c r="C16" s="1" t="s">
        <v>98</v>
      </c>
      <c r="D16" s="1" t="n">
        <v>10</v>
      </c>
      <c r="F16" s="1" t="n">
        <v>10</v>
      </c>
    </row>
    <row r="17" customFormat="false" ht="15" hidden="false" customHeight="false" outlineLevel="0" collapsed="false">
      <c r="A17" s="1" t="n">
        <v>12</v>
      </c>
      <c r="B17" s="2" t="s">
        <v>37</v>
      </c>
      <c r="C17" s="1" t="s">
        <v>99</v>
      </c>
      <c r="D17" s="1" t="n">
        <v>8</v>
      </c>
      <c r="F17" s="1" t="n">
        <v>8</v>
      </c>
    </row>
    <row r="18" customFormat="false" ht="15" hidden="false" customHeight="false" outlineLevel="0" collapsed="false">
      <c r="A18" s="1" t="n">
        <v>13</v>
      </c>
      <c r="B18" s="2" t="s">
        <v>80</v>
      </c>
      <c r="C18" s="1" t="s">
        <v>100</v>
      </c>
      <c r="D18" s="1" t="n">
        <v>6.75</v>
      </c>
      <c r="F18" s="1" t="n">
        <v>6.75</v>
      </c>
    </row>
    <row r="19" customFormat="false" ht="15" hidden="false" customHeight="false" outlineLevel="0" collapsed="false">
      <c r="A19" s="1" t="n">
        <v>26</v>
      </c>
      <c r="B19" s="2" t="s">
        <v>40</v>
      </c>
      <c r="C19" s="1" t="s">
        <v>102</v>
      </c>
      <c r="D19" s="1" t="n">
        <v>4.75</v>
      </c>
      <c r="F19" s="1" t="n">
        <v>4.75</v>
      </c>
    </row>
    <row r="20" customFormat="false" ht="15" hidden="false" customHeight="false" outlineLevel="0" collapsed="false">
      <c r="A20" s="1" t="n">
        <v>14</v>
      </c>
      <c r="B20" s="2" t="s">
        <v>82</v>
      </c>
      <c r="C20" s="1" t="s">
        <v>104</v>
      </c>
      <c r="D20" s="1" t="n">
        <v>5.5</v>
      </c>
      <c r="F20" s="1" t="n">
        <v>5.5</v>
      </c>
    </row>
    <row r="21" customFormat="false" ht="15" hidden="false" customHeight="false" outlineLevel="0" collapsed="false">
      <c r="A21" s="1" t="n">
        <v>24</v>
      </c>
      <c r="B21" s="2" t="s">
        <v>43</v>
      </c>
      <c r="F21" s="1" t="n">
        <v>1</v>
      </c>
    </row>
    <row r="22" customFormat="false" ht="15" hidden="false" customHeight="false" outlineLevel="0" collapsed="false">
      <c r="A22" s="1" t="n">
        <v>15</v>
      </c>
      <c r="B22" s="2" t="s">
        <v>45</v>
      </c>
      <c r="C22" s="1" t="s">
        <v>106</v>
      </c>
      <c r="D22" s="1" t="n">
        <v>5.25</v>
      </c>
      <c r="F22" s="1" t="n">
        <v>5.25</v>
      </c>
    </row>
    <row r="23" customFormat="false" ht="15" hidden="false" customHeight="false" outlineLevel="0" collapsed="false">
      <c r="A23" s="1" t="n">
        <v>16</v>
      </c>
      <c r="B23" s="2" t="s">
        <v>47</v>
      </c>
      <c r="C23" s="1" t="s">
        <v>107</v>
      </c>
      <c r="D23" s="1" t="n">
        <v>7.25</v>
      </c>
      <c r="F23" s="1" t="n">
        <v>7.25</v>
      </c>
    </row>
    <row r="24" customFormat="false" ht="15" hidden="false" customHeight="false" outlineLevel="0" collapsed="false">
      <c r="A24" s="1" t="n">
        <v>17</v>
      </c>
      <c r="B24" s="1" t="s">
        <v>49</v>
      </c>
      <c r="C24" s="1" t="s">
        <v>108</v>
      </c>
      <c r="D24" s="1" t="n">
        <v>9</v>
      </c>
      <c r="F24" s="1" t="n">
        <v>9</v>
      </c>
    </row>
    <row r="25" customFormat="false" ht="15" hidden="false" customHeight="false" outlineLevel="0" collapsed="false">
      <c r="A25" s="1" t="n">
        <v>18</v>
      </c>
      <c r="B25" s="2" t="s">
        <v>51</v>
      </c>
      <c r="C25" s="1" t="s">
        <v>109</v>
      </c>
      <c r="D25" s="1" t="n">
        <v>8.25</v>
      </c>
      <c r="F25" s="1" t="n">
        <v>8.25</v>
      </c>
    </row>
    <row r="26" customFormat="false" ht="15" hidden="false" customHeight="false" outlineLevel="0" collapsed="false">
      <c r="A26" s="1" t="n">
        <v>19</v>
      </c>
      <c r="B26" s="2" t="s">
        <v>53</v>
      </c>
      <c r="C26" s="1" t="s">
        <v>110</v>
      </c>
      <c r="D26" s="1" t="n">
        <v>4</v>
      </c>
      <c r="F26" s="1" t="n">
        <v>4</v>
      </c>
    </row>
    <row r="27" customFormat="false" ht="15" hidden="false" customHeight="false" outlineLevel="0" collapsed="false">
      <c r="A27" s="1" t="n">
        <v>20</v>
      </c>
      <c r="B27" s="2" t="s">
        <v>55</v>
      </c>
      <c r="C27" s="1" t="s">
        <v>118</v>
      </c>
      <c r="D27" s="1" t="n">
        <v>6.25</v>
      </c>
      <c r="F27" s="1" t="n">
        <v>6.25</v>
      </c>
    </row>
    <row r="28" customFormat="false" ht="15" hidden="false" customHeight="false" outlineLevel="0" collapsed="false">
      <c r="A28" s="1" t="n">
        <v>21</v>
      </c>
      <c r="B28" s="2" t="s">
        <v>56</v>
      </c>
      <c r="C28" s="1" t="s">
        <v>56</v>
      </c>
      <c r="D28" s="1" t="n">
        <v>9.5</v>
      </c>
      <c r="F28" s="1" t="n">
        <v>9.5</v>
      </c>
    </row>
    <row r="29" customFormat="false" ht="15" hidden="false" customHeight="false" outlineLevel="0" collapsed="false">
      <c r="A29" s="1" t="n">
        <v>22</v>
      </c>
      <c r="B29" s="2" t="s">
        <v>58</v>
      </c>
      <c r="C29" s="1" t="s">
        <v>111</v>
      </c>
      <c r="D29" s="1" t="n">
        <v>7.25</v>
      </c>
      <c r="F29" s="1" t="n">
        <v>7.25</v>
      </c>
    </row>
    <row r="30" customFormat="false" ht="15" hidden="false" customHeight="false" outlineLevel="0" collapsed="false">
      <c r="A30" s="1" t="n">
        <v>23</v>
      </c>
      <c r="B30" s="2" t="s">
        <v>60</v>
      </c>
      <c r="C30" s="1" t="s">
        <v>112</v>
      </c>
      <c r="D30" s="1" t="n">
        <v>9</v>
      </c>
      <c r="E30" s="1" t="n">
        <f aca="false">AVERAGE(D30:D31)</f>
        <v>7.375</v>
      </c>
      <c r="F30" s="1" t="n">
        <v>7.375</v>
      </c>
    </row>
    <row r="31" customFormat="false" ht="15" hidden="false" customHeight="false" outlineLevel="0" collapsed="false">
      <c r="C31" s="1" t="s">
        <v>112</v>
      </c>
      <c r="D31" s="1" t="n">
        <v>5.75</v>
      </c>
    </row>
    <row r="32" customFormat="false" ht="15" hidden="false" customHeight="false" outlineLevel="0" collapsed="false">
      <c r="A32" s="1" t="n">
        <v>27</v>
      </c>
      <c r="B32" s="1" t="s">
        <v>62</v>
      </c>
      <c r="C32" s="1" t="s">
        <v>113</v>
      </c>
      <c r="D32" s="1" t="n">
        <v>7.75</v>
      </c>
      <c r="F32" s="1" t="n">
        <v>7.75</v>
      </c>
    </row>
    <row r="35" customFormat="false" ht="15" hidden="false" customHeight="false" outlineLevel="0" collapsed="false">
      <c r="C35" s="1" t="s">
        <v>119</v>
      </c>
      <c r="D35" s="1" t="n">
        <v>6.75</v>
      </c>
      <c r="F35" s="1" t="n">
        <v>6.75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10704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2025-05-05T16:17:36Z</dcterms:created>
  <dc:creator/>
  <dc:description/>
  <dc:language>es-AR</dc:language>
  <cp:lastModifiedBy/>
  <dcterms:modified xsi:type="dcterms:W3CDTF">2026-09-14T20:03:35Z</dcterms:modified>
  <cp:revision>115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