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  <sheet name="1-codigos" sheetId="3" state="visible" r:id="rId5"/>
    <sheet name="11-aiken" sheetId="4" state="visible" r:id="rId6"/>
    <sheet name="2-alg de boole" sheetId="5" state="visible" r:id="rId7"/>
    <sheet name="3-compuer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<sst xmlns="http://schemas.openxmlformats.org/spreadsheetml/2006/main" count="773" uniqueCount="112">
  <si>
    <t xml:space="preserve">armar grupos y arrancar proyecto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</si>
  <si>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</si>
  <si>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</si>
  <si>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</si>
  <si>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</si>
  <si>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</si>
  <si>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</t>
  </si>
  <si>
    <t xml:space="preserve">media</t>
  </si>
  <si>
    <t xml:space="preserve">tarde</t>
  </si>
  <si>
    <t xml:space="preserve">ausente</t>
  </si>
  <si>
    <t xml:space="preserve">total</t>
  </si>
  <si>
    <t xml:space="preserve">nota</t>
  </si>
  <si>
    <t xml:space="preserve">Grupos</t>
  </si>
  <si>
    <t xml:space="preserve">Joaquin Leandro David</t>
  </si>
  <si>
    <t xml:space="preserve">ALCARAZ</t>
  </si>
  <si>
    <t xml:space="preserve">49810411@gmail.com</t>
  </si>
  <si>
    <t xml:space="preserve">P</t>
  </si>
  <si>
    <t xml:space="preserve">A</t>
  </si>
  <si>
    <t xml:space="preserve">M</t>
  </si>
  <si>
    <t xml:space="preserve">T</t>
  </si>
  <si>
    <t xml:space="preserve">Facundo Gonzalo</t>
  </si>
  <si>
    <t xml:space="preserve">ARREDONDO</t>
  </si>
  <si>
    <t xml:space="preserve">arredondofacundo406@gmail.com</t>
  </si>
  <si>
    <t xml:space="preserve">Damian Agustin</t>
  </si>
  <si>
    <t xml:space="preserve">Coronel</t>
  </si>
  <si>
    <t xml:space="preserve">50094499@faa.mil.ar</t>
  </si>
  <si>
    <t xml:space="preserve">Recursa</t>
  </si>
  <si>
    <t xml:space="preserve">A </t>
  </si>
  <si>
    <t xml:space="preserve">Santiago Gael</t>
  </si>
  <si>
    <t xml:space="preserve">DIAZ</t>
  </si>
  <si>
    <t xml:space="preserve">50157134@gmail.com</t>
  </si>
  <si>
    <t xml:space="preserve">Candelaria Luisana</t>
  </si>
  <si>
    <t xml:space="preserve">FARIAS RUIZ</t>
  </si>
  <si>
    <t xml:space="preserve">49960662@gmail.com</t>
  </si>
  <si>
    <t xml:space="preserve">enfermedad</t>
  </si>
  <si>
    <t xml:space="preserve">p</t>
  </si>
  <si>
    <t xml:space="preserve">Oriana Berenice</t>
  </si>
  <si>
    <t xml:space="preserve">FRANCOLINO</t>
  </si>
  <si>
    <t xml:space="preserve">50096602@gmail.com</t>
  </si>
  <si>
    <t xml:space="preserve">Juan Diego</t>
  </si>
  <si>
    <t xml:space="preserve">GIRALDO GONZALEZ</t>
  </si>
  <si>
    <t xml:space="preserve">95622238@gmail.com</t>
  </si>
  <si>
    <t xml:space="preserve">Demian Ignacio</t>
  </si>
  <si>
    <t xml:space="preserve">JUNCAL</t>
  </si>
  <si>
    <t xml:space="preserve">50142917@gmail.com</t>
  </si>
  <si>
    <t xml:space="preserve">Jeremias Luciano</t>
  </si>
  <si>
    <t xml:space="preserve">LESME</t>
  </si>
  <si>
    <t xml:space="preserve">jeremiaslesme9@gmail.com</t>
  </si>
  <si>
    <t xml:space="preserve">Laionel Dylan</t>
  </si>
  <si>
    <t xml:space="preserve">LOAIZA</t>
  </si>
  <si>
    <t xml:space="preserve">50395668@gmail.com</t>
  </si>
  <si>
    <t xml:space="preserve">Thiago Valentin</t>
  </si>
  <si>
    <t xml:space="preserve">LUCERO</t>
  </si>
  <si>
    <t xml:space="preserve">49602531@gmail.com</t>
  </si>
  <si>
    <t xml:space="preserve">Thiago Gabriel</t>
  </si>
  <si>
    <t xml:space="preserve">LUJAN</t>
  </si>
  <si>
    <t xml:space="preserve">49927919@gmail.com</t>
  </si>
  <si>
    <t xml:space="preserve">Tahiel Eliseo</t>
  </si>
  <si>
    <t xml:space="preserve">MANRIQUE DI FLORIO</t>
  </si>
  <si>
    <t xml:space="preserve">50276004@gmail.com</t>
  </si>
  <si>
    <t xml:space="preserve">Fabrizio Juan</t>
  </si>
  <si>
    <t xml:space="preserve">MARTINEZ RUIZ DIAZ</t>
  </si>
  <si>
    <t xml:space="preserve">martnezfabrizio84@gmail.com</t>
  </si>
  <si>
    <t xml:space="preserve">Franco Ezequiel</t>
  </si>
  <si>
    <t xml:space="preserve">MELIN</t>
  </si>
  <si>
    <t xml:space="preserve">50353508@gmail.com</t>
  </si>
  <si>
    <t xml:space="preserve">Uma Bianca</t>
  </si>
  <si>
    <t xml:space="preserve">OLIVERA</t>
  </si>
  <si>
    <t xml:space="preserve">49679317@gmail.com</t>
  </si>
  <si>
    <t xml:space="preserve">O</t>
  </si>
  <si>
    <t xml:space="preserve">Delfina Elizabeth</t>
  </si>
  <si>
    <t xml:space="preserve">ORTEGA</t>
  </si>
  <si>
    <t xml:space="preserve">49988641@gmail.com</t>
  </si>
  <si>
    <t xml:space="preserve">Alejo Julián</t>
  </si>
  <si>
    <t xml:space="preserve">PALERMO TEJADA</t>
  </si>
  <si>
    <t xml:space="preserve">palermoalejo@gmail.com</t>
  </si>
  <si>
    <t xml:space="preserve">Mateo Leonel</t>
  </si>
  <si>
    <t xml:space="preserve">PRADO</t>
  </si>
  <si>
    <t xml:space="preserve">49880530@gmail.com</t>
  </si>
  <si>
    <t xml:space="preserve">Ivan Manuel</t>
  </si>
  <si>
    <t xml:space="preserve">RAVANELLI</t>
  </si>
  <si>
    <t xml:space="preserve">49521904@gmail.com</t>
  </si>
  <si>
    <t xml:space="preserve">Agustin</t>
  </si>
  <si>
    <t xml:space="preserve">Romero</t>
  </si>
  <si>
    <t xml:space="preserve">ajolote47356@gmail.com</t>
  </si>
  <si>
    <t xml:space="preserve">Matias Lionel</t>
  </si>
  <si>
    <t xml:space="preserve">SAIGUA FRANCO</t>
  </si>
  <si>
    <t xml:space="preserve">49547928@gmail.com</t>
  </si>
  <si>
    <t xml:space="preserve">Giuliana Abril</t>
  </si>
  <si>
    <t xml:space="preserve">VIDELA</t>
  </si>
  <si>
    <t xml:space="preserve">49676632@gmail.com</t>
  </si>
  <si>
    <t xml:space="preserve">presentes</t>
  </si>
  <si>
    <t xml:space="preserve">1-coidgps</t>
  </si>
  <si>
    <t xml:space="preserve">Reup</t>
  </si>
  <si>
    <t xml:space="preserve">11-aiken</t>
  </si>
  <si>
    <t xml:space="preserve">Recup</t>
  </si>
  <si>
    <t xml:space="preserve">2-algboole</t>
  </si>
  <si>
    <t xml:space="preserve">3-comp</t>
  </si>
  <si>
    <t xml:space="preserve">4- asistencia</t>
  </si>
  <si>
    <t xml:space="preserve">valoracion</t>
  </si>
  <si>
    <t xml:space="preserve">Grupo </t>
  </si>
  <si>
    <t xml:space="preserve">Avance 28-8</t>
  </si>
  <si>
    <t xml:space="preserve">Acance 4/8</t>
  </si>
  <si>
    <t xml:space="preserve">Avance 18/9</t>
  </si>
  <si>
    <t xml:space="preserve">Avance 25/9</t>
  </si>
  <si>
    <t xml:space="preserve">Avance 2/10</t>
  </si>
  <si>
    <t xml:space="preserve">apellido</t>
  </si>
  <si>
    <t xml:space="preserve">Calificación/10,00</t>
  </si>
  <si>
    <t xml:space="preserve">promedio</t>
  </si>
  <si>
    <t xml:space="preserve">segundo</t>
  </si>
  <si>
    <t xml:space="preserve">final</t>
  </si>
  <si>
    <t xml:space="preserve">notas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</si>
</sst>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P15" activeCellId="0" sqref="AP15"/>
    </sheetView>
  </sheetViews>
  <sheetFormatPr defaultColWidth="8.863281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0.07"/>
    <col collapsed="false" customWidth="true" hidden="true" outlineLevel="0" max="4" min="4" style="1" width="35.71"/>
    <col collapsed="false" customWidth="false" hidden="true" outlineLevel="0" max="26" min="5" style="1" width="8.86"/>
    <col collapsed="false" customWidth="false" hidden="true" outlineLevel="0" max="38" min="27" style="0" width="8.86"/>
    <col collapsed="false" customWidth="false" hidden="true" outlineLevel="0" max="41" min="41" style="0" width="8.86"/>
    <col collapsed="false" customWidth="true" hidden="false" outlineLevel="0" max="988" min="988" style="1" width="9.33"/>
    <col collapsed="false" customWidth="true" hidden="false" outlineLevel="0" max="16384" min="16349" style="1" width="10.58"/>
  </cols>
  <sheetData>
    <row r="1" customFormat="false" ht="15" hidden="false" customHeight="false" outlineLevel="0" collapsed="false">
      <c r="B1" s="2"/>
      <c r="C1" s="2"/>
      <c r="D1" s="2"/>
      <c r="AA1" s="2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4</v>
      </c>
      <c r="E2" s="3" t="n">
        <v>46094</v>
      </c>
      <c r="F2" s="3" t="n">
        <v>46108</v>
      </c>
      <c r="G2" s="3" t="n">
        <v>46122</v>
      </c>
      <c r="H2" s="3" t="s">
        <v>5</v>
      </c>
      <c r="I2" s="3" t="n">
        <v>46129</v>
      </c>
      <c r="J2" s="3" t="n">
        <v>46136</v>
      </c>
      <c r="K2" s="3" t="s">
        <v>5</v>
      </c>
      <c r="L2" s="3" t="n">
        <v>46150</v>
      </c>
      <c r="M2" s="3" t="n">
        <v>46157</v>
      </c>
      <c r="N2" s="3" t="n">
        <v>46164</v>
      </c>
      <c r="O2" s="3" t="s">
        <v>5</v>
      </c>
      <c r="P2" s="3" t="n">
        <v>46171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n">
        <v>46178</v>
      </c>
      <c r="X2" s="3" t="n">
        <v>46185</v>
      </c>
      <c r="Y2" s="3" t="s">
        <v>5</v>
      </c>
      <c r="Z2" s="3" t="s">
        <v>12</v>
      </c>
      <c r="AA2" s="3" t="n">
        <v>46192</v>
      </c>
      <c r="AB2" s="3" t="n">
        <v>46199</v>
      </c>
      <c r="AC2" s="3" t="n">
        <v>46206</v>
      </c>
      <c r="AD2" s="3" t="n">
        <v>46241</v>
      </c>
      <c r="AE2" s="3" t="s">
        <v>5</v>
      </c>
      <c r="AF2" s="3" t="n">
        <v>46255</v>
      </c>
      <c r="AG2" s="3" t="s">
        <v>5</v>
      </c>
      <c r="AH2" s="3" t="n">
        <v>46262</v>
      </c>
      <c r="AI2" s="3" t="s">
        <v>5</v>
      </c>
      <c r="AJ2" s="3" t="n">
        <v>46269</v>
      </c>
      <c r="AK2" s="3" t="n">
        <v>46283</v>
      </c>
      <c r="AL2" s="3" t="n">
        <v>46290</v>
      </c>
      <c r="AM2" s="3" t="s">
        <v>5</v>
      </c>
      <c r="AN2" s="3" t="n">
        <v>46297</v>
      </c>
      <c r="AO2" s="3" t="n">
        <v>46304</v>
      </c>
      <c r="AP2" s="3" t="s">
        <v>5</v>
      </c>
      <c r="AQ2" s="3" t="n">
        <v>46311</v>
      </c>
      <c r="AR2" s="3" t="n">
        <v>46318</v>
      </c>
      <c r="AS2" s="3" t="n">
        <v>46325</v>
      </c>
      <c r="AT2" s="3" t="n">
        <v>46332</v>
      </c>
      <c r="AU2" s="3" t="n">
        <v>46339</v>
      </c>
      <c r="AV2" s="3" t="n">
        <v>46346</v>
      </c>
      <c r="AW2" s="3" t="n">
        <v>46353</v>
      </c>
      <c r="AX2" s="3" t="n">
        <v>46360</v>
      </c>
      <c r="AY2" s="3" t="n">
        <v>46367</v>
      </c>
      <c r="AZ2" s="3" t="n">
        <v>46374</v>
      </c>
      <c r="BA2" s="3" t="n">
        <v>46381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customFormat="false" ht="15" hidden="false" customHeight="false" outlineLevel="0" collapsed="false">
      <c r="A3" s="1" t="n">
        <v>1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17</v>
      </c>
      <c r="G3" s="2" t="s">
        <v>18</v>
      </c>
      <c r="H3" s="4" t="n">
        <v>0.513888888888889</v>
      </c>
      <c r="I3" s="2" t="s">
        <v>16</v>
      </c>
      <c r="J3" s="2" t="s">
        <v>16</v>
      </c>
      <c r="L3" s="2" t="s">
        <v>16</v>
      </c>
      <c r="M3" s="2" t="s">
        <v>16</v>
      </c>
      <c r="N3" s="2" t="s">
        <v>16</v>
      </c>
      <c r="O3" s="2"/>
      <c r="P3" s="2" t="s">
        <v>16</v>
      </c>
      <c r="Q3" s="2" t="n">
        <f aca="false">COUNTIF(E3:P3,"P")</f>
        <v>7</v>
      </c>
      <c r="R3" s="2" t="n">
        <f aca="false">COUNTIF(E3:P3,"M")</f>
        <v>1</v>
      </c>
      <c r="S3" s="2" t="n">
        <f aca="false">COUNTIF(E3:P3,"T")</f>
        <v>0</v>
      </c>
      <c r="T3" s="2" t="n">
        <f aca="false">COUNTIF(E3:P3,"A")</f>
        <v>1</v>
      </c>
      <c r="U3" s="2" t="n">
        <f aca="false">SUM(Q3:T3)</f>
        <v>9</v>
      </c>
      <c r="V3" s="5" t="n">
        <f aca="false">ROUND((Q3+R3/2+S3/4)*10/U3,0)</f>
        <v>8</v>
      </c>
      <c r="W3" s="2" t="s">
        <v>17</v>
      </c>
      <c r="X3" s="2" t="s">
        <v>16</v>
      </c>
      <c r="Z3" s="1" t="n">
        <v>3</v>
      </c>
      <c r="AA3" s="2" t="s">
        <v>16</v>
      </c>
      <c r="AB3" s="2" t="s">
        <v>19</v>
      </c>
      <c r="AC3" s="1" t="s">
        <v>17</v>
      </c>
      <c r="AD3" s="2" t="s">
        <v>16</v>
      </c>
      <c r="AF3" s="2" t="s">
        <v>19</v>
      </c>
      <c r="AH3" s="2" t="s">
        <v>19</v>
      </c>
      <c r="AI3" s="4" t="n">
        <v>0.555555555555556</v>
      </c>
      <c r="AJ3" s="2" t="s">
        <v>16</v>
      </c>
      <c r="AK3" s="2" t="s">
        <v>16</v>
      </c>
      <c r="AL3" s="2" t="s">
        <v>19</v>
      </c>
      <c r="AM3" s="4" t="n">
        <v>0.548611111111111</v>
      </c>
      <c r="AN3" s="6" t="s">
        <v>19</v>
      </c>
      <c r="AP3" s="7" t="n">
        <v>0.541666666666667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21</v>
      </c>
      <c r="D4" s="1" t="s">
        <v>22</v>
      </c>
      <c r="E4" s="2" t="s">
        <v>16</v>
      </c>
      <c r="F4" s="2" t="s">
        <v>16</v>
      </c>
      <c r="G4" s="2" t="s">
        <v>16</v>
      </c>
      <c r="I4" s="2" t="s">
        <v>16</v>
      </c>
      <c r="J4" s="2" t="s">
        <v>16</v>
      </c>
      <c r="L4" s="2" t="s">
        <v>16</v>
      </c>
      <c r="M4" s="2" t="s">
        <v>16</v>
      </c>
      <c r="N4" s="2" t="s">
        <v>16</v>
      </c>
      <c r="O4" s="2"/>
      <c r="P4" s="2" t="s">
        <v>16</v>
      </c>
      <c r="Q4" s="2" t="n">
        <f aca="false">COUNTIF(E4:P4,"P")</f>
        <v>9</v>
      </c>
      <c r="R4" s="2" t="n">
        <f aca="false">COUNTIF(E4:P4,"M")</f>
        <v>0</v>
      </c>
      <c r="S4" s="2" t="n">
        <f aca="false">COUNTIF(E4:P4,"T")</f>
        <v>0</v>
      </c>
      <c r="T4" s="2" t="n">
        <f aca="false">COUNTIF(E4:P4,"A")</f>
        <v>0</v>
      </c>
      <c r="U4" s="2" t="n">
        <f aca="false">SUM(Q4:T4)</f>
        <v>9</v>
      </c>
      <c r="V4" s="5" t="n">
        <f aca="false">ROUND((Q4+R4/2+S4/4)*10/U4,0)</f>
        <v>10</v>
      </c>
      <c r="W4" s="2" t="s">
        <v>16</v>
      </c>
      <c r="X4" s="2" t="s">
        <v>16</v>
      </c>
      <c r="Z4" s="1" t="n">
        <v>2</v>
      </c>
      <c r="AA4" s="2" t="s">
        <v>16</v>
      </c>
      <c r="AB4" s="2" t="s">
        <v>16</v>
      </c>
      <c r="AC4" s="1" t="s">
        <v>16</v>
      </c>
      <c r="AD4" s="2" t="s">
        <v>16</v>
      </c>
      <c r="AF4" s="2" t="s">
        <v>16</v>
      </c>
      <c r="AH4" s="2" t="s">
        <v>16</v>
      </c>
      <c r="AJ4" s="2" t="s">
        <v>16</v>
      </c>
      <c r="AK4" s="2" t="s">
        <v>16</v>
      </c>
      <c r="AL4" s="2" t="s">
        <v>16</v>
      </c>
      <c r="AN4" s="6" t="s">
        <v>16</v>
      </c>
    </row>
    <row r="5" s="9" customFormat="true" ht="15" hidden="false" customHeight="false" outlineLevel="0" collapsed="false">
      <c r="A5" s="8" t="n">
        <v>3</v>
      </c>
      <c r="B5" s="8" t="s">
        <v>23</v>
      </c>
      <c r="C5" s="8" t="s">
        <v>24</v>
      </c>
      <c r="D5" s="8" t="s">
        <v>25</v>
      </c>
      <c r="E5" s="9" t="s">
        <v>16</v>
      </c>
      <c r="F5" s="9" t="s">
        <v>17</v>
      </c>
      <c r="G5" s="9" t="s">
        <v>17</v>
      </c>
      <c r="H5" s="9" t="s">
        <v>26</v>
      </c>
      <c r="I5" s="9" t="s">
        <v>17</v>
      </c>
      <c r="J5" s="9" t="s">
        <v>17</v>
      </c>
      <c r="L5" s="9" t="s">
        <v>17</v>
      </c>
      <c r="M5" s="9" t="s">
        <v>17</v>
      </c>
      <c r="N5" s="9" t="s">
        <v>17</v>
      </c>
      <c r="P5" s="9" t="s">
        <v>17</v>
      </c>
      <c r="Q5" s="1" t="n">
        <f aca="false">COUNTIF(E5:P5,"P")</f>
        <v>1</v>
      </c>
      <c r="R5" s="1" t="n">
        <f aca="false">COUNTIF(E5:P5,"M")</f>
        <v>0</v>
      </c>
      <c r="S5" s="1" t="n">
        <f aca="false">COUNTIF(E5:P5,"T")</f>
        <v>0</v>
      </c>
      <c r="T5" s="1" t="n">
        <f aca="false">COUNTIF(E5:P5,"A")</f>
        <v>8</v>
      </c>
      <c r="U5" s="1" t="n">
        <f aca="false">SUM(Q5:T5)</f>
        <v>9</v>
      </c>
      <c r="V5" s="5" t="n">
        <f aca="false">ROUND((Q5+R5/2+S5/4)*10/U5,0)</f>
        <v>1</v>
      </c>
      <c r="W5" s="9" t="s">
        <v>17</v>
      </c>
      <c r="X5" s="9" t="s">
        <v>17</v>
      </c>
      <c r="AA5" s="9" t="s">
        <v>27</v>
      </c>
      <c r="AB5" s="9" t="s">
        <v>17</v>
      </c>
      <c r="AC5" s="9" t="s">
        <v>17</v>
      </c>
      <c r="AD5" s="9" t="s">
        <v>17</v>
      </c>
      <c r="AF5" s="9" t="s">
        <v>17</v>
      </c>
      <c r="AH5" s="9" t="s">
        <v>17</v>
      </c>
      <c r="AJ5" s="9" t="s">
        <v>17</v>
      </c>
      <c r="AK5" s="9" t="s">
        <v>17</v>
      </c>
      <c r="AL5" s="9" t="s">
        <v>17</v>
      </c>
      <c r="AN5" s="9" t="s">
        <v>17</v>
      </c>
      <c r="AKZ5" s="8"/>
      <c r="XDU5" s="8"/>
      <c r="XDV5" s="8"/>
      <c r="XDW5" s="1"/>
      <c r="XDX5" s="1"/>
      <c r="XDY5" s="1"/>
      <c r="XDZ5" s="1"/>
      <c r="XEA5" s="1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8"/>
      <c r="XFB5" s="8"/>
      <c r="XFC5" s="8"/>
      <c r="XFD5" s="8"/>
    </row>
    <row r="6" customFormat="false" ht="15" hidden="false" customHeight="false" outlineLevel="0" collapsed="false">
      <c r="A6" s="1" t="n">
        <v>4</v>
      </c>
      <c r="B6" s="1" t="s">
        <v>28</v>
      </c>
      <c r="C6" s="1" t="s">
        <v>29</v>
      </c>
      <c r="D6" s="1" t="s">
        <v>30</v>
      </c>
      <c r="E6" s="2" t="s">
        <v>16</v>
      </c>
      <c r="F6" s="2" t="s">
        <v>16</v>
      </c>
      <c r="G6" s="2" t="s">
        <v>16</v>
      </c>
      <c r="I6" s="2" t="s">
        <v>16</v>
      </c>
      <c r="J6" s="2" t="s">
        <v>16</v>
      </c>
      <c r="L6" s="2" t="s">
        <v>17</v>
      </c>
      <c r="M6" s="2" t="s">
        <v>16</v>
      </c>
      <c r="N6" s="2" t="s">
        <v>16</v>
      </c>
      <c r="O6" s="2"/>
      <c r="P6" s="2" t="s">
        <v>16</v>
      </c>
      <c r="Q6" s="2" t="n">
        <f aca="false">COUNTIF(E6:P6,"P")</f>
        <v>8</v>
      </c>
      <c r="R6" s="2" t="n">
        <f aca="false">COUNTIF(E6:P6,"M")</f>
        <v>0</v>
      </c>
      <c r="S6" s="2" t="n">
        <f aca="false">COUNTIF(E6:P6,"T")</f>
        <v>0</v>
      </c>
      <c r="T6" s="2" t="n">
        <f aca="false">COUNTIF(E6:P6,"A")</f>
        <v>1</v>
      </c>
      <c r="U6" s="2" t="n">
        <f aca="false">SUM(Q6:T6)</f>
        <v>9</v>
      </c>
      <c r="V6" s="5" t="n">
        <f aca="false">ROUND((Q6+R6/2+S6/4)*10/U6,0)</f>
        <v>9</v>
      </c>
      <c r="W6" s="2" t="s">
        <v>16</v>
      </c>
      <c r="X6" s="2" t="s">
        <v>16</v>
      </c>
      <c r="Z6" s="1" t="n">
        <v>4</v>
      </c>
      <c r="AA6" s="2" t="s">
        <v>16</v>
      </c>
      <c r="AB6" s="2" t="s">
        <v>16</v>
      </c>
      <c r="AC6" s="1" t="s">
        <v>16</v>
      </c>
      <c r="AD6" s="2" t="s">
        <v>16</v>
      </c>
      <c r="AF6" s="2" t="s">
        <v>16</v>
      </c>
      <c r="AH6" s="2" t="s">
        <v>16</v>
      </c>
      <c r="AJ6" s="2" t="s">
        <v>16</v>
      </c>
      <c r="AK6" s="2" t="s">
        <v>16</v>
      </c>
      <c r="AL6" s="2" t="s">
        <v>16</v>
      </c>
      <c r="AN6" s="6" t="s">
        <v>16</v>
      </c>
    </row>
    <row r="7" customFormat="false" ht="15" hidden="false" customHeight="false" outlineLevel="0" collapsed="false">
      <c r="A7" s="1" t="n">
        <v>5</v>
      </c>
      <c r="B7" s="1" t="s">
        <v>31</v>
      </c>
      <c r="C7" s="1" t="s">
        <v>32</v>
      </c>
      <c r="D7" s="1" t="s">
        <v>33</v>
      </c>
      <c r="E7" s="2" t="s">
        <v>16</v>
      </c>
      <c r="F7" s="2" t="s">
        <v>16</v>
      </c>
      <c r="G7" s="2" t="s">
        <v>16</v>
      </c>
      <c r="I7" s="2" t="s">
        <v>16</v>
      </c>
      <c r="J7" s="2" t="s">
        <v>16</v>
      </c>
      <c r="L7" s="2" t="s">
        <v>17</v>
      </c>
      <c r="M7" s="2" t="s">
        <v>16</v>
      </c>
      <c r="N7" s="2" t="s">
        <v>16</v>
      </c>
      <c r="O7" s="2" t="s">
        <v>34</v>
      </c>
      <c r="P7" s="2" t="s">
        <v>16</v>
      </c>
      <c r="Q7" s="2" t="n">
        <f aca="false">COUNTIF(E7:P7,"P")</f>
        <v>8</v>
      </c>
      <c r="R7" s="2" t="n">
        <f aca="false">COUNTIF(E7:P7,"M")</f>
        <v>0</v>
      </c>
      <c r="S7" s="2" t="n">
        <f aca="false">COUNTIF(E7:P7,"T")</f>
        <v>0</v>
      </c>
      <c r="T7" s="2" t="n">
        <f aca="false">COUNTIF(E7:P7,"A")</f>
        <v>1</v>
      </c>
      <c r="U7" s="2" t="n">
        <f aca="false">SUM(Q7:T7)</f>
        <v>9</v>
      </c>
      <c r="V7" s="5" t="n">
        <f aca="false">ROUND((Q7+R7/2+S7/4)*10/U7,0)</f>
        <v>9</v>
      </c>
      <c r="W7" s="2" t="s">
        <v>16</v>
      </c>
      <c r="X7" s="2" t="s">
        <v>35</v>
      </c>
      <c r="Z7" s="1" t="n">
        <v>1</v>
      </c>
      <c r="AA7" s="2" t="s">
        <v>16</v>
      </c>
      <c r="AB7" s="2" t="s">
        <v>16</v>
      </c>
      <c r="AC7" s="1" t="s">
        <v>17</v>
      </c>
      <c r="AD7" s="2" t="s">
        <v>16</v>
      </c>
      <c r="AF7" s="2" t="s">
        <v>16</v>
      </c>
      <c r="AH7" s="2" t="s">
        <v>16</v>
      </c>
      <c r="AJ7" s="2" t="s">
        <v>17</v>
      </c>
      <c r="AK7" s="2" t="s">
        <v>16</v>
      </c>
      <c r="AL7" s="2" t="s">
        <v>16</v>
      </c>
      <c r="AN7" s="6" t="s">
        <v>16</v>
      </c>
    </row>
    <row r="8" customFormat="false" ht="15" hidden="false" customHeight="false" outlineLevel="0" collapsed="false">
      <c r="A8" s="1" t="n">
        <v>6</v>
      </c>
      <c r="B8" s="1" t="s">
        <v>36</v>
      </c>
      <c r="C8" s="1" t="s">
        <v>37</v>
      </c>
      <c r="D8" s="1" t="s">
        <v>38</v>
      </c>
      <c r="E8" s="2" t="s">
        <v>16</v>
      </c>
      <c r="F8" s="2" t="s">
        <v>16</v>
      </c>
      <c r="G8" s="2" t="s">
        <v>16</v>
      </c>
      <c r="I8" s="2" t="s">
        <v>16</v>
      </c>
      <c r="J8" s="2" t="s">
        <v>16</v>
      </c>
      <c r="L8" s="2" t="s">
        <v>16</v>
      </c>
      <c r="M8" s="2" t="s">
        <v>16</v>
      </c>
      <c r="N8" s="2" t="s">
        <v>16</v>
      </c>
      <c r="O8" s="2"/>
      <c r="P8" s="2" t="s">
        <v>16</v>
      </c>
      <c r="Q8" s="2" t="n">
        <f aca="false">COUNTIF(E8:P8,"P")</f>
        <v>9</v>
      </c>
      <c r="R8" s="2" t="n">
        <f aca="false">COUNTIF(E8:P8,"M")</f>
        <v>0</v>
      </c>
      <c r="S8" s="2" t="n">
        <f aca="false">COUNTIF(E8:P8,"T")</f>
        <v>0</v>
      </c>
      <c r="T8" s="2" t="n">
        <f aca="false">COUNTIF(E8:P8,"A")</f>
        <v>0</v>
      </c>
      <c r="U8" s="2" t="n">
        <f aca="false">SUM(Q8:T8)</f>
        <v>9</v>
      </c>
      <c r="V8" s="5" t="n">
        <f aca="false">ROUND((Q8+R8/2+S8/4)*10/U8,0)</f>
        <v>10</v>
      </c>
      <c r="W8" s="2" t="s">
        <v>17</v>
      </c>
      <c r="X8" s="2" t="s">
        <v>16</v>
      </c>
      <c r="Z8" s="1" t="n">
        <v>1</v>
      </c>
      <c r="AA8" s="2" t="s">
        <v>16</v>
      </c>
      <c r="AB8" s="2" t="s">
        <v>16</v>
      </c>
      <c r="AC8" s="1" t="s">
        <v>17</v>
      </c>
      <c r="AD8" s="2" t="s">
        <v>16</v>
      </c>
      <c r="AF8" s="2" t="s">
        <v>16</v>
      </c>
      <c r="AH8" s="2" t="s">
        <v>16</v>
      </c>
      <c r="AJ8" s="2" t="s">
        <v>16</v>
      </c>
      <c r="AK8" s="2" t="s">
        <v>16</v>
      </c>
      <c r="AL8" s="2" t="s">
        <v>16</v>
      </c>
      <c r="AN8" s="6" t="s">
        <v>16</v>
      </c>
    </row>
    <row r="9" customFormat="false" ht="15" hidden="false" customHeight="false" outlineLevel="0" collapsed="false">
      <c r="A9" s="1" t="n">
        <v>7</v>
      </c>
      <c r="B9" s="1" t="s">
        <v>39</v>
      </c>
      <c r="C9" s="1" t="s">
        <v>40</v>
      </c>
      <c r="D9" s="1" t="s">
        <v>41</v>
      </c>
      <c r="E9" s="2" t="s">
        <v>16</v>
      </c>
      <c r="F9" s="2" t="s">
        <v>16</v>
      </c>
      <c r="G9" s="2" t="s">
        <v>16</v>
      </c>
      <c r="I9" s="2" t="s">
        <v>16</v>
      </c>
      <c r="J9" s="2" t="s">
        <v>16</v>
      </c>
      <c r="L9" s="2" t="s">
        <v>16</v>
      </c>
      <c r="M9" s="2" t="s">
        <v>16</v>
      </c>
      <c r="N9" s="2" t="s">
        <v>16</v>
      </c>
      <c r="O9" s="2"/>
      <c r="P9" s="2" t="s">
        <v>16</v>
      </c>
      <c r="Q9" s="2" t="n">
        <f aca="false">COUNTIF(E9:P9,"P")</f>
        <v>9</v>
      </c>
      <c r="R9" s="2" t="n">
        <f aca="false">COUNTIF(E9:P9,"M")</f>
        <v>0</v>
      </c>
      <c r="S9" s="2" t="n">
        <f aca="false">COUNTIF(E9:P9,"T")</f>
        <v>0</v>
      </c>
      <c r="T9" s="2" t="n">
        <f aca="false">COUNTIF(E9:P9,"A")</f>
        <v>0</v>
      </c>
      <c r="U9" s="2" t="n">
        <f aca="false">SUM(Q9:T9)</f>
        <v>9</v>
      </c>
      <c r="V9" s="5" t="n">
        <f aca="false">ROUND((Q9+R9/2+S9/4)*10/U9,0)</f>
        <v>10</v>
      </c>
      <c r="W9" s="2" t="s">
        <v>16</v>
      </c>
      <c r="X9" s="2" t="s">
        <v>19</v>
      </c>
      <c r="Y9" s="4" t="n">
        <v>0.534722222222222</v>
      </c>
      <c r="Z9" s="1" t="n">
        <v>2</v>
      </c>
      <c r="AA9" s="2" t="s">
        <v>16</v>
      </c>
      <c r="AB9" s="2" t="s">
        <v>16</v>
      </c>
      <c r="AC9" s="1" t="s">
        <v>16</v>
      </c>
      <c r="AD9" s="2" t="s">
        <v>17</v>
      </c>
      <c r="AF9" s="2" t="s">
        <v>17</v>
      </c>
      <c r="AH9" s="2" t="s">
        <v>17</v>
      </c>
      <c r="AJ9" s="2" t="s">
        <v>17</v>
      </c>
      <c r="AK9" s="2" t="s">
        <v>16</v>
      </c>
      <c r="AL9" s="2" t="s">
        <v>16</v>
      </c>
      <c r="AN9" s="6" t="s">
        <v>16</v>
      </c>
    </row>
    <row r="10" customFormat="false" ht="15" hidden="false" customHeight="false" outlineLevel="0" collapsed="false">
      <c r="A10" s="1" t="n">
        <v>8</v>
      </c>
      <c r="B10" s="1" t="s">
        <v>42</v>
      </c>
      <c r="C10" s="1" t="s">
        <v>43</v>
      </c>
      <c r="D10" s="1" t="s">
        <v>44</v>
      </c>
      <c r="E10" s="2" t="s">
        <v>16</v>
      </c>
      <c r="F10" s="2" t="s">
        <v>16</v>
      </c>
      <c r="G10" s="2" t="s">
        <v>16</v>
      </c>
      <c r="I10" s="2" t="s">
        <v>16</v>
      </c>
      <c r="J10" s="2" t="s">
        <v>16</v>
      </c>
      <c r="L10" s="2" t="s">
        <v>16</v>
      </c>
      <c r="M10" s="2" t="s">
        <v>16</v>
      </c>
      <c r="N10" s="2" t="s">
        <v>16</v>
      </c>
      <c r="O10" s="2"/>
      <c r="P10" s="2" t="s">
        <v>16</v>
      </c>
      <c r="Q10" s="2" t="n">
        <f aca="false">COUNTIF(E10:P10,"P")</f>
        <v>9</v>
      </c>
      <c r="R10" s="2" t="n">
        <f aca="false">COUNTIF(E10:P10,"M")</f>
        <v>0</v>
      </c>
      <c r="S10" s="2" t="n">
        <f aca="false">COUNTIF(E10:P10,"T")</f>
        <v>0</v>
      </c>
      <c r="T10" s="2" t="n">
        <f aca="false">COUNTIF(E10:P10,"A")</f>
        <v>0</v>
      </c>
      <c r="U10" s="2" t="n">
        <f aca="false">SUM(Q10:T10)</f>
        <v>9</v>
      </c>
      <c r="V10" s="5" t="n">
        <f aca="false">ROUND((Q10+R10/2+S10/4)*10/U10,0)</f>
        <v>10</v>
      </c>
      <c r="W10" s="2" t="s">
        <v>16</v>
      </c>
      <c r="X10" s="2" t="s">
        <v>16</v>
      </c>
      <c r="Z10" s="1" t="n">
        <v>3</v>
      </c>
      <c r="AA10" s="2" t="s">
        <v>16</v>
      </c>
      <c r="AB10" s="2" t="s">
        <v>16</v>
      </c>
      <c r="AC10" s="1" t="s">
        <v>16</v>
      </c>
      <c r="AD10" s="2" t="s">
        <v>16</v>
      </c>
      <c r="AF10" s="2" t="s">
        <v>16</v>
      </c>
      <c r="AH10" s="2" t="s">
        <v>16</v>
      </c>
      <c r="AJ10" s="2" t="s">
        <v>16</v>
      </c>
      <c r="AK10" s="2" t="s">
        <v>16</v>
      </c>
      <c r="AL10" s="2" t="s">
        <v>16</v>
      </c>
      <c r="AN10" s="6" t="s">
        <v>16</v>
      </c>
    </row>
    <row r="11" s="9" customFormat="true" ht="15" hidden="false" customHeight="false" outlineLevel="0" collapsed="false">
      <c r="A11" s="8" t="n">
        <v>9</v>
      </c>
      <c r="B11" s="8" t="s">
        <v>45</v>
      </c>
      <c r="C11" s="8" t="s">
        <v>46</v>
      </c>
      <c r="D11" s="8" t="s">
        <v>47</v>
      </c>
      <c r="E11" s="9" t="s">
        <v>16</v>
      </c>
      <c r="F11" s="9" t="s">
        <v>17</v>
      </c>
      <c r="G11" s="9" t="s">
        <v>17</v>
      </c>
      <c r="H11" s="9" t="s">
        <v>26</v>
      </c>
      <c r="I11" s="9" t="s">
        <v>17</v>
      </c>
      <c r="J11" s="9" t="s">
        <v>17</v>
      </c>
      <c r="L11" s="9" t="s">
        <v>17</v>
      </c>
      <c r="M11" s="9" t="s">
        <v>17</v>
      </c>
      <c r="N11" s="9" t="s">
        <v>17</v>
      </c>
      <c r="P11" s="9" t="s">
        <v>17</v>
      </c>
      <c r="Q11" s="9" t="n">
        <f aca="false">COUNTIF(E11:P11,"P")</f>
        <v>1</v>
      </c>
      <c r="R11" s="9" t="n">
        <f aca="false">COUNTIF(E11:P11,"M")</f>
        <v>0</v>
      </c>
      <c r="S11" s="9" t="n">
        <f aca="false">COUNTIF(E11:P11,"T")</f>
        <v>0</v>
      </c>
      <c r="T11" s="9" t="n">
        <f aca="false">COUNTIF(E11:P11,"A")</f>
        <v>8</v>
      </c>
      <c r="U11" s="9" t="n">
        <f aca="false">SUM(Q11:T11)</f>
        <v>9</v>
      </c>
      <c r="V11" s="10" t="n">
        <f aca="false">ROUND((Q11+R11/2+S11/4)*10/U11,0)</f>
        <v>1</v>
      </c>
      <c r="W11" s="9" t="s">
        <v>17</v>
      </c>
      <c r="X11" s="9" t="s">
        <v>17</v>
      </c>
      <c r="AA11" s="9" t="s">
        <v>17</v>
      </c>
      <c r="AB11" s="9" t="s">
        <v>17</v>
      </c>
      <c r="AC11" s="9" t="s">
        <v>17</v>
      </c>
      <c r="AD11" s="9" t="s">
        <v>17</v>
      </c>
      <c r="AF11" s="9" t="s">
        <v>17</v>
      </c>
      <c r="AH11" s="9" t="s">
        <v>17</v>
      </c>
      <c r="AJ11" s="9" t="s">
        <v>17</v>
      </c>
      <c r="AK11" s="9" t="s">
        <v>17</v>
      </c>
      <c r="AL11" s="9" t="s">
        <v>17</v>
      </c>
      <c r="AN11" s="9" t="s">
        <v>17</v>
      </c>
      <c r="AKZ11" s="8"/>
      <c r="XDU11" s="8"/>
      <c r="XDV11" s="8"/>
      <c r="XDW11" s="1"/>
      <c r="XDX11" s="1"/>
      <c r="XDY11" s="1"/>
      <c r="XDZ11" s="1"/>
      <c r="XEA11" s="1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  <c r="XEY11" s="8"/>
      <c r="XEZ11" s="8"/>
      <c r="XFA11" s="8"/>
      <c r="XFB11" s="8"/>
      <c r="XFC11" s="8"/>
      <c r="XFD11" s="8"/>
    </row>
    <row r="12" customFormat="false" ht="15" hidden="false" customHeight="false" outlineLevel="0" collapsed="false">
      <c r="A12" s="1" t="n">
        <v>10</v>
      </c>
      <c r="B12" s="1" t="s">
        <v>48</v>
      </c>
      <c r="C12" s="1" t="s">
        <v>49</v>
      </c>
      <c r="D12" s="1" t="s">
        <v>50</v>
      </c>
      <c r="E12" s="2" t="s">
        <v>16</v>
      </c>
      <c r="F12" s="2" t="s">
        <v>16</v>
      </c>
      <c r="G12" s="2" t="s">
        <v>16</v>
      </c>
      <c r="I12" s="2" t="s">
        <v>16</v>
      </c>
      <c r="J12" s="2" t="s">
        <v>19</v>
      </c>
      <c r="K12" s="4" t="n">
        <v>0.538194444444444</v>
      </c>
      <c r="L12" s="2" t="s">
        <v>16</v>
      </c>
      <c r="M12" s="2" t="s">
        <v>16</v>
      </c>
      <c r="N12" s="2" t="s">
        <v>16</v>
      </c>
      <c r="O12" s="2"/>
      <c r="P12" s="2" t="s">
        <v>16</v>
      </c>
      <c r="Q12" s="2" t="n">
        <f aca="false">COUNTIF(E12:P12,"P")</f>
        <v>8</v>
      </c>
      <c r="R12" s="2" t="n">
        <f aca="false">COUNTIF(E12:P12,"M")</f>
        <v>0</v>
      </c>
      <c r="S12" s="2" t="n">
        <f aca="false">COUNTIF(E12:P12,"T")</f>
        <v>1</v>
      </c>
      <c r="T12" s="2" t="n">
        <f aca="false">COUNTIF(E12:P12,"A")</f>
        <v>0</v>
      </c>
      <c r="U12" s="2" t="n">
        <f aca="false">SUM(Q12:T12)</f>
        <v>9</v>
      </c>
      <c r="V12" s="5" t="n">
        <f aca="false">ROUND((Q12+R12/2+S12/4)*10/U12,0)</f>
        <v>9</v>
      </c>
      <c r="W12" s="2" t="s">
        <v>16</v>
      </c>
      <c r="X12" s="2" t="s">
        <v>17</v>
      </c>
      <c r="Z12" s="1" t="n">
        <v>2</v>
      </c>
      <c r="AA12" s="2" t="s">
        <v>16</v>
      </c>
      <c r="AB12" s="2" t="s">
        <v>17</v>
      </c>
      <c r="AC12" s="1" t="s">
        <v>16</v>
      </c>
      <c r="AD12" s="2" t="s">
        <v>16</v>
      </c>
      <c r="AF12" s="2" t="s">
        <v>16</v>
      </c>
      <c r="AH12" s="2" t="s">
        <v>16</v>
      </c>
      <c r="AJ12" s="2" t="s">
        <v>16</v>
      </c>
      <c r="AK12" s="2" t="s">
        <v>16</v>
      </c>
      <c r="AL12" s="2" t="s">
        <v>17</v>
      </c>
      <c r="AN12" s="6" t="s">
        <v>16</v>
      </c>
    </row>
    <row r="13" customFormat="false" ht="15" hidden="false" customHeight="false" outlineLevel="0" collapsed="false">
      <c r="A13" s="1" t="n">
        <v>11</v>
      </c>
      <c r="B13" s="1" t="s">
        <v>51</v>
      </c>
      <c r="C13" s="1" t="s">
        <v>52</v>
      </c>
      <c r="D13" s="1" t="s">
        <v>53</v>
      </c>
      <c r="E13" s="2" t="s">
        <v>16</v>
      </c>
      <c r="F13" s="2" t="s">
        <v>17</v>
      </c>
      <c r="G13" s="2" t="s">
        <v>17</v>
      </c>
      <c r="I13" s="2" t="s">
        <v>16</v>
      </c>
      <c r="J13" s="2" t="s">
        <v>16</v>
      </c>
      <c r="L13" s="2" t="s">
        <v>16</v>
      </c>
      <c r="M13" s="2" t="s">
        <v>16</v>
      </c>
      <c r="N13" s="2" t="s">
        <v>17</v>
      </c>
      <c r="O13" s="2"/>
      <c r="P13" s="2" t="s">
        <v>17</v>
      </c>
      <c r="Q13" s="2" t="n">
        <f aca="false">COUNTIF(E13:P13,"P")</f>
        <v>5</v>
      </c>
      <c r="R13" s="2" t="n">
        <f aca="false">COUNTIF(E13:P13,"M")</f>
        <v>0</v>
      </c>
      <c r="S13" s="2" t="n">
        <f aca="false">COUNTIF(E13:P13,"T")</f>
        <v>0</v>
      </c>
      <c r="T13" s="2" t="n">
        <f aca="false">COUNTIF(E13:P13,"A")</f>
        <v>4</v>
      </c>
      <c r="U13" s="2" t="n">
        <f aca="false">SUM(Q13:T13)</f>
        <v>9</v>
      </c>
      <c r="V13" s="5" t="n">
        <f aca="false">ROUND((Q13+R13/2+S13/4)*10/U13,0)</f>
        <v>6</v>
      </c>
      <c r="W13" s="2" t="s">
        <v>17</v>
      </c>
      <c r="X13" s="2" t="s">
        <v>16</v>
      </c>
      <c r="Z13" s="1" t="n">
        <v>3</v>
      </c>
      <c r="AA13" s="2" t="s">
        <v>17</v>
      </c>
      <c r="AB13" s="2" t="s">
        <v>17</v>
      </c>
      <c r="AC13" s="1" t="s">
        <v>16</v>
      </c>
      <c r="AD13" s="2" t="s">
        <v>16</v>
      </c>
      <c r="AF13" s="2" t="s">
        <v>17</v>
      </c>
      <c r="AH13" s="2" t="s">
        <v>17</v>
      </c>
      <c r="AJ13" s="2" t="s">
        <v>16</v>
      </c>
      <c r="AK13" s="2" t="s">
        <v>16</v>
      </c>
      <c r="AL13" s="2" t="s">
        <v>19</v>
      </c>
      <c r="AM13" s="4" t="n">
        <v>0.548611111111111</v>
      </c>
      <c r="AN13" s="6" t="s">
        <v>16</v>
      </c>
    </row>
    <row r="14" customFormat="false" ht="15" hidden="false" customHeight="false" outlineLevel="0" collapsed="false">
      <c r="A14" s="1" t="n">
        <v>12</v>
      </c>
      <c r="B14" s="1" t="s">
        <v>54</v>
      </c>
      <c r="C14" s="1" t="s">
        <v>55</v>
      </c>
      <c r="D14" s="1" t="s">
        <v>56</v>
      </c>
      <c r="E14" s="2" t="s">
        <v>16</v>
      </c>
      <c r="F14" s="2" t="s">
        <v>16</v>
      </c>
      <c r="G14" s="2" t="s">
        <v>18</v>
      </c>
      <c r="H14" s="4" t="n">
        <v>0.520833333333333</v>
      </c>
      <c r="I14" s="2" t="s">
        <v>16</v>
      </c>
      <c r="J14" s="2" t="s">
        <v>16</v>
      </c>
      <c r="L14" s="2" t="s">
        <v>17</v>
      </c>
      <c r="M14" s="2" t="s">
        <v>17</v>
      </c>
      <c r="N14" s="2" t="s">
        <v>16</v>
      </c>
      <c r="O14" s="2"/>
      <c r="P14" s="2" t="s">
        <v>16</v>
      </c>
      <c r="Q14" s="2" t="n">
        <f aca="false">COUNTIF(E14:P14,"P")</f>
        <v>6</v>
      </c>
      <c r="R14" s="2" t="n">
        <f aca="false">COUNTIF(E14:P14,"M")</f>
        <v>1</v>
      </c>
      <c r="S14" s="2" t="n">
        <f aca="false">COUNTIF(E14:P14,"T")</f>
        <v>0</v>
      </c>
      <c r="T14" s="2" t="n">
        <f aca="false">COUNTIF(E14:P14,"A")</f>
        <v>2</v>
      </c>
      <c r="U14" s="2" t="n">
        <f aca="false">SUM(Q14:T14)</f>
        <v>9</v>
      </c>
      <c r="V14" s="5" t="n">
        <f aca="false">ROUND((Q14+R14/2+S14/4)*10/U14,0)</f>
        <v>7</v>
      </c>
      <c r="W14" s="2" t="s">
        <v>16</v>
      </c>
      <c r="X14" s="2" t="s">
        <v>16</v>
      </c>
      <c r="Z14" s="1" t="n">
        <v>4</v>
      </c>
      <c r="AA14" s="2" t="s">
        <v>16</v>
      </c>
      <c r="AB14" s="2" t="s">
        <v>16</v>
      </c>
      <c r="AC14" s="1" t="s">
        <v>17</v>
      </c>
      <c r="AD14" s="2" t="s">
        <v>17</v>
      </c>
      <c r="AF14" s="2" t="s">
        <v>16</v>
      </c>
      <c r="AH14" s="2" t="s">
        <v>16</v>
      </c>
      <c r="AJ14" s="2" t="s">
        <v>16</v>
      </c>
      <c r="AK14" s="2" t="s">
        <v>16</v>
      </c>
      <c r="AL14" s="2" t="s">
        <v>16</v>
      </c>
      <c r="AN14" s="6" t="s">
        <v>19</v>
      </c>
      <c r="AP14" s="7" t="n">
        <v>0.5625</v>
      </c>
    </row>
    <row r="15" s="2" customFormat="true" ht="15" hidden="false" customHeight="false" outlineLevel="0" collapsed="false">
      <c r="A15" s="1" t="n">
        <v>13</v>
      </c>
      <c r="B15" s="1" t="s">
        <v>57</v>
      </c>
      <c r="C15" s="1" t="s">
        <v>58</v>
      </c>
      <c r="D15" s="1" t="s">
        <v>59</v>
      </c>
      <c r="E15" s="2" t="s">
        <v>16</v>
      </c>
      <c r="F15" s="2" t="s">
        <v>16</v>
      </c>
      <c r="G15" s="2" t="s">
        <v>16</v>
      </c>
      <c r="I15" s="2" t="s">
        <v>16</v>
      </c>
      <c r="J15" s="2" t="s">
        <v>16</v>
      </c>
      <c r="L15" s="2" t="s">
        <v>16</v>
      </c>
      <c r="M15" s="2" t="s">
        <v>16</v>
      </c>
      <c r="N15" s="2" t="s">
        <v>16</v>
      </c>
      <c r="P15" s="2" t="s">
        <v>16</v>
      </c>
      <c r="Q15" s="1" t="n">
        <f aca="false">COUNTIF(E15:P15,"P")</f>
        <v>9</v>
      </c>
      <c r="R15" s="1" t="n">
        <f aca="false">COUNTIF(E15:P15,"M")</f>
        <v>0</v>
      </c>
      <c r="S15" s="1" t="n">
        <f aca="false">COUNTIF(E15:P15,"T")</f>
        <v>0</v>
      </c>
      <c r="T15" s="1" t="n">
        <f aca="false">COUNTIF(E15:P15,"A")</f>
        <v>0</v>
      </c>
      <c r="U15" s="1" t="n">
        <f aca="false">SUM(Q15:T15)</f>
        <v>9</v>
      </c>
      <c r="V15" s="5" t="n">
        <f aca="false">ROUND((Q15+R15/2+S15/4)*10/U15,0)</f>
        <v>10</v>
      </c>
      <c r="W15" s="2" t="s">
        <v>16</v>
      </c>
      <c r="X15" s="2" t="s">
        <v>16</v>
      </c>
      <c r="Z15" s="2" t="n">
        <v>3</v>
      </c>
      <c r="AA15" s="2" t="s">
        <v>16</v>
      </c>
      <c r="AB15" s="2" t="s">
        <v>16</v>
      </c>
      <c r="AC15" s="2" t="s">
        <v>16</v>
      </c>
      <c r="AD15" s="2" t="s">
        <v>19</v>
      </c>
      <c r="AE15" s="11" t="n">
        <v>0.541666666666667</v>
      </c>
      <c r="AF15" s="2" t="s">
        <v>16</v>
      </c>
      <c r="AH15" s="2" t="s">
        <v>16</v>
      </c>
      <c r="AJ15" s="2" t="s">
        <v>16</v>
      </c>
      <c r="AK15" s="2" t="s">
        <v>16</v>
      </c>
      <c r="AL15" s="2" t="s">
        <v>16</v>
      </c>
      <c r="AN15" s="2" t="s">
        <v>16</v>
      </c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XDU15" s="1"/>
      <c r="XDV15" s="1"/>
      <c r="XDW15" s="1"/>
      <c r="XDX15" s="1"/>
      <c r="XDY15" s="1"/>
      <c r="XDZ15" s="1"/>
      <c r="XEA15" s="1"/>
    </row>
    <row r="16" s="1" customFormat="true" ht="15" hidden="false" customHeight="false" outlineLevel="0" collapsed="false">
      <c r="A16" s="1" t="n">
        <v>14</v>
      </c>
      <c r="B16" s="1" t="s">
        <v>60</v>
      </c>
      <c r="C16" s="1" t="s">
        <v>61</v>
      </c>
      <c r="D16" s="1" t="s">
        <v>62</v>
      </c>
      <c r="E16" s="2" t="s">
        <v>16</v>
      </c>
      <c r="F16" s="1" t="s">
        <v>17</v>
      </c>
      <c r="G16" s="1" t="s">
        <v>16</v>
      </c>
      <c r="I16" s="1" t="s">
        <v>16</v>
      </c>
      <c r="J16" s="1" t="s">
        <v>16</v>
      </c>
      <c r="L16" s="1" t="s">
        <v>16</v>
      </c>
      <c r="M16" s="2" t="s">
        <v>16</v>
      </c>
      <c r="N16" s="1" t="s">
        <v>16</v>
      </c>
      <c r="P16" s="1" t="s">
        <v>16</v>
      </c>
      <c r="Q16" s="1" t="n">
        <f aca="false">COUNTIF(E16:P16,"P")</f>
        <v>8</v>
      </c>
      <c r="R16" s="1" t="n">
        <f aca="false">COUNTIF(E16:P16,"M")</f>
        <v>0</v>
      </c>
      <c r="S16" s="1" t="n">
        <f aca="false">COUNTIF(E16:P16,"T")</f>
        <v>0</v>
      </c>
      <c r="T16" s="1" t="n">
        <f aca="false">COUNTIF(E16:P16,"A")</f>
        <v>1</v>
      </c>
      <c r="U16" s="1" t="n">
        <f aca="false">SUM(Q16:T16)</f>
        <v>9</v>
      </c>
      <c r="V16" s="5" t="n">
        <f aca="false">ROUND((Q16+R16/2+S16/4)*10/U16,0)</f>
        <v>9</v>
      </c>
      <c r="W16" s="1" t="s">
        <v>17</v>
      </c>
      <c r="X16" s="1" t="s">
        <v>16</v>
      </c>
      <c r="Z16" s="1" t="n">
        <v>4</v>
      </c>
      <c r="AA16" s="1" t="s">
        <v>17</v>
      </c>
      <c r="AB16" s="1" t="s">
        <v>16</v>
      </c>
      <c r="AC16" s="1" t="s">
        <v>16</v>
      </c>
      <c r="AD16" s="1" t="s">
        <v>16</v>
      </c>
      <c r="AF16" s="1" t="s">
        <v>19</v>
      </c>
      <c r="AG16" s="4" t="n">
        <v>0.534722222222222</v>
      </c>
      <c r="AH16" s="1" t="s">
        <v>16</v>
      </c>
      <c r="AJ16" s="1" t="s">
        <v>16</v>
      </c>
      <c r="AK16" s="1" t="s">
        <v>16</v>
      </c>
      <c r="AL16" s="1" t="s">
        <v>16</v>
      </c>
      <c r="AN16" s="1" t="s">
        <v>16</v>
      </c>
    </row>
    <row r="17" s="1" customFormat="true" ht="15" hidden="false" customHeight="false" outlineLevel="0" collapsed="false">
      <c r="A17" s="1" t="n">
        <v>15</v>
      </c>
      <c r="B17" s="1" t="s">
        <v>63</v>
      </c>
      <c r="C17" s="1" t="s">
        <v>64</v>
      </c>
      <c r="D17" s="1" t="s">
        <v>65</v>
      </c>
      <c r="E17" s="2" t="s">
        <v>16</v>
      </c>
      <c r="F17" s="1" t="s">
        <v>16</v>
      </c>
      <c r="G17" s="1" t="s">
        <v>16</v>
      </c>
      <c r="I17" s="1" t="s">
        <v>16</v>
      </c>
      <c r="J17" s="1" t="s">
        <v>16</v>
      </c>
      <c r="L17" s="1" t="s">
        <v>16</v>
      </c>
      <c r="M17" s="2" t="s">
        <v>16</v>
      </c>
      <c r="N17" s="1" t="s">
        <v>16</v>
      </c>
      <c r="P17" s="1" t="s">
        <v>16</v>
      </c>
      <c r="Q17" s="1" t="n">
        <f aca="false">COUNTIF(E17:P17,"P")</f>
        <v>9</v>
      </c>
      <c r="R17" s="1" t="n">
        <f aca="false">COUNTIF(E17:P17,"M")</f>
        <v>0</v>
      </c>
      <c r="S17" s="1" t="n">
        <f aca="false">COUNTIF(E17:P17,"T")</f>
        <v>0</v>
      </c>
      <c r="T17" s="1" t="n">
        <f aca="false">COUNTIF(E17:P17,"A")</f>
        <v>0</v>
      </c>
      <c r="U17" s="1" t="n">
        <f aca="false">SUM(Q17:T17)</f>
        <v>9</v>
      </c>
      <c r="V17" s="5" t="n">
        <f aca="false">ROUND((Q17+R17/2+S17/4)*10/U17,0)</f>
        <v>10</v>
      </c>
      <c r="W17" s="1" t="s">
        <v>16</v>
      </c>
      <c r="X17" s="1" t="s">
        <v>16</v>
      </c>
      <c r="Z17" s="1" t="n">
        <v>2</v>
      </c>
      <c r="AA17" s="1" t="s">
        <v>17</v>
      </c>
      <c r="AB17" s="1" t="s">
        <v>16</v>
      </c>
      <c r="AC17" s="1" t="s">
        <v>16</v>
      </c>
      <c r="AD17" s="1" t="s">
        <v>16</v>
      </c>
      <c r="AF17" s="1" t="s">
        <v>16</v>
      </c>
      <c r="AH17" s="1" t="s">
        <v>16</v>
      </c>
      <c r="AJ17" s="1" t="s">
        <v>16</v>
      </c>
      <c r="AK17" s="1" t="s">
        <v>16</v>
      </c>
      <c r="AL17" s="1" t="s">
        <v>17</v>
      </c>
      <c r="AN17" s="1" t="s">
        <v>16</v>
      </c>
    </row>
    <row r="18" s="2" customFormat="true" ht="15" hidden="false" customHeight="false" outlineLevel="0" collapsed="false">
      <c r="A18" s="1" t="n">
        <v>16</v>
      </c>
      <c r="B18" s="1" t="s">
        <v>66</v>
      </c>
      <c r="C18" s="1" t="s">
        <v>67</v>
      </c>
      <c r="D18" s="1" t="s">
        <v>68</v>
      </c>
      <c r="E18" s="2" t="s">
        <v>16</v>
      </c>
      <c r="F18" s="2" t="s">
        <v>16</v>
      </c>
      <c r="G18" s="2" t="s">
        <v>16</v>
      </c>
      <c r="I18" s="2" t="s">
        <v>16</v>
      </c>
      <c r="J18" s="2" t="s">
        <v>16</v>
      </c>
      <c r="L18" s="2" t="s">
        <v>16</v>
      </c>
      <c r="M18" s="2" t="s">
        <v>16</v>
      </c>
      <c r="N18" s="2" t="s">
        <v>16</v>
      </c>
      <c r="P18" s="2" t="s">
        <v>16</v>
      </c>
      <c r="Q18" s="1" t="n">
        <f aca="false">COUNTIF(E18:P18,"P")</f>
        <v>9</v>
      </c>
      <c r="R18" s="1" t="n">
        <f aca="false">COUNTIF(E18:P18,"M")</f>
        <v>0</v>
      </c>
      <c r="S18" s="1" t="n">
        <f aca="false">COUNTIF(E18:P18,"T")</f>
        <v>0</v>
      </c>
      <c r="T18" s="1" t="n">
        <f aca="false">COUNTIF(E18:P18,"A")</f>
        <v>0</v>
      </c>
      <c r="U18" s="1" t="n">
        <f aca="false">SUM(Q18:T18)</f>
        <v>9</v>
      </c>
      <c r="V18" s="5" t="n">
        <f aca="false">ROUND((Q18+R18/2+S18/4)*10/U18,0)</f>
        <v>10</v>
      </c>
      <c r="W18" s="2" t="s">
        <v>69</v>
      </c>
      <c r="X18" s="2" t="s">
        <v>16</v>
      </c>
      <c r="Z18" s="2" t="n">
        <v>1</v>
      </c>
      <c r="AA18" s="2" t="s">
        <v>16</v>
      </c>
      <c r="AB18" s="2" t="s">
        <v>16</v>
      </c>
      <c r="AC18" s="2" t="s">
        <v>16</v>
      </c>
      <c r="AD18" s="2" t="s">
        <v>16</v>
      </c>
      <c r="AF18" s="2" t="s">
        <v>16</v>
      </c>
      <c r="AH18" s="2" t="s">
        <v>16</v>
      </c>
      <c r="AJ18" s="2" t="s">
        <v>16</v>
      </c>
      <c r="AK18" s="2" t="s">
        <v>16</v>
      </c>
      <c r="AL18" s="2" t="s">
        <v>17</v>
      </c>
      <c r="AN18" s="2" t="s">
        <v>16</v>
      </c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XDU18" s="1"/>
      <c r="XDV18" s="1"/>
      <c r="XDW18" s="1"/>
      <c r="XDX18" s="1"/>
      <c r="XDY18" s="1"/>
      <c r="XDZ18" s="1"/>
      <c r="XEA18" s="1"/>
    </row>
    <row r="19" s="2" customFormat="true" ht="15" hidden="false" customHeight="false" outlineLevel="0" collapsed="false">
      <c r="A19" s="1" t="n">
        <v>17</v>
      </c>
      <c r="B19" s="1" t="s">
        <v>70</v>
      </c>
      <c r="C19" s="1" t="s">
        <v>71</v>
      </c>
      <c r="D19" s="1" t="s">
        <v>72</v>
      </c>
      <c r="E19" s="2" t="s">
        <v>16</v>
      </c>
      <c r="F19" s="2" t="s">
        <v>16</v>
      </c>
      <c r="G19" s="2" t="s">
        <v>16</v>
      </c>
      <c r="I19" s="2" t="s">
        <v>16</v>
      </c>
      <c r="J19" s="2" t="s">
        <v>16</v>
      </c>
      <c r="L19" s="2" t="s">
        <v>16</v>
      </c>
      <c r="M19" s="2" t="s">
        <v>16</v>
      </c>
      <c r="N19" s="2" t="s">
        <v>16</v>
      </c>
      <c r="P19" s="2" t="s">
        <v>16</v>
      </c>
      <c r="Q19" s="1" t="n">
        <f aca="false">COUNTIF(E19:P19,"P")</f>
        <v>9</v>
      </c>
      <c r="R19" s="1" t="n">
        <f aca="false">COUNTIF(E19:P19,"M")</f>
        <v>0</v>
      </c>
      <c r="S19" s="1" t="n">
        <f aca="false">COUNTIF(E19:P19,"T")</f>
        <v>0</v>
      </c>
      <c r="T19" s="1" t="n">
        <f aca="false">COUNTIF(E19:P19,"A")</f>
        <v>0</v>
      </c>
      <c r="U19" s="1" t="n">
        <f aca="false">SUM(Q19:T19)</f>
        <v>9</v>
      </c>
      <c r="V19" s="5" t="n">
        <f aca="false">ROUND((Q19+R19/2+S19/4)*10/U19,0)</f>
        <v>10</v>
      </c>
      <c r="W19" s="2" t="s">
        <v>17</v>
      </c>
      <c r="X19" s="2" t="s">
        <v>16</v>
      </c>
      <c r="Z19" s="2" t="n">
        <v>1</v>
      </c>
      <c r="AA19" s="2" t="s">
        <v>16</v>
      </c>
      <c r="AB19" s="2" t="s">
        <v>16</v>
      </c>
      <c r="AC19" s="2" t="s">
        <v>17</v>
      </c>
      <c r="AD19" s="2" t="s">
        <v>16</v>
      </c>
      <c r="AF19" s="2" t="s">
        <v>16</v>
      </c>
      <c r="AH19" s="2" t="s">
        <v>16</v>
      </c>
      <c r="AJ19" s="2" t="s">
        <v>16</v>
      </c>
      <c r="AK19" s="2" t="s">
        <v>17</v>
      </c>
      <c r="AL19" s="2" t="s">
        <v>16</v>
      </c>
      <c r="AN19" s="2" t="s">
        <v>16</v>
      </c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XDU19" s="1"/>
      <c r="XDV19" s="1"/>
      <c r="XDW19" s="1"/>
      <c r="XDX19" s="1"/>
      <c r="XDY19" s="1"/>
      <c r="XDZ19" s="1"/>
      <c r="XEA19" s="1"/>
    </row>
    <row r="20" s="1" customFormat="true" ht="15" hidden="false" customHeight="false" outlineLevel="0" collapsed="false">
      <c r="A20" s="1" t="n">
        <v>18</v>
      </c>
      <c r="B20" s="1" t="s">
        <v>73</v>
      </c>
      <c r="C20" s="1" t="s">
        <v>74</v>
      </c>
      <c r="D20" s="1" t="s">
        <v>75</v>
      </c>
      <c r="E20" s="2" t="s">
        <v>16</v>
      </c>
      <c r="F20" s="1" t="s">
        <v>16</v>
      </c>
      <c r="G20" s="1" t="s">
        <v>16</v>
      </c>
      <c r="I20" s="1" t="s">
        <v>16</v>
      </c>
      <c r="J20" s="1" t="s">
        <v>16</v>
      </c>
      <c r="L20" s="1" t="s">
        <v>16</v>
      </c>
      <c r="M20" s="2" t="s">
        <v>16</v>
      </c>
      <c r="N20" s="1" t="s">
        <v>16</v>
      </c>
      <c r="P20" s="1" t="s">
        <v>16</v>
      </c>
      <c r="Q20" s="1" t="n">
        <f aca="false">COUNTIF(E20:P20,"P")</f>
        <v>9</v>
      </c>
      <c r="R20" s="1" t="n">
        <f aca="false">COUNTIF(E20:P20,"M")</f>
        <v>0</v>
      </c>
      <c r="S20" s="1" t="n">
        <f aca="false">COUNTIF(E20:P20,"T")</f>
        <v>0</v>
      </c>
      <c r="T20" s="1" t="n">
        <f aca="false">COUNTIF(E20:P20,"A")</f>
        <v>0</v>
      </c>
      <c r="U20" s="1" t="n">
        <f aca="false">SUM(Q20:T20)</f>
        <v>9</v>
      </c>
      <c r="V20" s="5" t="n">
        <f aca="false">ROUND((Q20+R20/2+S20/4)*10/U20,0)</f>
        <v>10</v>
      </c>
      <c r="W20" s="1" t="s">
        <v>16</v>
      </c>
      <c r="X20" s="1" t="s">
        <v>16</v>
      </c>
      <c r="Z20" s="1" t="n">
        <v>4</v>
      </c>
      <c r="AA20" s="1" t="s">
        <v>16</v>
      </c>
      <c r="AB20" s="1" t="s">
        <v>16</v>
      </c>
      <c r="AC20" s="1" t="s">
        <v>16</v>
      </c>
      <c r="AD20" s="1" t="s">
        <v>16</v>
      </c>
      <c r="AF20" s="1" t="s">
        <v>16</v>
      </c>
      <c r="AH20" s="1" t="s">
        <v>16</v>
      </c>
      <c r="AJ20" s="1" t="s">
        <v>16</v>
      </c>
      <c r="AK20" s="1" t="s">
        <v>16</v>
      </c>
      <c r="AL20" s="1" t="s">
        <v>16</v>
      </c>
      <c r="AN20" s="1" t="s">
        <v>16</v>
      </c>
    </row>
    <row r="21" customFormat="false" ht="15" hidden="false" customHeight="false" outlineLevel="0" collapsed="false">
      <c r="A21" s="1" t="n">
        <v>19</v>
      </c>
      <c r="B21" s="1" t="s">
        <v>76</v>
      </c>
      <c r="C21" s="1" t="s">
        <v>77</v>
      </c>
      <c r="D21" s="1" t="s">
        <v>78</v>
      </c>
      <c r="E21" s="2" t="s">
        <v>16</v>
      </c>
      <c r="F21" s="2" t="s">
        <v>16</v>
      </c>
      <c r="G21" s="2" t="s">
        <v>16</v>
      </c>
      <c r="I21" s="2" t="s">
        <v>16</v>
      </c>
      <c r="J21" s="2" t="s">
        <v>19</v>
      </c>
      <c r="K21" s="4" t="n">
        <v>0.538194444444444</v>
      </c>
      <c r="L21" s="2" t="s">
        <v>16</v>
      </c>
      <c r="M21" s="2" t="s">
        <v>16</v>
      </c>
      <c r="N21" s="2" t="s">
        <v>17</v>
      </c>
      <c r="O21" s="2"/>
      <c r="P21" s="2" t="s">
        <v>16</v>
      </c>
      <c r="Q21" s="2" t="n">
        <f aca="false">COUNTIF(E21:P21,"P")</f>
        <v>7</v>
      </c>
      <c r="R21" s="2" t="n">
        <f aca="false">COUNTIF(E21:P21,"M")</f>
        <v>0</v>
      </c>
      <c r="S21" s="2" t="n">
        <f aca="false">COUNTIF(E21:P21,"T")</f>
        <v>1</v>
      </c>
      <c r="T21" s="2" t="n">
        <f aca="false">COUNTIF(E21:P21,"A")</f>
        <v>1</v>
      </c>
      <c r="U21" s="2" t="n">
        <f aca="false">SUM(Q21:T21)</f>
        <v>9</v>
      </c>
      <c r="V21" s="5" t="n">
        <f aca="false">ROUND((Q21+R21/2+S21/4)*10/U21,0)</f>
        <v>8</v>
      </c>
      <c r="W21" s="2" t="s">
        <v>16</v>
      </c>
      <c r="X21" s="2" t="s">
        <v>16</v>
      </c>
      <c r="Z21" s="1" t="n">
        <v>2</v>
      </c>
      <c r="AA21" s="2" t="s">
        <v>16</v>
      </c>
      <c r="AB21" s="2" t="s">
        <v>17</v>
      </c>
      <c r="AC21" s="1" t="s">
        <v>17</v>
      </c>
      <c r="AD21" s="2" t="s">
        <v>16</v>
      </c>
      <c r="AF21" s="2" t="s">
        <v>17</v>
      </c>
      <c r="AH21" s="2" t="s">
        <v>16</v>
      </c>
      <c r="AJ21" s="2" t="s">
        <v>16</v>
      </c>
      <c r="AK21" s="2" t="s">
        <v>16</v>
      </c>
      <c r="AL21" s="2" t="s">
        <v>16</v>
      </c>
      <c r="AN21" s="6" t="s">
        <v>16</v>
      </c>
    </row>
    <row r="22" s="9" customFormat="true" ht="15" hidden="false" customHeight="false" outlineLevel="0" collapsed="false">
      <c r="A22" s="8" t="n">
        <v>20</v>
      </c>
      <c r="B22" s="8" t="s">
        <v>79</v>
      </c>
      <c r="C22" s="8" t="s">
        <v>80</v>
      </c>
      <c r="D22" s="8" t="s">
        <v>81</v>
      </c>
      <c r="E22" s="9" t="s">
        <v>16</v>
      </c>
      <c r="F22" s="9" t="s">
        <v>16</v>
      </c>
      <c r="G22" s="9" t="s">
        <v>17</v>
      </c>
      <c r="H22" s="9" t="s">
        <v>26</v>
      </c>
      <c r="I22" s="9" t="s">
        <v>16</v>
      </c>
      <c r="J22" s="9" t="s">
        <v>17</v>
      </c>
      <c r="L22" s="9" t="s">
        <v>17</v>
      </c>
      <c r="M22" s="9" t="s">
        <v>16</v>
      </c>
      <c r="N22" s="9" t="s">
        <v>17</v>
      </c>
      <c r="P22" s="9" t="s">
        <v>16</v>
      </c>
      <c r="Q22" s="9" t="n">
        <f aca="false">COUNTIF(E22:P22,"P")</f>
        <v>5</v>
      </c>
      <c r="R22" s="9" t="n">
        <f aca="false">COUNTIF(E22:P22,"M")</f>
        <v>0</v>
      </c>
      <c r="S22" s="9" t="n">
        <f aca="false">COUNTIF(E22:P22,"T")</f>
        <v>0</v>
      </c>
      <c r="T22" s="9" t="n">
        <f aca="false">COUNTIF(E22:P22,"A")</f>
        <v>4</v>
      </c>
      <c r="U22" s="9" t="n">
        <f aca="false">SUM(Q22:T22)</f>
        <v>9</v>
      </c>
      <c r="V22" s="10" t="n">
        <f aca="false">ROUND((Q22+R22/2+S22/4)*10/U22,0)</f>
        <v>6</v>
      </c>
      <c r="W22" s="9" t="s">
        <v>17</v>
      </c>
      <c r="X22" s="9" t="s">
        <v>17</v>
      </c>
      <c r="AA22" s="9" t="s">
        <v>17</v>
      </c>
      <c r="AB22" s="9" t="s">
        <v>17</v>
      </c>
      <c r="AC22" s="9" t="s">
        <v>17</v>
      </c>
      <c r="AD22" s="9" t="s">
        <v>17</v>
      </c>
      <c r="AF22" s="9" t="s">
        <v>17</v>
      </c>
      <c r="AH22" s="9" t="s">
        <v>17</v>
      </c>
      <c r="AJ22" s="9" t="s">
        <v>17</v>
      </c>
      <c r="AL22" s="9" t="s">
        <v>17</v>
      </c>
      <c r="AN22" s="9" t="s">
        <v>17</v>
      </c>
      <c r="AKZ22" s="8"/>
      <c r="XDU22" s="8"/>
      <c r="XDV22" s="8"/>
      <c r="XDW22" s="1"/>
      <c r="XDX22" s="1"/>
      <c r="XDY22" s="1"/>
      <c r="XDZ22" s="1"/>
      <c r="XEA22" s="1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8"/>
    </row>
    <row r="23" customFormat="false" ht="15" hidden="false" customHeight="false" outlineLevel="0" collapsed="false">
      <c r="A23" s="1" t="n">
        <v>21</v>
      </c>
      <c r="B23" s="1" t="s">
        <v>82</v>
      </c>
      <c r="C23" s="1" t="s">
        <v>83</v>
      </c>
      <c r="D23" s="1" t="s">
        <v>84</v>
      </c>
      <c r="E23" s="2" t="s">
        <v>16</v>
      </c>
      <c r="F23" s="2" t="s">
        <v>16</v>
      </c>
      <c r="G23" s="2" t="s">
        <v>16</v>
      </c>
      <c r="I23" s="2" t="s">
        <v>16</v>
      </c>
      <c r="J23" s="2" t="s">
        <v>19</v>
      </c>
      <c r="K23" s="4" t="n">
        <v>0.534722222222222</v>
      </c>
      <c r="L23" s="2" t="s">
        <v>16</v>
      </c>
      <c r="M23" s="2" t="s">
        <v>16</v>
      </c>
      <c r="N23" s="2" t="s">
        <v>16</v>
      </c>
      <c r="O23" s="2"/>
      <c r="P23" s="2" t="s">
        <v>17</v>
      </c>
      <c r="Q23" s="2" t="n">
        <f aca="false">COUNTIF(E23:P23,"P")</f>
        <v>7</v>
      </c>
      <c r="R23" s="2" t="n">
        <f aca="false">COUNTIF(E23:P23,"M")</f>
        <v>0</v>
      </c>
      <c r="S23" s="2" t="n">
        <f aca="false">COUNTIF(E23:P23,"T")</f>
        <v>1</v>
      </c>
      <c r="T23" s="2" t="n">
        <f aca="false">COUNTIF(E23:P23,"A")</f>
        <v>1</v>
      </c>
      <c r="U23" s="2" t="n">
        <f aca="false">SUM(Q23:T23)</f>
        <v>9</v>
      </c>
      <c r="V23" s="5" t="n">
        <f aca="false">ROUND((Q23+R23/2+S23/4)*10/U23,0)</f>
        <v>8</v>
      </c>
      <c r="W23" s="2" t="s">
        <v>17</v>
      </c>
      <c r="X23" s="2" t="s">
        <v>16</v>
      </c>
      <c r="Z23" s="1" t="n">
        <v>3</v>
      </c>
      <c r="AA23" s="2" t="s">
        <v>17</v>
      </c>
      <c r="AB23" s="2" t="s">
        <v>16</v>
      </c>
      <c r="AC23" s="1" t="s">
        <v>17</v>
      </c>
      <c r="AD23" s="2" t="s">
        <v>17</v>
      </c>
      <c r="AF23" s="2" t="s">
        <v>17</v>
      </c>
      <c r="AH23" s="2" t="s">
        <v>17</v>
      </c>
      <c r="AJ23" s="2" t="s">
        <v>17</v>
      </c>
      <c r="AL23" s="2" t="s">
        <v>16</v>
      </c>
      <c r="AN23" s="6" t="s">
        <v>19</v>
      </c>
      <c r="AP23" s="7" t="n">
        <v>0.541666666666667</v>
      </c>
    </row>
    <row r="24" s="2" customFormat="true" ht="15" hidden="false" customHeight="false" outlineLevel="0" collapsed="false">
      <c r="A24" s="1" t="n">
        <v>22</v>
      </c>
      <c r="B24" s="1" t="s">
        <v>85</v>
      </c>
      <c r="C24" s="1" t="s">
        <v>86</v>
      </c>
      <c r="D24" s="1" t="s">
        <v>87</v>
      </c>
      <c r="E24" s="2" t="s">
        <v>16</v>
      </c>
      <c r="F24" s="2" t="s">
        <v>16</v>
      </c>
      <c r="G24" s="2" t="s">
        <v>16</v>
      </c>
      <c r="I24" s="2" t="s">
        <v>16</v>
      </c>
      <c r="J24" s="2" t="s">
        <v>16</v>
      </c>
      <c r="L24" s="2" t="s">
        <v>16</v>
      </c>
      <c r="M24" s="2" t="s">
        <v>16</v>
      </c>
      <c r="N24" s="2" t="s">
        <v>16</v>
      </c>
      <c r="P24" s="2" t="s">
        <v>16</v>
      </c>
      <c r="Q24" s="1" t="n">
        <f aca="false">COUNTIF(E24:P24,"P")</f>
        <v>9</v>
      </c>
      <c r="R24" s="1" t="n">
        <f aca="false">COUNTIF(E24:P24,"M")</f>
        <v>0</v>
      </c>
      <c r="S24" s="1" t="n">
        <f aca="false">COUNTIF(E24:P24,"T")</f>
        <v>0</v>
      </c>
      <c r="T24" s="1" t="n">
        <f aca="false">COUNTIF(E24:P24,"A")</f>
        <v>0</v>
      </c>
      <c r="U24" s="1" t="n">
        <f aca="false">SUM(Q24:T24)</f>
        <v>9</v>
      </c>
      <c r="V24" s="5" t="n">
        <f aca="false">ROUND((Q24+R24/2+S24/4)*10/U24,0)</f>
        <v>10</v>
      </c>
      <c r="W24" s="2" t="s">
        <v>16</v>
      </c>
      <c r="X24" s="2" t="s">
        <v>16</v>
      </c>
      <c r="Z24" s="2" t="n">
        <v>4</v>
      </c>
      <c r="AA24" s="2" t="s">
        <v>16</v>
      </c>
      <c r="AB24" s="2" t="s">
        <v>16</v>
      </c>
      <c r="AC24" s="2" t="s">
        <v>16</v>
      </c>
      <c r="AD24" s="2" t="s">
        <v>16</v>
      </c>
      <c r="AF24" s="2" t="s">
        <v>16</v>
      </c>
      <c r="AH24" s="2" t="s">
        <v>16</v>
      </c>
      <c r="AJ24" s="2" t="s">
        <v>16</v>
      </c>
      <c r="AL24" s="2" t="s">
        <v>16</v>
      </c>
      <c r="AN24" s="2" t="s">
        <v>16</v>
      </c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XDU24" s="1"/>
      <c r="XDV24" s="1"/>
      <c r="XDW24" s="1"/>
      <c r="XDX24" s="1"/>
      <c r="XDY24" s="1"/>
      <c r="XDZ24" s="1"/>
      <c r="XEA24" s="1"/>
    </row>
    <row r="25" customFormat="false" ht="15" hidden="false" customHeight="false" outlineLevel="0" collapsed="false">
      <c r="A25" s="1" t="n">
        <v>23</v>
      </c>
      <c r="B25" s="1" t="s">
        <v>88</v>
      </c>
      <c r="C25" s="1" t="s">
        <v>89</v>
      </c>
      <c r="D25" s="1" t="s">
        <v>90</v>
      </c>
      <c r="E25" s="2" t="s">
        <v>16</v>
      </c>
      <c r="F25" s="2" t="s">
        <v>16</v>
      </c>
      <c r="G25" s="2" t="s">
        <v>19</v>
      </c>
      <c r="H25" s="4" t="n">
        <v>0.583333333333333</v>
      </c>
      <c r="I25" s="2" t="s">
        <v>17</v>
      </c>
      <c r="J25" s="2" t="s">
        <v>16</v>
      </c>
      <c r="L25" s="2" t="s">
        <v>16</v>
      </c>
      <c r="M25" s="2" t="s">
        <v>16</v>
      </c>
      <c r="N25" s="2" t="s">
        <v>17</v>
      </c>
      <c r="O25" s="2"/>
      <c r="P25" s="2" t="s">
        <v>16</v>
      </c>
      <c r="Q25" s="2" t="n">
        <f aca="false">COUNTIF(E25:P25,"P")</f>
        <v>6</v>
      </c>
      <c r="R25" s="2" t="n">
        <f aca="false">COUNTIF(E25:P25,"M")</f>
        <v>0</v>
      </c>
      <c r="S25" s="2" t="n">
        <f aca="false">COUNTIF(E25:P25,"T")</f>
        <v>1</v>
      </c>
      <c r="T25" s="2" t="n">
        <f aca="false">COUNTIF(E25:P25,"A")</f>
        <v>2</v>
      </c>
      <c r="U25" s="2" t="n">
        <f aca="false">SUM(Q25:T25)</f>
        <v>9</v>
      </c>
      <c r="V25" s="5" t="n">
        <f aca="false">ROUND((Q25+R25/2+S25/4)*10/U25,0)</f>
        <v>7</v>
      </c>
      <c r="W25" s="2" t="s">
        <v>17</v>
      </c>
      <c r="X25" s="2" t="s">
        <v>17</v>
      </c>
      <c r="Z25" s="1" t="n">
        <v>1</v>
      </c>
      <c r="AA25" s="2" t="s">
        <v>16</v>
      </c>
      <c r="AB25" s="2" t="s">
        <v>16</v>
      </c>
      <c r="AC25" s="1" t="s">
        <v>17</v>
      </c>
      <c r="AD25" s="2" t="s">
        <v>16</v>
      </c>
      <c r="AF25" s="2" t="s">
        <v>19</v>
      </c>
      <c r="AG25" s="4" t="n">
        <v>0.5625</v>
      </c>
      <c r="AH25" s="2" t="s">
        <v>17</v>
      </c>
      <c r="AJ25" s="2" t="s">
        <v>16</v>
      </c>
      <c r="AL25" s="2" t="s">
        <v>19</v>
      </c>
      <c r="AM25" s="4" t="n">
        <v>0.548611111111111</v>
      </c>
      <c r="AN25" s="6" t="s">
        <v>16</v>
      </c>
    </row>
    <row r="26" customFormat="false" ht="15" hidden="false" customHeight="false" outlineLevel="0" collapsed="false">
      <c r="C26" s="1" t="s">
        <v>91</v>
      </c>
      <c r="E26" s="1" t="n">
        <f aca="false">COUNTIF(E3:E25,"P")</f>
        <v>23</v>
      </c>
      <c r="F26" s="1" t="n">
        <f aca="false">COUNTIF(F3:F25,"P")</f>
        <v>18</v>
      </c>
      <c r="G26" s="1" t="n">
        <f aca="false">COUNTIF(G3:G25,"P")</f>
        <v>16</v>
      </c>
      <c r="I26" s="1" t="n">
        <f aca="false">COUNTIF(I3:I25,"P")</f>
        <v>20</v>
      </c>
      <c r="J26" s="1" t="n">
        <f aca="false">COUNTIF(J3:J25,"P")</f>
        <v>17</v>
      </c>
      <c r="L26" s="1" t="n">
        <f aca="false">COUNTIF(L3:L25,"P")</f>
        <v>17</v>
      </c>
      <c r="M26" s="1" t="n">
        <f aca="false">COUNTIF(M3:M25,"P")</f>
        <v>20</v>
      </c>
      <c r="N26" s="1" t="n">
        <f aca="false">COUNTIF(N3:N25,"P")</f>
        <v>17</v>
      </c>
      <c r="P26" s="1" t="n">
        <f aca="false">COUNTIF(P3:P25,"P")</f>
        <v>19</v>
      </c>
      <c r="W26" s="1" t="n">
        <f aca="false">COUNTIF(W3:W25,"P")</f>
        <v>12</v>
      </c>
      <c r="X26" s="1" t="n">
        <f aca="false">COUNTIF(X3:X25,"P")</f>
        <v>17</v>
      </c>
      <c r="AA26" s="1" t="n">
        <f aca="false">COUNTIF(AA3:AA25,"P")</f>
        <v>16</v>
      </c>
      <c r="AB26" s="1" t="n">
        <f aca="false">COUNTIF(AB3:AB25,"P")</f>
        <v>16</v>
      </c>
      <c r="AC26" s="1" t="n">
        <f aca="false">COUNTIF(AC3:AC25,"P")</f>
        <v>12</v>
      </c>
      <c r="AD26" s="1" t="n">
        <f aca="false">COUNTIF(AD3:AD25,"P")</f>
        <v>16</v>
      </c>
      <c r="AE26" s="1"/>
      <c r="AF26" s="1" t="n">
        <f aca="false">COUNTIF(AF3:AF25,"P")</f>
        <v>13</v>
      </c>
      <c r="AH26" s="1" t="n">
        <f aca="false">COUNTIF(AH3:AH25,"P")</f>
        <v>15</v>
      </c>
      <c r="AI26" s="1"/>
      <c r="AJ26" s="1" t="n">
        <f aca="false">COUNTIF(AJ3:AJ25,"P")</f>
        <v>17</v>
      </c>
      <c r="AL26" s="1" t="n">
        <f aca="false">COUNTIF(AL3:AL25,"P")</f>
        <v>14</v>
      </c>
      <c r="AM26" s="1"/>
      <c r="AN26" s="1" t="n">
        <f aca="false">COUNTIF(AN3:AN25,"P")</f>
        <v>17</v>
      </c>
    </row>
    <row r="27" customFormat="false" ht="15" hidden="false" customHeight="false" outlineLevel="0" collapsed="false">
      <c r="C27" s="1" t="s">
        <v>7</v>
      </c>
      <c r="E27" s="2" t="n">
        <f aca="false">COUNTIF(E3:E25,"M")</f>
        <v>0</v>
      </c>
      <c r="F27" s="2" t="n">
        <f aca="false">COUNTIF(F3:F25,"M")</f>
        <v>0</v>
      </c>
      <c r="G27" s="2" t="n">
        <f aca="false">COUNTIF(G3:G25,"M")</f>
        <v>2</v>
      </c>
      <c r="I27" s="2" t="n">
        <f aca="false">COUNTIF(I3:I25,"M")</f>
        <v>0</v>
      </c>
      <c r="J27" s="2" t="n">
        <f aca="false">COUNTIF(J3:J25,"M")</f>
        <v>0</v>
      </c>
      <c r="L27" s="2" t="n">
        <f aca="false">COUNTIF(L3:L25,"M")</f>
        <v>0</v>
      </c>
      <c r="M27" s="2" t="n">
        <f aca="false">COUNTIF(M3:M25,"M")</f>
        <v>0</v>
      </c>
      <c r="N27" s="2" t="n">
        <f aca="false">COUNTIF(N3:N25,"M")</f>
        <v>0</v>
      </c>
      <c r="O27" s="2"/>
      <c r="P27" s="2" t="n">
        <f aca="false">COUNTIF(P3:P25,"M")</f>
        <v>0</v>
      </c>
      <c r="Q27" s="2"/>
      <c r="R27" s="2"/>
      <c r="S27" s="2"/>
      <c r="T27" s="2"/>
      <c r="U27" s="2"/>
      <c r="V27" s="2"/>
      <c r="W27" s="2" t="n">
        <f aca="false">COUNTIF(W3:W25,"M")</f>
        <v>0</v>
      </c>
      <c r="X27" s="2" t="n">
        <f aca="false">COUNTIF(X3:X25,"M")</f>
        <v>0</v>
      </c>
      <c r="Y27" s="2"/>
      <c r="Z27" s="2"/>
      <c r="AA27" s="2" t="n">
        <f aca="false">COUNTIF(AA3:AA25,"M")</f>
        <v>0</v>
      </c>
      <c r="AB27" s="2" t="n">
        <f aca="false">COUNTIF(AB3:AB25,"M")</f>
        <v>0</v>
      </c>
      <c r="AC27" s="2" t="n">
        <f aca="false">COUNTIF(AC3:AC25,"M")</f>
        <v>0</v>
      </c>
      <c r="AD27" s="2" t="n">
        <f aca="false">COUNTIF(AD3:AD25,"M")</f>
        <v>0</v>
      </c>
      <c r="AE27" s="2"/>
      <c r="AF27" s="2" t="n">
        <f aca="false">COUNTIF(AF3:AF25,"M")</f>
        <v>0</v>
      </c>
      <c r="AH27" s="2" t="n">
        <f aca="false">COUNTIF(AH3:AH25,"M")</f>
        <v>0</v>
      </c>
      <c r="AI27" s="2"/>
      <c r="AJ27" s="2" t="n">
        <f aca="false">COUNTIF(AJ3:AJ25,"M")</f>
        <v>0</v>
      </c>
      <c r="AL27" s="2" t="n">
        <f aca="false">COUNTIF(AL3:AL25,"M")</f>
        <v>0</v>
      </c>
      <c r="AM27" s="2"/>
      <c r="AN27" s="2" t="n">
        <f aca="false">COUNTIF(AN3:AN25,"M")</f>
        <v>0</v>
      </c>
    </row>
    <row r="28" customFormat="false" ht="15" hidden="false" customHeight="false" outlineLevel="0" collapsed="false">
      <c r="C28" s="1" t="s">
        <v>8</v>
      </c>
      <c r="E28" s="2" t="n">
        <f aca="false">COUNTIF(E3:E25,"T")</f>
        <v>0</v>
      </c>
      <c r="F28" s="2" t="n">
        <f aca="false">COUNTIF(F3:F25,"T")</f>
        <v>0</v>
      </c>
      <c r="G28" s="2" t="n">
        <f aca="false">COUNTIF(G3:G25,"T")</f>
        <v>1</v>
      </c>
      <c r="I28" s="2" t="n">
        <f aca="false">COUNTIF(I3:I25,"T")</f>
        <v>0</v>
      </c>
      <c r="J28" s="2" t="n">
        <f aca="false">COUNTIF(J3:J25,"T")</f>
        <v>3</v>
      </c>
      <c r="L28" s="2" t="n">
        <f aca="false">COUNTIF(L3:L25,"T")</f>
        <v>0</v>
      </c>
      <c r="M28" s="2" t="n">
        <f aca="false">COUNTIF(M3:M25,"T")</f>
        <v>0</v>
      </c>
      <c r="N28" s="2" t="n">
        <f aca="false">COUNTIF(N3:N25,"T")</f>
        <v>0</v>
      </c>
      <c r="O28" s="2"/>
      <c r="P28" s="2" t="n">
        <f aca="false">COUNTIF(P3:P25,"T")</f>
        <v>0</v>
      </c>
      <c r="Q28" s="2"/>
      <c r="R28" s="2"/>
      <c r="S28" s="2"/>
      <c r="T28" s="2"/>
      <c r="U28" s="2"/>
      <c r="V28" s="2"/>
      <c r="W28" s="2" t="n">
        <f aca="false">COUNTIF(W3:W25,"T")</f>
        <v>0</v>
      </c>
      <c r="X28" s="2" t="n">
        <f aca="false">COUNTIF(X3:X25,"T")</f>
        <v>1</v>
      </c>
      <c r="Y28" s="2"/>
      <c r="Z28" s="2"/>
      <c r="AA28" s="2" t="n">
        <f aca="false">COUNTIF(AA3:AA25,"T")</f>
        <v>0</v>
      </c>
      <c r="AB28" s="2" t="n">
        <f aca="false">COUNTIF(AB3:AB25,"T")</f>
        <v>1</v>
      </c>
      <c r="AC28" s="2" t="n">
        <f aca="false">COUNTIF(AC3:AC25,"T")</f>
        <v>0</v>
      </c>
      <c r="AD28" s="2" t="n">
        <f aca="false">COUNTIF(AD3:AD25,"T")</f>
        <v>1</v>
      </c>
      <c r="AE28" s="2"/>
      <c r="AF28" s="2" t="n">
        <f aca="false">COUNTIF(AF3:AF25,"T")</f>
        <v>3</v>
      </c>
      <c r="AH28" s="2" t="n">
        <f aca="false">COUNTIF(AH3:AH25,"T")</f>
        <v>1</v>
      </c>
      <c r="AI28" s="2"/>
      <c r="AJ28" s="2" t="n">
        <f aca="false">COUNTIF(AJ3:AJ25,"T")</f>
        <v>0</v>
      </c>
      <c r="AL28" s="2" t="n">
        <f aca="false">COUNTIF(AL3:AL25,"T")</f>
        <v>3</v>
      </c>
      <c r="AM28" s="2"/>
      <c r="AN28" s="2" t="n">
        <f aca="false">COUNTIF(AN3:AN25,"T")</f>
        <v>3</v>
      </c>
    </row>
    <row r="29" customFormat="false" ht="15" hidden="false" customHeight="false" outlineLevel="0" collapsed="false">
      <c r="C29" s="1" t="s">
        <v>10</v>
      </c>
      <c r="E29" s="2" t="n">
        <f aca="false">SUM(E26:E28)</f>
        <v>23</v>
      </c>
      <c r="F29" s="2" t="n">
        <f aca="false">SUM(F26:F28)</f>
        <v>18</v>
      </c>
      <c r="G29" s="2" t="n">
        <f aca="false">SUM(G26:G28)</f>
        <v>19</v>
      </c>
      <c r="I29" s="2" t="n">
        <f aca="false">SUM(I26:I28)</f>
        <v>20</v>
      </c>
      <c r="J29" s="2" t="n">
        <f aca="false">SUM(J26:J28)</f>
        <v>20</v>
      </c>
      <c r="L29" s="2" t="n">
        <f aca="false">SUM(L26:L28)</f>
        <v>17</v>
      </c>
      <c r="M29" s="2" t="n">
        <f aca="false">SUM(M26:M28)</f>
        <v>20</v>
      </c>
      <c r="N29" s="2" t="n">
        <f aca="false">SUM(N26:N28)</f>
        <v>17</v>
      </c>
      <c r="O29" s="2"/>
      <c r="P29" s="2" t="n">
        <f aca="false">SUM(P26:P28)</f>
        <v>19</v>
      </c>
      <c r="Q29" s="2"/>
      <c r="R29" s="2"/>
      <c r="S29" s="2"/>
      <c r="T29" s="2"/>
      <c r="U29" s="2"/>
      <c r="V29" s="2"/>
      <c r="W29" s="2" t="n">
        <f aca="false">SUM(W26:W28)</f>
        <v>12</v>
      </c>
      <c r="X29" s="2" t="n">
        <f aca="false">SUM(X26:X28)</f>
        <v>18</v>
      </c>
      <c r="Y29" s="2"/>
      <c r="Z29" s="2"/>
      <c r="AA29" s="2" t="n">
        <f aca="false">SUM(AA26:AA28)</f>
        <v>16</v>
      </c>
      <c r="AB29" s="2" t="n">
        <f aca="false">SUM(AB26:AB28)</f>
        <v>17</v>
      </c>
      <c r="AC29" s="2" t="n">
        <f aca="false">SUM(AC26:AC28)</f>
        <v>12</v>
      </c>
      <c r="AD29" s="2" t="n">
        <f aca="false">SUM(AD26:AD28)</f>
        <v>17</v>
      </c>
      <c r="AE29" s="2"/>
      <c r="AF29" s="2" t="n">
        <f aca="false">SUM(AF26:AF28)</f>
        <v>16</v>
      </c>
      <c r="AH29" s="2" t="n">
        <f aca="false">SUM(AH26:AH28)</f>
        <v>16</v>
      </c>
      <c r="AI29" s="2"/>
      <c r="AJ29" s="2" t="n">
        <f aca="false">SUM(AJ26:AJ28)</f>
        <v>17</v>
      </c>
      <c r="AL29" s="2" t="n">
        <f aca="false">SUM(AL26:AL28)</f>
        <v>17</v>
      </c>
      <c r="AM29" s="2"/>
      <c r="AN29" s="2" t="n">
        <f aca="false">SUM(AN26:AN28)</f>
        <v>20</v>
      </c>
    </row>
  </sheetData>
  <conditionalFormatting sqref="V3:V25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2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S24" activeCellId="0" sqref="S24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true" hidden="true" outlineLevel="0" max="3" min="3" style="1" width="9.36"/>
    <col collapsed="false" customWidth="false" hidden="true" outlineLevel="0" max="12" min="4" style="1" width="9.66"/>
    <col collapsed="false" customWidth="true" hidden="false" outlineLevel="0" max="16384" min="16332" style="1" width="10.58"/>
  </cols>
  <sheetData>
    <row r="2" customFormat="false" ht="15" hidden="false" customHeight="false" outlineLevel="0" collapsed="false">
      <c r="A2" s="1" t="s">
        <v>1</v>
      </c>
      <c r="C2" s="1" t="s">
        <v>92</v>
      </c>
      <c r="D2" s="1" t="s">
        <v>93</v>
      </c>
      <c r="E2" s="1" t="s">
        <v>94</v>
      </c>
      <c r="F2" s="1" t="s">
        <v>95</v>
      </c>
      <c r="G2" s="2" t="s">
        <v>96</v>
      </c>
      <c r="H2" s="2" t="s">
        <v>95</v>
      </c>
      <c r="I2" s="2" t="s">
        <v>97</v>
      </c>
      <c r="J2" s="2" t="s">
        <v>95</v>
      </c>
      <c r="K2" s="2" t="s">
        <v>98</v>
      </c>
      <c r="L2" s="2" t="s">
        <v>11</v>
      </c>
      <c r="M2" s="2" t="s">
        <v>99</v>
      </c>
      <c r="N2" s="2" t="s">
        <v>100</v>
      </c>
      <c r="O2" s="2" t="s">
        <v>101</v>
      </c>
      <c r="P2" s="2" t="s">
        <v>102</v>
      </c>
      <c r="Q2" s="2" t="s">
        <v>103</v>
      </c>
      <c r="R2" s="2" t="s">
        <v>104</v>
      </c>
      <c r="S2" s="6" t="s">
        <v>105</v>
      </c>
    </row>
    <row r="3" customFormat="false" ht="15.65" hidden="false" customHeight="false" outlineLevel="0" collapsed="false">
      <c r="A3" s="1" t="n">
        <v>5</v>
      </c>
      <c r="B3" s="1" t="s">
        <v>32</v>
      </c>
      <c r="C3" s="5" t="n">
        <v>9</v>
      </c>
      <c r="D3" s="5"/>
      <c r="E3" s="5" t="n">
        <v>8</v>
      </c>
      <c r="F3" s="3" t="n">
        <v>46171</v>
      </c>
      <c r="G3" s="5" t="n">
        <v>10</v>
      </c>
      <c r="H3" s="5"/>
      <c r="I3" s="1" t="n">
        <v>7</v>
      </c>
      <c r="J3" s="3" t="n">
        <v>46171</v>
      </c>
      <c r="K3" s="1" t="n">
        <v>9</v>
      </c>
      <c r="L3" s="1" t="n">
        <f aca="false">ROUND(AVERAGE(C3,E3,G3,I3,K3),0)</f>
        <v>9</v>
      </c>
      <c r="M3" s="1" t="str">
        <f aca="false">IF(L3&gt;6,"TEA",IF(L3&gt;3,"TEP","TED"))</f>
        <v>TEA</v>
      </c>
      <c r="N3" s="1" t="n">
        <v>1</v>
      </c>
      <c r="O3" s="1" t="n">
        <v>8</v>
      </c>
      <c r="P3" s="1" t="n">
        <v>8</v>
      </c>
      <c r="Q3" s="1" t="n">
        <v>8</v>
      </c>
      <c r="R3" s="0" t="n">
        <v>7</v>
      </c>
      <c r="S3" s="0" t="n">
        <v>7</v>
      </c>
    </row>
    <row r="4" customFormat="false" ht="15.65" hidden="false" customHeight="false" outlineLevel="0" collapsed="false">
      <c r="A4" s="1" t="n">
        <v>6</v>
      </c>
      <c r="B4" s="2" t="s">
        <v>37</v>
      </c>
      <c r="C4" s="5" t="n">
        <v>9</v>
      </c>
      <c r="D4" s="5"/>
      <c r="E4" s="5" t="n">
        <v>8</v>
      </c>
      <c r="F4" s="5"/>
      <c r="G4" s="5" t="n">
        <v>10</v>
      </c>
      <c r="H4" s="5"/>
      <c r="I4" s="1" t="n">
        <v>9</v>
      </c>
      <c r="K4" s="1" t="n">
        <v>10</v>
      </c>
      <c r="L4" s="1" t="n">
        <f aca="false">ROUND(AVERAGE(C4,E4,G4,I4,K4),0)</f>
        <v>9</v>
      </c>
      <c r="M4" s="1" t="str">
        <f aca="false">IF(L4&gt;6,"TEA",IF(L4&gt;3,"TEP","TED"))</f>
        <v>TEA</v>
      </c>
      <c r="N4" s="1" t="n">
        <v>1</v>
      </c>
      <c r="O4" s="1" t="n">
        <v>8</v>
      </c>
      <c r="P4" s="1" t="n">
        <v>8</v>
      </c>
      <c r="Q4" s="1" t="n">
        <v>8</v>
      </c>
      <c r="R4" s="0" t="n">
        <v>7</v>
      </c>
      <c r="S4" s="0" t="n">
        <v>7</v>
      </c>
    </row>
    <row r="5" s="9" customFormat="true" ht="15.65" hidden="false" customHeight="false" outlineLevel="0" collapsed="false">
      <c r="A5" s="1" t="n">
        <v>16</v>
      </c>
      <c r="B5" s="1" t="s">
        <v>67</v>
      </c>
      <c r="C5" s="5" t="n">
        <v>8</v>
      </c>
      <c r="D5" s="5"/>
      <c r="E5" s="5" t="n">
        <v>9</v>
      </c>
      <c r="F5" s="5"/>
      <c r="G5" s="2" t="n">
        <v>9</v>
      </c>
      <c r="H5" s="2"/>
      <c r="I5" s="2" t="n">
        <v>9</v>
      </c>
      <c r="J5" s="2"/>
      <c r="K5" s="2" t="n">
        <v>10</v>
      </c>
      <c r="L5" s="1" t="n">
        <f aca="false">ROUND(AVERAGE(C5,E5,G5,I5,K5),0)</f>
        <v>9</v>
      </c>
      <c r="M5" s="1" t="str">
        <f aca="false">IF(L5&gt;6,"TEA",IF(L5&gt;3,"TEP","TED"))</f>
        <v>TEA</v>
      </c>
      <c r="N5" s="2" t="n">
        <v>1</v>
      </c>
      <c r="O5" s="2" t="n">
        <v>8</v>
      </c>
      <c r="P5" s="2" t="n">
        <v>8</v>
      </c>
      <c r="Q5" s="2" t="n">
        <v>8</v>
      </c>
      <c r="R5" s="9" t="n">
        <v>7</v>
      </c>
      <c r="S5" s="9" t="n">
        <v>7</v>
      </c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8"/>
      <c r="XFB5" s="8"/>
      <c r="XFC5" s="8"/>
      <c r="XFD5" s="8"/>
    </row>
    <row r="6" customFormat="false" ht="15.65" hidden="false" customHeight="false" outlineLevel="0" collapsed="false">
      <c r="A6" s="1" t="n">
        <v>17</v>
      </c>
      <c r="B6" s="1" t="s">
        <v>71</v>
      </c>
      <c r="C6" s="5" t="n">
        <v>10</v>
      </c>
      <c r="D6" s="5"/>
      <c r="E6" s="5" t="n">
        <v>9</v>
      </c>
      <c r="F6" s="5"/>
      <c r="G6" s="2" t="n">
        <v>10</v>
      </c>
      <c r="H6" s="2"/>
      <c r="I6" s="2" t="n">
        <v>10</v>
      </c>
      <c r="J6" s="2"/>
      <c r="K6" s="2" t="n">
        <v>10</v>
      </c>
      <c r="L6" s="1" t="n">
        <f aca="false">ROUND(AVERAGE(C6,E6,G6,I6,K6),0)</f>
        <v>10</v>
      </c>
      <c r="M6" s="1" t="str">
        <f aca="false">IF(L6&gt;6,"TEA",IF(L6&gt;3,"TEP","TED"))</f>
        <v>TEA</v>
      </c>
      <c r="N6" s="2" t="n">
        <v>1</v>
      </c>
      <c r="O6" s="2" t="n">
        <v>8</v>
      </c>
      <c r="P6" s="2" t="n">
        <v>8</v>
      </c>
      <c r="Q6" s="2" t="n">
        <v>8</v>
      </c>
      <c r="R6" s="0" t="n">
        <v>7</v>
      </c>
      <c r="S6" s="0" t="n">
        <v>7</v>
      </c>
    </row>
    <row r="7" s="1" customFormat="true" ht="15.65" hidden="false" customHeight="false" outlineLevel="0" collapsed="false">
      <c r="A7" s="1" t="n">
        <v>23</v>
      </c>
      <c r="B7" s="1" t="s">
        <v>89</v>
      </c>
      <c r="C7" s="5" t="n">
        <v>7</v>
      </c>
      <c r="D7" s="3" t="n">
        <v>46171</v>
      </c>
      <c r="E7" s="2" t="n">
        <v>6</v>
      </c>
      <c r="F7" s="12" t="n">
        <v>46171</v>
      </c>
      <c r="G7" s="5" t="n">
        <v>7</v>
      </c>
      <c r="H7" s="3" t="n">
        <v>46171</v>
      </c>
      <c r="I7" s="1" t="n">
        <v>7</v>
      </c>
      <c r="J7" s="3" t="n">
        <v>46171</v>
      </c>
      <c r="K7" s="1" t="n">
        <v>7</v>
      </c>
      <c r="L7" s="1" t="n">
        <f aca="false">ROUND(AVERAGE(C7,E7,G7,I7,K7),0)</f>
        <v>7</v>
      </c>
      <c r="M7" s="1" t="str">
        <f aca="false">IF(L7&gt;6,"TEA",IF(L7&gt;3,"TEP","TED"))</f>
        <v>TEA</v>
      </c>
      <c r="N7" s="1" t="n">
        <v>1</v>
      </c>
      <c r="O7" s="1" t="n">
        <v>8</v>
      </c>
      <c r="P7" s="1" t="n">
        <v>8</v>
      </c>
      <c r="Q7" s="1" t="n">
        <v>8</v>
      </c>
      <c r="R7" s="1" t="n">
        <v>7</v>
      </c>
      <c r="S7" s="1" t="n">
        <v>7</v>
      </c>
    </row>
    <row r="8" customFormat="false" ht="15.65" hidden="false" customHeight="false" outlineLevel="0" collapsed="false">
      <c r="A8" s="1" t="n">
        <v>2</v>
      </c>
      <c r="B8" s="1" t="s">
        <v>21</v>
      </c>
      <c r="C8" s="5" t="n">
        <v>9</v>
      </c>
      <c r="D8" s="5"/>
      <c r="E8" s="5" t="n">
        <v>10</v>
      </c>
      <c r="F8" s="5"/>
      <c r="G8" s="5" t="n">
        <v>10</v>
      </c>
      <c r="H8" s="5"/>
      <c r="I8" s="1" t="n">
        <v>9</v>
      </c>
      <c r="K8" s="1" t="n">
        <v>10</v>
      </c>
      <c r="L8" s="1" t="n">
        <f aca="false">ROUND(AVERAGE(C8,E8,G8,I8,K8),0)</f>
        <v>10</v>
      </c>
      <c r="M8" s="1" t="str">
        <f aca="false">IF(L8&gt;6,"TEA",IF(L8&gt;3,"TEP","TED"))</f>
        <v>TEA</v>
      </c>
      <c r="N8" s="1" t="n">
        <v>2</v>
      </c>
      <c r="O8" s="1" t="n">
        <v>1</v>
      </c>
      <c r="P8" s="1" t="n">
        <v>3</v>
      </c>
      <c r="Q8" s="1" t="n">
        <v>3</v>
      </c>
      <c r="R8" s="1" t="n">
        <v>2</v>
      </c>
      <c r="S8" s="0" t="n">
        <v>1</v>
      </c>
    </row>
    <row r="9" customFormat="false" ht="15.65" hidden="false" customHeight="false" outlineLevel="0" collapsed="false">
      <c r="A9" s="1" t="n">
        <v>7</v>
      </c>
      <c r="B9" s="2" t="s">
        <v>40</v>
      </c>
      <c r="C9" s="5" t="n">
        <v>7</v>
      </c>
      <c r="D9" s="3" t="n">
        <v>46294</v>
      </c>
      <c r="E9" s="5" t="n">
        <v>10</v>
      </c>
      <c r="F9" s="5"/>
      <c r="G9" s="5" t="n">
        <v>7</v>
      </c>
      <c r="H9" s="3" t="n">
        <v>46220</v>
      </c>
      <c r="I9" s="1" t="n">
        <v>7</v>
      </c>
      <c r="J9" s="3" t="n">
        <v>46220</v>
      </c>
      <c r="K9" s="1" t="n">
        <v>10</v>
      </c>
      <c r="L9" s="1" t="n">
        <f aca="false">ROUND(AVERAGE(C9,E9,G9,I9,K9),0)</f>
        <v>8</v>
      </c>
      <c r="M9" s="1" t="str">
        <f aca="false">IF(L9&gt;6,"TEA",IF(L9&gt;3,"TEP","TED"))</f>
        <v>TEA</v>
      </c>
      <c r="N9" s="1" t="n">
        <v>2</v>
      </c>
      <c r="O9" s="1" t="n">
        <v>1</v>
      </c>
      <c r="P9" s="1" t="n">
        <v>3</v>
      </c>
      <c r="Q9" s="1" t="n">
        <v>3</v>
      </c>
      <c r="R9" s="1" t="n">
        <v>2</v>
      </c>
      <c r="S9" s="0" t="n">
        <v>1</v>
      </c>
    </row>
    <row r="10" customFormat="false" ht="15.65" hidden="false" customHeight="false" outlineLevel="0" collapsed="false">
      <c r="A10" s="1" t="n">
        <v>10</v>
      </c>
      <c r="B10" s="1" t="s">
        <v>49</v>
      </c>
      <c r="C10" s="5" t="n">
        <v>6</v>
      </c>
      <c r="D10" s="3" t="n">
        <v>46171</v>
      </c>
      <c r="E10" s="5" t="n">
        <v>10</v>
      </c>
      <c r="F10" s="5"/>
      <c r="G10" s="5" t="n">
        <v>7</v>
      </c>
      <c r="H10" s="3" t="n">
        <v>46220</v>
      </c>
      <c r="I10" s="1" t="n">
        <v>7</v>
      </c>
      <c r="J10" s="3" t="n">
        <v>46220</v>
      </c>
      <c r="K10" s="1" t="n">
        <v>9</v>
      </c>
      <c r="L10" s="1" t="n">
        <f aca="false">ROUND(AVERAGE(C10,E10,G10,I10,K10),0)</f>
        <v>8</v>
      </c>
      <c r="M10" s="1" t="str">
        <f aca="false">IF(L10&gt;6,"TEA",IF(L10&gt;3,"TEP","TED"))</f>
        <v>TEA</v>
      </c>
      <c r="N10" s="1" t="n">
        <v>2</v>
      </c>
      <c r="O10" s="1" t="n">
        <v>1</v>
      </c>
      <c r="P10" s="1" t="n">
        <v>3</v>
      </c>
      <c r="Q10" s="1" t="n">
        <v>3</v>
      </c>
      <c r="R10" s="1" t="n">
        <v>2</v>
      </c>
      <c r="S10" s="0" t="n">
        <v>1</v>
      </c>
    </row>
    <row r="11" customFormat="false" ht="15.65" hidden="false" customHeight="false" outlineLevel="0" collapsed="false">
      <c r="A11" s="1" t="n">
        <v>15</v>
      </c>
      <c r="B11" s="1" t="s">
        <v>64</v>
      </c>
      <c r="C11" s="5" t="n">
        <v>9</v>
      </c>
      <c r="D11" s="5"/>
      <c r="E11" s="5" t="n">
        <v>7</v>
      </c>
      <c r="F11" s="3" t="n">
        <v>46171</v>
      </c>
      <c r="G11" s="5" t="n">
        <v>10</v>
      </c>
      <c r="H11" s="5"/>
      <c r="I11" s="1" t="n">
        <v>10</v>
      </c>
      <c r="K11" s="1" t="n">
        <v>10</v>
      </c>
      <c r="L11" s="1" t="n">
        <f aca="false">ROUND(AVERAGE(C11,E11,G11,I11,K11),0)</f>
        <v>9</v>
      </c>
      <c r="M11" s="1" t="str">
        <f aca="false">IF(L11&gt;6,"TEA",IF(L11&gt;3,"TEP","TED"))</f>
        <v>TEA</v>
      </c>
      <c r="N11" s="1" t="n">
        <v>2</v>
      </c>
      <c r="O11" s="1" t="n">
        <v>1</v>
      </c>
      <c r="P11" s="1" t="n">
        <v>3</v>
      </c>
      <c r="Q11" s="1" t="n">
        <v>3</v>
      </c>
      <c r="R11" s="1" t="n">
        <v>2</v>
      </c>
      <c r="S11" s="0" t="n">
        <v>1</v>
      </c>
    </row>
    <row r="12" s="1" customFormat="true" ht="15.65" hidden="false" customHeight="false" outlineLevel="0" collapsed="false">
      <c r="A12" s="1" t="n">
        <v>19</v>
      </c>
      <c r="B12" s="1" t="s">
        <v>77</v>
      </c>
      <c r="C12" s="5" t="n">
        <v>6</v>
      </c>
      <c r="D12" s="3" t="n">
        <v>46294</v>
      </c>
      <c r="E12" s="5" t="n">
        <v>8</v>
      </c>
      <c r="F12" s="5"/>
      <c r="G12" s="5" t="n">
        <v>1</v>
      </c>
      <c r="H12" s="5"/>
      <c r="I12" s="1" t="n">
        <v>1</v>
      </c>
      <c r="K12" s="1" t="n">
        <v>8</v>
      </c>
      <c r="L12" s="1" t="n">
        <f aca="false">ROUND(AVERAGE(C12,E12,G12,I12,K12),0)</f>
        <v>5</v>
      </c>
      <c r="M12" s="1" t="str">
        <f aca="false">IF(L12&gt;6,"TEA",IF(L12&gt;3,"TEP","TED"))</f>
        <v>TEP</v>
      </c>
      <c r="N12" s="1" t="n">
        <v>2</v>
      </c>
      <c r="O12" s="1" t="n">
        <v>1</v>
      </c>
      <c r="P12" s="1" t="n">
        <v>3</v>
      </c>
      <c r="Q12" s="1" t="n">
        <v>3</v>
      </c>
      <c r="R12" s="1" t="n">
        <v>2</v>
      </c>
      <c r="S12" s="1" t="n">
        <v>1</v>
      </c>
    </row>
    <row r="13" customFormat="false" ht="15.65" hidden="false" customHeight="false" outlineLevel="0" collapsed="false">
      <c r="A13" s="1" t="n">
        <v>1</v>
      </c>
      <c r="B13" s="1" t="s">
        <v>14</v>
      </c>
      <c r="C13" s="5" t="n">
        <v>10</v>
      </c>
      <c r="D13" s="5"/>
      <c r="E13" s="5" t="n">
        <v>7</v>
      </c>
      <c r="F13" s="5"/>
      <c r="G13" s="5" t="n">
        <v>10</v>
      </c>
      <c r="H13" s="5"/>
      <c r="I13" s="1" t="n">
        <v>4</v>
      </c>
      <c r="K13" s="1" t="n">
        <v>8</v>
      </c>
      <c r="L13" s="1" t="n">
        <f aca="false">ROUND(AVERAGE(C13,E13,G13,I13,K13),0)</f>
        <v>8</v>
      </c>
      <c r="M13" s="1" t="str">
        <f aca="false">IF(L13&gt;6,"TEA",IF(L13&gt;3,"TEP","TED"))</f>
        <v>TEA</v>
      </c>
      <c r="N13" s="1" t="n">
        <v>3</v>
      </c>
      <c r="O13" s="1" t="n">
        <v>3</v>
      </c>
      <c r="P13" s="1" t="n">
        <v>5</v>
      </c>
      <c r="Q13" s="1" t="n">
        <v>8</v>
      </c>
      <c r="R13" s="0" t="n">
        <v>7</v>
      </c>
      <c r="S13" s="0" t="n">
        <v>7</v>
      </c>
    </row>
    <row r="14" customFormat="false" ht="15.65" hidden="false" customHeight="false" outlineLevel="0" collapsed="false">
      <c r="A14" s="1" t="n">
        <v>8</v>
      </c>
      <c r="B14" s="1" t="s">
        <v>43</v>
      </c>
      <c r="C14" s="5" t="n">
        <v>10</v>
      </c>
      <c r="D14" s="5"/>
      <c r="E14" s="5" t="n">
        <v>7</v>
      </c>
      <c r="F14" s="3" t="n">
        <v>46171</v>
      </c>
      <c r="G14" s="5" t="n">
        <v>8</v>
      </c>
      <c r="H14" s="5"/>
      <c r="I14" s="1" t="n">
        <v>7</v>
      </c>
      <c r="J14" s="3" t="n">
        <v>46220</v>
      </c>
      <c r="K14" s="1" t="n">
        <v>10</v>
      </c>
      <c r="L14" s="1" t="n">
        <f aca="false">ROUND(AVERAGE(C14,E14,G14,I14,K14),0)</f>
        <v>8</v>
      </c>
      <c r="M14" s="1" t="str">
        <f aca="false">IF(L14&gt;6,"TEA",IF(L14&gt;3,"TEP","TED"))</f>
        <v>TEA</v>
      </c>
      <c r="N14" s="1" t="n">
        <v>3</v>
      </c>
      <c r="O14" s="1" t="n">
        <v>3</v>
      </c>
      <c r="P14" s="1" t="n">
        <v>5</v>
      </c>
      <c r="Q14" s="1" t="n">
        <v>8</v>
      </c>
      <c r="R14" s="0" t="n">
        <v>7</v>
      </c>
      <c r="S14" s="0" t="n">
        <v>7</v>
      </c>
    </row>
    <row r="15" s="2" customFormat="true" ht="15.65" hidden="false" customHeight="false" outlineLevel="0" collapsed="false">
      <c r="A15" s="1" t="n">
        <v>11</v>
      </c>
      <c r="B15" s="1" t="s">
        <v>52</v>
      </c>
      <c r="C15" s="5" t="n">
        <v>9</v>
      </c>
      <c r="D15" s="5"/>
      <c r="E15" s="5" t="n">
        <v>10</v>
      </c>
      <c r="F15" s="5"/>
      <c r="G15" s="5" t="n">
        <v>10</v>
      </c>
      <c r="H15" s="5"/>
      <c r="I15" s="1" t="n">
        <v>9</v>
      </c>
      <c r="J15" s="1"/>
      <c r="K15" s="1" t="n">
        <v>6</v>
      </c>
      <c r="L15" s="1" t="n">
        <f aca="false">ROUND(AVERAGE(C15,E15,G15,I15,K15),0)</f>
        <v>9</v>
      </c>
      <c r="M15" s="1" t="str">
        <f aca="false">IF(L15&gt;6,"TEA",IF(L15&gt;3,"TEP","TED"))</f>
        <v>TEA</v>
      </c>
      <c r="N15" s="1" t="n">
        <v>3</v>
      </c>
      <c r="O15" s="1" t="n">
        <v>3</v>
      </c>
      <c r="P15" s="2" t="n">
        <v>5</v>
      </c>
      <c r="Q15" s="2" t="n">
        <v>8</v>
      </c>
      <c r="R15" s="2" t="n">
        <v>7</v>
      </c>
      <c r="S15" s="2" t="n">
        <v>7</v>
      </c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.65" hidden="false" customHeight="false" outlineLevel="0" collapsed="false">
      <c r="A16" s="1" t="n">
        <v>13</v>
      </c>
      <c r="B16" s="1" t="s">
        <v>58</v>
      </c>
      <c r="C16" s="5" t="n">
        <v>9</v>
      </c>
      <c r="D16" s="5"/>
      <c r="E16" s="5" t="n">
        <v>10</v>
      </c>
      <c r="F16" s="5"/>
      <c r="G16" s="2" t="n">
        <v>9</v>
      </c>
      <c r="H16" s="2"/>
      <c r="I16" s="2" t="n">
        <v>5</v>
      </c>
      <c r="J16" s="2"/>
      <c r="K16" s="2" t="n">
        <v>10</v>
      </c>
      <c r="L16" s="1" t="n">
        <f aca="false">ROUND(AVERAGE(C16,E16,G16,I16,K16),0)</f>
        <v>9</v>
      </c>
      <c r="M16" s="1" t="str">
        <f aca="false">IF(L16&gt;6,"TEA",IF(L16&gt;3,"TEP","TED"))</f>
        <v>TEA</v>
      </c>
      <c r="N16" s="2" t="n">
        <v>3</v>
      </c>
      <c r="O16" s="2"/>
      <c r="P16" s="1" t="n">
        <v>5</v>
      </c>
      <c r="Q16" s="1" t="n">
        <v>8</v>
      </c>
      <c r="R16" s="1" t="n">
        <v>7</v>
      </c>
      <c r="S16" s="1" t="n">
        <v>7</v>
      </c>
    </row>
    <row r="17" s="1" customFormat="true" ht="15.65" hidden="false" customHeight="false" outlineLevel="0" collapsed="false">
      <c r="A17" s="1" t="n">
        <v>4</v>
      </c>
      <c r="B17" s="1" t="s">
        <v>29</v>
      </c>
      <c r="C17" s="5" t="n">
        <v>7</v>
      </c>
      <c r="D17" s="3" t="n">
        <v>46171</v>
      </c>
      <c r="E17" s="5" t="n">
        <v>6</v>
      </c>
      <c r="F17" s="5"/>
      <c r="G17" s="5" t="n">
        <v>8</v>
      </c>
      <c r="H17" s="5"/>
      <c r="I17" s="1" t="n">
        <v>3</v>
      </c>
      <c r="J17" s="3" t="n">
        <v>46220</v>
      </c>
      <c r="K17" s="1" t="n">
        <v>9</v>
      </c>
      <c r="L17" s="1" t="n">
        <f aca="false">ROUND(AVERAGE(C17,E17,G17,I17,K17),0)</f>
        <v>7</v>
      </c>
      <c r="M17" s="1" t="str">
        <f aca="false">IF(L17&gt;6,"TEA",IF(L17&gt;3,"TEP","TED"))</f>
        <v>TEA</v>
      </c>
      <c r="N17" s="1" t="n">
        <v>4</v>
      </c>
      <c r="O17" s="1" t="n">
        <v>3</v>
      </c>
      <c r="P17" s="1" t="n">
        <v>5</v>
      </c>
      <c r="Q17" s="1" t="n">
        <v>8</v>
      </c>
      <c r="R17" s="1" t="n">
        <v>7</v>
      </c>
      <c r="S17" s="1" t="n">
        <v>7</v>
      </c>
    </row>
    <row r="18" s="2" customFormat="true" ht="15.65" hidden="false" customHeight="false" outlineLevel="0" collapsed="false">
      <c r="A18" s="1" t="n">
        <v>12</v>
      </c>
      <c r="B18" s="1" t="s">
        <v>55</v>
      </c>
      <c r="C18" s="5" t="n">
        <v>8</v>
      </c>
      <c r="D18" s="5"/>
      <c r="E18" s="5" t="n">
        <v>10</v>
      </c>
      <c r="F18" s="5"/>
      <c r="G18" s="5" t="n">
        <v>10</v>
      </c>
      <c r="H18" s="5"/>
      <c r="I18" s="1" t="n">
        <v>10</v>
      </c>
      <c r="J18" s="1"/>
      <c r="K18" s="1" t="n">
        <v>7</v>
      </c>
      <c r="L18" s="1" t="n">
        <f aca="false">ROUND(AVERAGE(C18,E18,G18,I18,K18),0)</f>
        <v>9</v>
      </c>
      <c r="M18" s="1" t="str">
        <f aca="false">IF(L18&gt;6,"TEA",IF(L18&gt;3,"TEP","TED"))</f>
        <v>TEA</v>
      </c>
      <c r="N18" s="1" t="n">
        <v>4</v>
      </c>
      <c r="O18" s="1" t="n">
        <v>3</v>
      </c>
      <c r="P18" s="2" t="n">
        <v>5</v>
      </c>
      <c r="Q18" s="2" t="n">
        <v>8</v>
      </c>
      <c r="R18" s="2" t="n">
        <v>7</v>
      </c>
      <c r="S18" s="2" t="n">
        <v>7</v>
      </c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5.65" hidden="false" customHeight="false" outlineLevel="0" collapsed="false">
      <c r="A19" s="1" t="n">
        <v>18</v>
      </c>
      <c r="B19" s="1" t="s">
        <v>74</v>
      </c>
      <c r="C19" s="5" t="n">
        <v>10</v>
      </c>
      <c r="D19" s="5"/>
      <c r="E19" s="5" t="n">
        <v>10</v>
      </c>
      <c r="F19" s="5"/>
      <c r="G19" s="5" t="n">
        <v>8</v>
      </c>
      <c r="H19" s="5"/>
      <c r="I19" s="1" t="n">
        <v>7</v>
      </c>
      <c r="J19" s="1"/>
      <c r="K19" s="1" t="n">
        <v>10</v>
      </c>
      <c r="L19" s="1" t="n">
        <f aca="false">ROUND(AVERAGE(C19,E19,G19,I19,K19),0)</f>
        <v>9</v>
      </c>
      <c r="M19" s="1" t="str">
        <f aca="false">IF(L19&gt;6,"TEA",IF(L19&gt;3,"TEP","TED"))</f>
        <v>TEA</v>
      </c>
      <c r="N19" s="1" t="n">
        <v>4</v>
      </c>
      <c r="O19" s="1" t="n">
        <v>3</v>
      </c>
      <c r="P19" s="2" t="n">
        <v>5</v>
      </c>
      <c r="Q19" s="2" t="n">
        <v>8</v>
      </c>
      <c r="R19" s="2" t="n">
        <v>7</v>
      </c>
      <c r="S19" s="2" t="n">
        <v>7</v>
      </c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" customFormat="true" ht="15.65" hidden="false" customHeight="false" outlineLevel="0" collapsed="false">
      <c r="A20" s="1" t="n">
        <v>22</v>
      </c>
      <c r="B20" s="1" t="s">
        <v>86</v>
      </c>
      <c r="C20" s="5" t="n">
        <v>8</v>
      </c>
      <c r="D20" s="3" t="n">
        <v>46171</v>
      </c>
      <c r="E20" s="5" t="n">
        <v>5</v>
      </c>
      <c r="F20" s="5"/>
      <c r="G20" s="2" t="n">
        <v>8</v>
      </c>
      <c r="H20" s="2"/>
      <c r="I20" s="2" t="n">
        <v>6</v>
      </c>
      <c r="J20" s="2"/>
      <c r="K20" s="2" t="n">
        <v>10</v>
      </c>
      <c r="L20" s="1" t="n">
        <f aca="false">ROUND(AVERAGE(C20,E20,G20,I20,K20),0)</f>
        <v>7</v>
      </c>
      <c r="M20" s="1" t="str">
        <f aca="false">IF(L20&gt;6,"TEA",IF(L20&gt;3,"TEP","TED"))</f>
        <v>TEA</v>
      </c>
      <c r="N20" s="2" t="n">
        <v>4</v>
      </c>
      <c r="O20" s="2" t="n">
        <v>3</v>
      </c>
      <c r="P20" s="1" t="n">
        <v>5</v>
      </c>
      <c r="Q20" s="1" t="n">
        <v>8</v>
      </c>
      <c r="R20" s="1" t="n">
        <v>7</v>
      </c>
      <c r="S20" s="1" t="n">
        <v>7</v>
      </c>
    </row>
    <row r="21" s="1" customFormat="true" ht="15.65" hidden="false" customHeight="false" outlineLevel="0" collapsed="false">
      <c r="A21" s="8" t="n">
        <v>3</v>
      </c>
      <c r="B21" s="8" t="s">
        <v>24</v>
      </c>
      <c r="C21" s="10" t="n">
        <v>1</v>
      </c>
      <c r="D21" s="10"/>
      <c r="E21" s="10" t="n">
        <v>1</v>
      </c>
      <c r="F21" s="10"/>
      <c r="G21" s="10" t="n">
        <v>1</v>
      </c>
      <c r="H21" s="10"/>
      <c r="I21" s="8" t="n">
        <v>1</v>
      </c>
      <c r="J21" s="8"/>
      <c r="K21" s="8" t="n">
        <v>1</v>
      </c>
      <c r="L21" s="1" t="n">
        <f aca="false">ROUND(AVERAGE(C21,E21,G21,I21,K21),0)</f>
        <v>1</v>
      </c>
      <c r="M21" s="1" t="str">
        <f aca="false">IF(L21&gt;6,"TEA",IF(L21&gt;3,"TEP","TED"))</f>
        <v>TED</v>
      </c>
      <c r="N21" s="9"/>
      <c r="O21" s="9"/>
    </row>
    <row r="22" s="8" customFormat="true" ht="15.65" hidden="false" customHeight="false" outlineLevel="0" collapsed="false">
      <c r="A22" s="1" t="n">
        <v>9</v>
      </c>
      <c r="B22" s="1" t="s">
        <v>46</v>
      </c>
      <c r="C22" s="5" t="n">
        <v>1</v>
      </c>
      <c r="D22" s="5"/>
      <c r="E22" s="5" t="n">
        <v>1</v>
      </c>
      <c r="F22" s="5"/>
      <c r="G22" s="5" t="n">
        <v>1</v>
      </c>
      <c r="H22" s="5"/>
      <c r="I22" s="1" t="n">
        <v>1</v>
      </c>
      <c r="J22" s="1"/>
      <c r="K22" s="1" t="n">
        <v>1</v>
      </c>
      <c r="L22" s="1" t="n">
        <f aca="false">ROUND(AVERAGE(C22,E22,G22,I22,K22),0)</f>
        <v>1</v>
      </c>
      <c r="M22" s="1" t="str">
        <f aca="false">IF(L22&gt;6,"TEA",IF(L22&gt;3,"TEP","TED"))</f>
        <v>TED</v>
      </c>
      <c r="N22" s="1"/>
      <c r="O22" s="1"/>
    </row>
    <row r="23" s="1" customFormat="true" ht="15.65" hidden="false" customHeight="false" outlineLevel="0" collapsed="false">
      <c r="A23" s="1" t="n">
        <v>14</v>
      </c>
      <c r="B23" s="1" t="s">
        <v>61</v>
      </c>
      <c r="C23" s="5" t="n">
        <v>7</v>
      </c>
      <c r="D23" s="3" t="n">
        <v>46171</v>
      </c>
      <c r="E23" s="5" t="n">
        <v>7</v>
      </c>
      <c r="F23" s="5"/>
      <c r="G23" s="5" t="n">
        <v>6</v>
      </c>
      <c r="H23" s="3" t="n">
        <v>46220</v>
      </c>
      <c r="I23" s="1" t="n">
        <v>7</v>
      </c>
      <c r="J23" s="3" t="n">
        <v>46220</v>
      </c>
      <c r="K23" s="1" t="n">
        <v>9</v>
      </c>
      <c r="L23" s="1" t="n">
        <f aca="false">ROUND(AVERAGE(C23,E23,G23,I23,K23),0)</f>
        <v>7</v>
      </c>
      <c r="M23" s="1" t="str">
        <f aca="false">IF(L23&gt;6,"TEA",IF(L23&gt;3,"TEP","TED"))</f>
        <v>TEA</v>
      </c>
      <c r="N23" s="1" t="n">
        <v>4</v>
      </c>
      <c r="P23" s="1" t="n">
        <v>5</v>
      </c>
      <c r="Q23" s="1" t="n">
        <v>8</v>
      </c>
      <c r="R23" s="1" t="n">
        <v>7</v>
      </c>
      <c r="S23" s="1" t="n">
        <v>7</v>
      </c>
    </row>
    <row r="24" s="2" customFormat="true" ht="15.65" hidden="false" customHeight="false" outlineLevel="0" collapsed="false">
      <c r="A24" s="8" t="n">
        <v>20</v>
      </c>
      <c r="B24" s="8" t="s">
        <v>80</v>
      </c>
      <c r="C24" s="10" t="n">
        <v>1</v>
      </c>
      <c r="D24" s="10"/>
      <c r="E24" s="8" t="n">
        <v>1</v>
      </c>
      <c r="F24" s="8"/>
      <c r="G24" s="10" t="n">
        <v>1</v>
      </c>
      <c r="H24" s="10"/>
      <c r="I24" s="8" t="n">
        <v>1</v>
      </c>
      <c r="J24" s="8"/>
      <c r="K24" s="8" t="n">
        <v>6</v>
      </c>
      <c r="L24" s="8" t="n">
        <f aca="false">ROUND(AVERAGE(C24,E24,G24,I24,K24),0)</f>
        <v>2</v>
      </c>
      <c r="M24" s="1" t="str">
        <f aca="false">IF(L24&gt;6,"TEA",IF(L24&gt;3,"TEP","TED"))</f>
        <v>TED</v>
      </c>
      <c r="N24" s="8"/>
      <c r="O24" s="8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customFormat="false" ht="15" hidden="false" customHeight="false" outlineLevel="0" collapsed="false">
      <c r="A25" s="1" t="n">
        <v>21</v>
      </c>
      <c r="B25" s="1" t="s">
        <v>83</v>
      </c>
      <c r="C25" s="5" t="n">
        <v>10</v>
      </c>
      <c r="D25" s="5"/>
      <c r="E25" s="1" t="n">
        <v>10</v>
      </c>
      <c r="G25" s="5" t="n">
        <v>9</v>
      </c>
      <c r="H25" s="5"/>
      <c r="I25" s="1" t="n">
        <v>10</v>
      </c>
      <c r="K25" s="1" t="n">
        <v>8</v>
      </c>
      <c r="L25" s="1" t="n">
        <f aca="false">ROUND(AVERAGE(C25,E25,G25,I25,K25),0)</f>
        <v>9</v>
      </c>
      <c r="M25" s="1" t="str">
        <f aca="false">IF(L25&gt;6,"TEA",IF(L25&gt;3,"TEP","TED"))</f>
        <v>TEA</v>
      </c>
      <c r="N25" s="1"/>
      <c r="O25" s="1"/>
    </row>
    <row r="27" customFormat="false" ht="15" hidden="false" customHeight="false" outlineLevel="0" collapsed="false">
      <c r="C27" s="2"/>
      <c r="D27" s="2"/>
    </row>
  </sheetData>
  <conditionalFormatting sqref="C3:H8 C9:D25 G9:H25 E9:F23 J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conditionalFormatting sqref="I3:M6 K7:M25 I7:I11 J8:J11 I12:J25">
    <cfRule type="cellIs" priority="8" operator="greaterThan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  <cfRule type="cellIs" priority="11" operator="equal" aboveAverage="0" equalAverage="0" bottom="0" percent="0" rank="0" text="" dxfId="0">
      <formula>"TEA"</formula>
    </cfRule>
    <cfRule type="cellIs" priority="12" operator="equal" aboveAverage="0" equalAverage="0" bottom="0" percent="0" rank="0" text="" dxfId="1">
      <formula>"TEP"</formula>
    </cfRule>
    <cfRule type="cellIs" priority="13" operator="equal" aboveAverage="0" equalAverage="0" bottom="0" percent="0" rank="0" text="" dxfId="2">
      <formula>"TED"</formula>
    </cfRule>
  </conditionalFormatting>
  <conditionalFormatting sqref="E24:F25">
    <cfRule type="cellIs" priority="14" operator="between" aboveAverage="0" equalAverage="0" bottom="0" percent="0" rank="0" text="" dxfId="1">
      <formula>4</formula>
      <formula>6</formula>
    </cfRule>
    <cfRule type="cellIs" priority="15" operator="lessThan" aboveAverage="0" equalAverage="0" bottom="0" percent="0" rank="0" text="" dxfId="2">
      <formula>4</formula>
    </cfRule>
    <cfRule type="cellIs" priority="16" operator="greaterThan" aboveAverage="0" equalAverage="0" bottom="0" percent="0" rank="0" text="" dxfId="0">
      <formula>6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D1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2" activeCellId="0" sqref="C2"/>
    </sheetView>
  </sheetViews>
  <sheetFormatPr defaultColWidth="10.58203125" defaultRowHeight="12.8" zeroHeight="false" outlineLevelRow="0" outlineLevelCol="0"/>
  <cols>
    <col collapsed="false" customWidth="true" hidden="false" outlineLevel="0" max="3" min="3" style="1" width="20.07"/>
    <col collapsed="false" customWidth="true" hidden="false" outlineLevel="0" max="4" min="4" style="1" width="3.48"/>
  </cols>
  <sheetData>
    <row r="1" customFormat="false" ht="15" hidden="false" customHeight="false" outlineLevel="0" collapsed="false">
      <c r="C1" s="1" t="s">
        <v>106</v>
      </c>
      <c r="D1" s="1" t="s">
        <v>11</v>
      </c>
    </row>
    <row r="2" customFormat="false" ht="15" hidden="false" customHeight="false" outlineLevel="0" collapsed="false">
      <c r="C2" s="1" t="s">
        <v>14</v>
      </c>
      <c r="D2" s="1" t="n">
        <v>10</v>
      </c>
    </row>
    <row r="3" customFormat="false" ht="15" hidden="false" customHeight="false" outlineLevel="0" collapsed="false">
      <c r="C3" s="1" t="s">
        <v>21</v>
      </c>
      <c r="D3" s="1" t="n">
        <v>9</v>
      </c>
    </row>
    <row r="4" customFormat="false" ht="15" hidden="false" customHeight="false" outlineLevel="0" collapsed="false">
      <c r="C4" s="1" t="s">
        <v>32</v>
      </c>
      <c r="D4" s="1" t="n">
        <v>9</v>
      </c>
    </row>
    <row r="5" customFormat="false" ht="15" hidden="false" customHeight="false" outlineLevel="0" collapsed="false">
      <c r="C5" s="1" t="s">
        <v>37</v>
      </c>
      <c r="D5" s="1" t="n">
        <v>9</v>
      </c>
    </row>
    <row r="6" customFormat="false" ht="15" hidden="false" customHeight="false" outlineLevel="0" collapsed="false">
      <c r="C6" s="1" t="s">
        <v>43</v>
      </c>
      <c r="D6" s="1" t="n">
        <v>10</v>
      </c>
    </row>
    <row r="7" customFormat="false" ht="15" hidden="false" customHeight="false" outlineLevel="0" collapsed="false">
      <c r="C7" s="1" t="s">
        <v>52</v>
      </c>
      <c r="D7" s="1" t="n">
        <v>9</v>
      </c>
    </row>
    <row r="8" customFormat="false" ht="15" hidden="false" customHeight="false" outlineLevel="0" collapsed="false">
      <c r="C8" s="1" t="s">
        <v>55</v>
      </c>
      <c r="D8" s="1" t="n">
        <v>8</v>
      </c>
    </row>
    <row r="9" customFormat="false" ht="15" hidden="false" customHeight="false" outlineLevel="0" collapsed="false">
      <c r="C9" s="1" t="s">
        <v>58</v>
      </c>
      <c r="D9" s="1" t="n">
        <v>9</v>
      </c>
    </row>
    <row r="10" customFormat="false" ht="15" hidden="false" customHeight="false" outlineLevel="0" collapsed="false">
      <c r="C10" s="1" t="s">
        <v>64</v>
      </c>
      <c r="D10" s="1" t="n">
        <v>9</v>
      </c>
    </row>
    <row r="11" customFormat="false" ht="15" hidden="false" customHeight="false" outlineLevel="0" collapsed="false">
      <c r="C11" s="1" t="s">
        <v>67</v>
      </c>
      <c r="D11" s="1" t="n">
        <v>8</v>
      </c>
    </row>
    <row r="12" customFormat="false" ht="15" hidden="false" customHeight="false" outlineLevel="0" collapsed="false">
      <c r="C12" s="1" t="s">
        <v>71</v>
      </c>
      <c r="D12" s="1" t="n">
        <v>10</v>
      </c>
    </row>
    <row r="13" customFormat="false" ht="15" hidden="false" customHeight="false" outlineLevel="0" collapsed="false">
      <c r="C13" s="1" t="s">
        <v>74</v>
      </c>
      <c r="D13" s="1" t="n">
        <v>10</v>
      </c>
    </row>
    <row r="14" customFormat="false" ht="15" hidden="false" customHeight="false" outlineLevel="0" collapsed="false">
      <c r="C14" s="1" t="s">
        <v>83</v>
      </c>
      <c r="D1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3.99"/>
    <col collapsed="false" customWidth="true" hidden="false" outlineLevel="0" max="3" min="2" style="1" width="19.99"/>
    <col collapsed="false" customWidth="true" hidden="false" outlineLevel="0" max="4" min="4" style="1" width="16.08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107</v>
      </c>
      <c r="E1" s="1" t="s">
        <v>108</v>
      </c>
      <c r="F1" s="1" t="s">
        <v>109</v>
      </c>
      <c r="G1" s="1" t="s">
        <v>110</v>
      </c>
    </row>
    <row r="2" customFormat="false" ht="15" hidden="false" customHeight="false" outlineLevel="0" collapsed="false">
      <c r="A2" s="1" t="n">
        <v>1</v>
      </c>
      <c r="B2" s="1" t="s">
        <v>14</v>
      </c>
      <c r="C2" s="1" t="s">
        <v>14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n">
        <v>2</v>
      </c>
      <c r="B3" s="1" t="s">
        <v>21</v>
      </c>
      <c r="C3" s="1" t="s">
        <v>21</v>
      </c>
      <c r="D3" s="1" t="n">
        <v>10</v>
      </c>
      <c r="G3" s="1" t="n">
        <v>10</v>
      </c>
    </row>
    <row r="4" customFormat="false" ht="15" hidden="false" customHeight="false" outlineLevel="0" collapsed="false">
      <c r="A4" s="8" t="n">
        <v>3</v>
      </c>
      <c r="B4" s="8" t="s">
        <v>24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1" t="s">
        <v>29</v>
      </c>
      <c r="C5" s="1" t="s">
        <v>29</v>
      </c>
      <c r="D5" s="1" t="n">
        <v>6</v>
      </c>
      <c r="G5" s="1" t="n">
        <v>6</v>
      </c>
    </row>
    <row r="6" customFormat="false" ht="15" hidden="false" customHeight="false" outlineLevel="0" collapsed="false">
      <c r="A6" s="1" t="n">
        <v>5</v>
      </c>
      <c r="B6" s="1" t="s">
        <v>32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6</v>
      </c>
      <c r="B7" s="1" t="s">
        <v>37</v>
      </c>
      <c r="C7" s="1" t="s">
        <v>37</v>
      </c>
      <c r="D7" s="1" t="n">
        <v>10</v>
      </c>
      <c r="E7" s="1" t="n">
        <f aca="false">ROUND(AVERAGE(D7:D8),0)</f>
        <v>8</v>
      </c>
      <c r="F7" s="1" t="n">
        <v>6</v>
      </c>
      <c r="G7" s="1" t="n">
        <f aca="false">MAX(F7,E7)</f>
        <v>8</v>
      </c>
    </row>
    <row r="8" customFormat="false" ht="15" hidden="false" customHeight="false" outlineLevel="0" collapsed="false">
      <c r="C8" s="1" t="s">
        <v>37</v>
      </c>
      <c r="D8" s="1" t="n">
        <v>6</v>
      </c>
    </row>
    <row r="9" customFormat="false" ht="15" hidden="false" customHeight="false" outlineLevel="0" collapsed="false">
      <c r="A9" s="1" t="n">
        <v>7</v>
      </c>
      <c r="B9" s="1" t="s">
        <v>40</v>
      </c>
      <c r="C9" s="1" t="s">
        <v>40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8</v>
      </c>
      <c r="B10" s="1" t="s">
        <v>43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9</v>
      </c>
      <c r="B11" s="1" t="s">
        <v>46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10</v>
      </c>
      <c r="B12" s="1" t="s">
        <v>49</v>
      </c>
      <c r="C12" s="1" t="s">
        <v>49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11</v>
      </c>
      <c r="B13" s="1" t="s">
        <v>52</v>
      </c>
      <c r="C13" s="1" t="s">
        <v>52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12</v>
      </c>
      <c r="B14" s="1" t="s">
        <v>55</v>
      </c>
      <c r="C14" s="1" t="s">
        <v>55</v>
      </c>
      <c r="D14" s="1" t="n">
        <v>10</v>
      </c>
      <c r="E14" s="1" t="n">
        <f aca="false">ROUND(AVERAGE(D14:D15),0)</f>
        <v>10</v>
      </c>
      <c r="F14" s="1" t="n">
        <v>9</v>
      </c>
      <c r="G14" s="1" t="n">
        <f aca="false">MAX(F14,E14)</f>
        <v>10</v>
      </c>
    </row>
    <row r="15" customFormat="false" ht="15" hidden="false" customHeight="false" outlineLevel="0" collapsed="false">
      <c r="C15" s="1" t="s">
        <v>55</v>
      </c>
      <c r="D15" s="1" t="n">
        <v>9</v>
      </c>
    </row>
    <row r="16" customFormat="false" ht="15" hidden="false" customHeight="false" outlineLevel="0" collapsed="false">
      <c r="A16" s="1" t="n">
        <v>13</v>
      </c>
      <c r="B16" s="1" t="s">
        <v>58</v>
      </c>
      <c r="C16" s="1" t="s">
        <v>58</v>
      </c>
      <c r="D16" s="1" t="n">
        <v>10</v>
      </c>
      <c r="G16" s="1" t="n">
        <v>10</v>
      </c>
    </row>
    <row r="17" customFormat="false" ht="15" hidden="false" customHeight="false" outlineLevel="0" collapsed="false">
      <c r="A17" s="1" t="n">
        <v>14</v>
      </c>
      <c r="B17" s="1" t="s">
        <v>61</v>
      </c>
      <c r="C17" s="1" t="s">
        <v>61</v>
      </c>
      <c r="D17" s="1" t="n">
        <v>7</v>
      </c>
      <c r="G17" s="1" t="n">
        <v>7</v>
      </c>
    </row>
    <row r="18" customFormat="false" ht="15" hidden="false" customHeight="false" outlineLevel="0" collapsed="false">
      <c r="A18" s="1" t="n">
        <v>15</v>
      </c>
      <c r="B18" s="1" t="s">
        <v>64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16</v>
      </c>
      <c r="B19" s="1" t="s">
        <v>67</v>
      </c>
      <c r="C19" s="1" t="s">
        <v>67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17</v>
      </c>
      <c r="B20" s="1" t="s">
        <v>71</v>
      </c>
      <c r="C20" s="1" t="s">
        <v>71</v>
      </c>
      <c r="D20" s="1" t="n">
        <v>9</v>
      </c>
      <c r="G20" s="1" t="n">
        <v>9</v>
      </c>
    </row>
    <row r="21" customFormat="false" ht="15" hidden="false" customHeight="false" outlineLevel="0" collapsed="false">
      <c r="A21" s="1" t="n">
        <v>18</v>
      </c>
      <c r="B21" s="1" t="s">
        <v>74</v>
      </c>
      <c r="C21" s="1" t="s">
        <v>74</v>
      </c>
      <c r="D21" s="1" t="n">
        <v>10</v>
      </c>
      <c r="G21" s="1" t="n">
        <v>10</v>
      </c>
    </row>
    <row r="22" customFormat="false" ht="15" hidden="false" customHeight="false" outlineLevel="0" collapsed="false">
      <c r="A22" s="1" t="n">
        <v>19</v>
      </c>
      <c r="B22" s="1" t="s">
        <v>77</v>
      </c>
      <c r="C22" s="1" t="s">
        <v>77</v>
      </c>
      <c r="D22" s="1" t="n">
        <v>8</v>
      </c>
      <c r="G22" s="1" t="n">
        <v>8</v>
      </c>
    </row>
    <row r="23" customFormat="false" ht="15" hidden="false" customHeight="false" outlineLevel="0" collapsed="false">
      <c r="A23" s="1" t="n">
        <v>20</v>
      </c>
      <c r="B23" s="1" t="s">
        <v>80</v>
      </c>
      <c r="D23" s="1" t="n">
        <v>1</v>
      </c>
      <c r="G23" s="1" t="n">
        <v>1</v>
      </c>
    </row>
    <row r="24" customFormat="false" ht="15" hidden="false" customHeight="false" outlineLevel="0" collapsed="false">
      <c r="A24" s="1" t="n">
        <v>21</v>
      </c>
      <c r="B24" s="1" t="s">
        <v>83</v>
      </c>
      <c r="C24" s="1" t="s">
        <v>83</v>
      </c>
      <c r="D24" s="1" t="n">
        <v>10</v>
      </c>
      <c r="G24" s="1" t="n">
        <v>10</v>
      </c>
    </row>
    <row r="25" customFormat="false" ht="15" hidden="false" customHeight="false" outlineLevel="0" collapsed="false">
      <c r="A25" s="1" t="n">
        <v>22</v>
      </c>
      <c r="B25" s="1" t="s">
        <v>86</v>
      </c>
      <c r="C25" s="1" t="s">
        <v>86</v>
      </c>
      <c r="D25" s="1" t="n">
        <v>5</v>
      </c>
      <c r="G25" s="1" t="n">
        <v>5</v>
      </c>
    </row>
    <row r="26" customFormat="false" ht="15" hidden="false" customHeight="false" outlineLevel="0" collapsed="false">
      <c r="A26" s="1" t="n">
        <v>23</v>
      </c>
      <c r="B26" s="1" t="s">
        <v>89</v>
      </c>
      <c r="D26" s="1" t="n">
        <v>1</v>
      </c>
      <c r="G26" s="1" t="n">
        <v>1</v>
      </c>
    </row>
    <row r="27" customFormat="false" ht="15" hidden="false" customHeight="false" outlineLevel="0" collapsed="false">
      <c r="F27" s="1" t="s">
        <v>10</v>
      </c>
      <c r="G27" s="1" t="n">
        <f aca="false">COUNTIF(G2:G26,"&gt;0")</f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2.8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21.44"/>
  </cols>
  <sheetData>
    <row r="1" customFormat="false" ht="15" hidden="false" customHeight="false" outlineLevel="0" collapsed="false">
      <c r="C1" s="1" t="s">
        <v>106</v>
      </c>
      <c r="D1" s="1" t="s">
        <v>111</v>
      </c>
      <c r="E1" s="2" t="s">
        <v>108</v>
      </c>
      <c r="F1" s="2" t="s">
        <v>109</v>
      </c>
      <c r="G1" s="2" t="s">
        <v>110</v>
      </c>
    </row>
    <row r="2" customFormat="false" ht="15" hidden="false" customHeight="false" outlineLevel="0" collapsed="false">
      <c r="A2" s="1" t="n">
        <v>1</v>
      </c>
      <c r="B2" s="1" t="s">
        <v>14</v>
      </c>
      <c r="C2" s="1" t="s">
        <v>14</v>
      </c>
      <c r="D2" s="1" t="n">
        <v>10</v>
      </c>
      <c r="G2" s="1" t="n">
        <v>10</v>
      </c>
    </row>
    <row r="3" customFormat="false" ht="15" hidden="false" customHeight="false" outlineLevel="0" collapsed="false">
      <c r="A3" s="1" t="n">
        <v>2</v>
      </c>
      <c r="B3" s="1" t="s">
        <v>21</v>
      </c>
      <c r="C3" s="1" t="s">
        <v>21</v>
      </c>
      <c r="D3" s="1" t="n">
        <v>10</v>
      </c>
      <c r="G3" s="1" t="n">
        <v>10</v>
      </c>
    </row>
    <row r="4" customFormat="false" ht="15" hidden="false" customHeight="false" outlineLevel="0" collapsed="false">
      <c r="A4" s="1" t="n">
        <v>3</v>
      </c>
      <c r="B4" s="1" t="s">
        <v>24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1" t="s">
        <v>29</v>
      </c>
      <c r="C5" s="1" t="s">
        <v>29</v>
      </c>
      <c r="D5" s="1" t="n">
        <v>8</v>
      </c>
      <c r="G5" s="1" t="n">
        <v>8</v>
      </c>
    </row>
    <row r="6" customFormat="false" ht="15" hidden="false" customHeight="false" outlineLevel="0" collapsed="false">
      <c r="A6" s="1" t="n">
        <v>5</v>
      </c>
      <c r="B6" s="1" t="s">
        <v>32</v>
      </c>
      <c r="C6" s="1" t="s">
        <v>32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6</v>
      </c>
      <c r="B7" s="1" t="s">
        <v>37</v>
      </c>
      <c r="C7" s="1" t="s">
        <v>37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7</v>
      </c>
      <c r="B8" s="1" t="s">
        <v>40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1" t="s">
        <v>43</v>
      </c>
      <c r="C9" s="1" t="s">
        <v>43</v>
      </c>
      <c r="D9" s="1" t="n">
        <v>8</v>
      </c>
      <c r="G9" s="1" t="n">
        <v>8</v>
      </c>
    </row>
    <row r="10" customFormat="false" ht="15" hidden="false" customHeight="false" outlineLevel="0" collapsed="false">
      <c r="A10" s="1" t="n">
        <v>9</v>
      </c>
      <c r="B10" s="1" t="s">
        <v>46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10</v>
      </c>
      <c r="B11" s="1" t="s">
        <v>49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11</v>
      </c>
      <c r="B12" s="1" t="s">
        <v>52</v>
      </c>
      <c r="C12" s="1" t="s">
        <v>52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12</v>
      </c>
      <c r="B13" s="1" t="s">
        <v>55</v>
      </c>
      <c r="C13" s="1" t="s">
        <v>55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13</v>
      </c>
      <c r="B14" s="1" t="s">
        <v>58</v>
      </c>
      <c r="C14" s="1" t="s">
        <v>58</v>
      </c>
      <c r="D14" s="1" t="n">
        <v>9</v>
      </c>
      <c r="G14" s="1" t="n">
        <v>9</v>
      </c>
    </row>
    <row r="15" customFormat="false" ht="15" hidden="false" customHeight="false" outlineLevel="0" collapsed="false">
      <c r="A15" s="1" t="n">
        <v>14</v>
      </c>
      <c r="B15" s="1" t="s">
        <v>61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15</v>
      </c>
      <c r="B16" s="1" t="s">
        <v>64</v>
      </c>
      <c r="C16" s="1" t="s">
        <v>64</v>
      </c>
      <c r="D16" s="1" t="n">
        <v>10</v>
      </c>
      <c r="G16" s="1" t="n">
        <v>10</v>
      </c>
    </row>
    <row r="17" customFormat="false" ht="15" hidden="false" customHeight="false" outlineLevel="0" collapsed="false">
      <c r="A17" s="1" t="n">
        <v>16</v>
      </c>
      <c r="B17" s="1" t="s">
        <v>67</v>
      </c>
      <c r="C17" s="1" t="s">
        <v>67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17</v>
      </c>
      <c r="B18" s="1" t="s">
        <v>71</v>
      </c>
      <c r="C18" s="1" t="s">
        <v>71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18</v>
      </c>
      <c r="B19" s="1" t="s">
        <v>74</v>
      </c>
      <c r="C19" s="1" t="s">
        <v>74</v>
      </c>
      <c r="D19" s="1" t="n">
        <v>8</v>
      </c>
      <c r="G19" s="1" t="n">
        <v>8</v>
      </c>
    </row>
    <row r="20" customFormat="false" ht="15" hidden="false" customHeight="false" outlineLevel="0" collapsed="false">
      <c r="A20" s="1" t="n">
        <v>19</v>
      </c>
      <c r="B20" s="1" t="s">
        <v>77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20</v>
      </c>
      <c r="B21" s="1" t="s">
        <v>80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21</v>
      </c>
      <c r="B22" s="1" t="s">
        <v>83</v>
      </c>
      <c r="C22" s="1" t="s">
        <v>83</v>
      </c>
      <c r="D22" s="1" t="n">
        <v>9</v>
      </c>
      <c r="G22" s="1" t="n">
        <v>9</v>
      </c>
    </row>
    <row r="23" customFormat="false" ht="15" hidden="false" customHeight="false" outlineLevel="0" collapsed="false">
      <c r="A23" s="1" t="n">
        <v>22</v>
      </c>
      <c r="B23" s="1" t="s">
        <v>86</v>
      </c>
      <c r="C23" s="1" t="s">
        <v>86</v>
      </c>
      <c r="D23" s="1" t="n">
        <v>10</v>
      </c>
      <c r="E23" s="2" t="n">
        <f aca="false">ROUND(AVERAGE(D23:D24),0)</f>
        <v>8</v>
      </c>
      <c r="F23" s="1" t="n">
        <v>6</v>
      </c>
      <c r="G23" s="2" t="n">
        <f aca="false">MAX(F23,E23)</f>
        <v>8</v>
      </c>
    </row>
    <row r="24" customFormat="false" ht="15" hidden="false" customHeight="false" outlineLevel="0" collapsed="false">
      <c r="C24" s="1" t="s">
        <v>86</v>
      </c>
      <c r="D24" s="1" t="n">
        <v>6</v>
      </c>
    </row>
    <row r="25" customFormat="false" ht="15" hidden="false" customHeight="false" outlineLevel="0" collapsed="false">
      <c r="A25" s="1" t="n">
        <v>23</v>
      </c>
      <c r="B25" s="1" t="s">
        <v>89</v>
      </c>
      <c r="D25" s="1" t="n">
        <v>1</v>
      </c>
      <c r="G25" s="1" t="n">
        <v>1</v>
      </c>
    </row>
    <row r="26" customFormat="false" ht="15" hidden="false" customHeight="false" outlineLevel="0" collapsed="false">
      <c r="F26" s="2" t="s">
        <v>10</v>
      </c>
      <c r="G26" s="2" t="n">
        <f aca="false">COUNTIF(G2:G25,"&gt;0")</f>
        <v>23</v>
      </c>
    </row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20.0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107</v>
      </c>
      <c r="E1" s="1" t="s">
        <v>108</v>
      </c>
      <c r="F1" s="1" t="s">
        <v>109</v>
      </c>
      <c r="G1" s="1" t="s">
        <v>110</v>
      </c>
    </row>
    <row r="2" customFormat="false" ht="15" hidden="false" customHeight="false" outlineLevel="0" collapsed="false">
      <c r="A2" s="1" t="n">
        <v>1</v>
      </c>
      <c r="B2" s="1" t="s">
        <v>14</v>
      </c>
      <c r="C2" s="1" t="s">
        <v>14</v>
      </c>
      <c r="D2" s="1" t="n">
        <v>4</v>
      </c>
      <c r="G2" s="1" t="n">
        <v>4</v>
      </c>
    </row>
    <row r="3" customFormat="false" ht="15" hidden="false" customHeight="false" outlineLevel="0" collapsed="false">
      <c r="A3" s="1" t="n">
        <v>2</v>
      </c>
      <c r="B3" s="1" t="s">
        <v>21</v>
      </c>
      <c r="C3" s="1" t="s">
        <v>21</v>
      </c>
      <c r="D3" s="1" t="n">
        <v>9</v>
      </c>
      <c r="G3" s="1" t="n">
        <v>9</v>
      </c>
    </row>
    <row r="4" customFormat="false" ht="15" hidden="false" customHeight="false" outlineLevel="0" collapsed="false">
      <c r="A4" s="8" t="n">
        <v>3</v>
      </c>
      <c r="B4" s="8" t="s">
        <v>24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1" t="s">
        <v>29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5</v>
      </c>
      <c r="B6" s="1" t="s">
        <v>32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6</v>
      </c>
      <c r="B7" s="1" t="s">
        <v>37</v>
      </c>
      <c r="C7" s="1" t="s">
        <v>37</v>
      </c>
      <c r="D7" s="1" t="n">
        <v>9</v>
      </c>
      <c r="G7" s="1" t="n">
        <v>9</v>
      </c>
    </row>
    <row r="8" customFormat="false" ht="15" hidden="false" customHeight="false" outlineLevel="0" collapsed="false">
      <c r="A8" s="1" t="n">
        <v>7</v>
      </c>
      <c r="B8" s="1" t="s">
        <v>40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1" t="s">
        <v>43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9</v>
      </c>
      <c r="B10" s="1" t="s">
        <v>46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10</v>
      </c>
      <c r="B11" s="1" t="s">
        <v>49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11</v>
      </c>
      <c r="B12" s="1" t="s">
        <v>52</v>
      </c>
      <c r="C12" s="1" t="s">
        <v>52</v>
      </c>
      <c r="D12" s="1" t="n">
        <v>9</v>
      </c>
      <c r="G12" s="1" t="n">
        <v>9</v>
      </c>
    </row>
    <row r="13" customFormat="false" ht="15" hidden="false" customHeight="false" outlineLevel="0" collapsed="false">
      <c r="A13" s="1" t="n">
        <v>12</v>
      </c>
      <c r="B13" s="1" t="s">
        <v>55</v>
      </c>
      <c r="C13" s="1" t="s">
        <v>55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13</v>
      </c>
      <c r="B14" s="1" t="s">
        <v>58</v>
      </c>
      <c r="C14" s="1" t="s">
        <v>58</v>
      </c>
      <c r="D14" s="1" t="n">
        <v>5</v>
      </c>
      <c r="G14" s="1" t="n">
        <v>5</v>
      </c>
    </row>
    <row r="15" customFormat="false" ht="15" hidden="false" customHeight="false" outlineLevel="0" collapsed="false">
      <c r="A15" s="1" t="n">
        <v>14</v>
      </c>
      <c r="B15" s="1" t="s">
        <v>61</v>
      </c>
      <c r="C15" s="1" t="s">
        <v>61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15</v>
      </c>
      <c r="B16" s="1" t="s">
        <v>64</v>
      </c>
      <c r="C16" s="1" t="s">
        <v>64</v>
      </c>
      <c r="D16" s="1" t="n">
        <v>10</v>
      </c>
      <c r="G16" s="1" t="n">
        <v>10</v>
      </c>
    </row>
    <row r="17" customFormat="false" ht="15" hidden="false" customHeight="false" outlineLevel="0" collapsed="false">
      <c r="A17" s="1" t="n">
        <v>16</v>
      </c>
      <c r="B17" s="1" t="s">
        <v>67</v>
      </c>
      <c r="C17" s="1" t="s">
        <v>67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17</v>
      </c>
      <c r="B18" s="1" t="s">
        <v>71</v>
      </c>
      <c r="C18" s="1" t="s">
        <v>71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18</v>
      </c>
      <c r="B19" s="1" t="s">
        <v>74</v>
      </c>
      <c r="C19" s="1" t="s">
        <v>74</v>
      </c>
      <c r="D19" s="1" t="n">
        <v>7</v>
      </c>
      <c r="G19" s="1" t="n">
        <v>7</v>
      </c>
    </row>
    <row r="20" customFormat="false" ht="15" hidden="false" customHeight="false" outlineLevel="0" collapsed="false">
      <c r="A20" s="1" t="n">
        <v>19</v>
      </c>
      <c r="B20" s="1" t="s">
        <v>77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20</v>
      </c>
      <c r="B21" s="1" t="s">
        <v>80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21</v>
      </c>
      <c r="B22" s="1" t="s">
        <v>83</v>
      </c>
      <c r="C22" s="1" t="s">
        <v>83</v>
      </c>
      <c r="D22" s="1" t="n">
        <v>10</v>
      </c>
      <c r="G22" s="1" t="n">
        <v>10</v>
      </c>
    </row>
    <row r="23" customFormat="false" ht="15" hidden="false" customHeight="false" outlineLevel="0" collapsed="false">
      <c r="A23" s="1" t="n">
        <v>22</v>
      </c>
      <c r="B23" s="1" t="s">
        <v>86</v>
      </c>
      <c r="C23" s="1" t="s">
        <v>86</v>
      </c>
      <c r="D23" s="1" t="n">
        <v>10</v>
      </c>
      <c r="E23" s="1" t="n">
        <f aca="false">ROUND(AVERAGE(D23:D25),0)</f>
        <v>6</v>
      </c>
      <c r="F23" s="1" t="n">
        <v>6</v>
      </c>
      <c r="G23" s="1" t="n">
        <f aca="false">MAX(F23,E23)</f>
        <v>6</v>
      </c>
    </row>
    <row r="24" customFormat="false" ht="15" hidden="false" customHeight="false" outlineLevel="0" collapsed="false">
      <c r="C24" s="1" t="s">
        <v>86</v>
      </c>
      <c r="D24" s="1" t="n">
        <v>6</v>
      </c>
    </row>
    <row r="25" customFormat="false" ht="15" hidden="false" customHeight="false" outlineLevel="0" collapsed="false">
      <c r="C25" s="1" t="s">
        <v>86</v>
      </c>
      <c r="D25" s="1" t="n">
        <v>1</v>
      </c>
    </row>
    <row r="26" customFormat="false" ht="15" hidden="false" customHeight="false" outlineLevel="0" collapsed="false">
      <c r="A26" s="1" t="n">
        <v>23</v>
      </c>
      <c r="B26" s="1" t="s">
        <v>89</v>
      </c>
      <c r="D26" s="1" t="n">
        <v>1</v>
      </c>
      <c r="G26" s="1" t="n">
        <v>1</v>
      </c>
    </row>
    <row r="27" customFormat="false" ht="15" hidden="false" customHeight="false" outlineLevel="0" collapsed="false">
      <c r="F27" s="1" t="s">
        <v>10</v>
      </c>
      <c r="G27" s="1" t="n">
        <f aca="false">COUNTIF(G2:G26,"&gt;0")</f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2026-10-02T13:42:24Z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