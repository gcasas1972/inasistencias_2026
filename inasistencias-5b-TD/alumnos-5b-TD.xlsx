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positivos" sheetId="3" state="visible" r:id="rId5"/>
    <sheet name="9-act-mallas" sheetId="4" state="visible" r:id="rId6"/>
    <sheet name="1_atomo" sheetId="5" state="visible" r:id="rId7"/>
    <sheet name="2-coulomb" sheetId="6" state="visible" r:id="rId8"/>
    <sheet name="3-Cap2-3" sheetId="7" state="visible" r:id="rId9"/>
    <sheet name="4-cap 4-5-6" sheetId="8" state="visible" r:id="rId10"/>
    <sheet name="5-thevenin" sheetId="9" state="visible" r:id="rId11"/>
    <sheet name="Evaluacion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<sst xmlns="http://schemas.openxmlformats.org/spreadsheetml/2006/main" count="885" uniqueCount="302">
  <si>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</si>
  <si>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</si>
  <si>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</si>
  <si>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</si>
  <si>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</si>
  <si>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Ivan</t>
  </si>
  <si>
    <t xml:space="preserve">ACUÑA</t>
  </si>
  <si>
    <t xml:space="preserve">50030377@gmail.com</t>
  </si>
  <si>
    <t xml:space="preserve">P</t>
  </si>
  <si>
    <t xml:space="preserve">A</t>
  </si>
  <si>
    <t xml:space="preserve">recursante</t>
  </si>
  <si>
    <t xml:space="preserve">M</t>
  </si>
  <si>
    <t xml:space="preserve">Ivan Benjamín</t>
  </si>
  <si>
    <t xml:space="preserve">AGUERRE</t>
  </si>
  <si>
    <t xml:space="preserve">49627703@gmail.com</t>
  </si>
  <si>
    <t xml:space="preserve">Recursa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</si>
  <si>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</si>
  <si>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</si>
  <si>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</si>
  <si>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</si>
  <si>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</si>
  <si>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</si>
  <si>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Ulises Nicolas</t>
  </si>
  <si>
    <t xml:space="preserve">CETERA</t>
  </si>
  <si>
    <t xml:space="preserve">50276187@gmail.com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</si>
  <si>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</si>
  <si>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</si>
  <si>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</si>
  <si>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</si>
  <si>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</si>
  <si>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</si>
  <si>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</si>
  <si>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</si>
  <si>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</si>
  <si>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</si>
  <si>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</si>
  <si>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</si>
  <si>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</si>
  <si>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</si>
  <si>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</si>
  <si>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</si>
  <si>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</si>
  <si>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</si>
  <si>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</si>
  <si>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</si>
  <si>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</si>
  <si>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</si>
  <si>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</si>
  <si>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</si>
  <si>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</si>
  <si>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</si>
  <si>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</si>
  <si>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Recursante 17:05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</si>
  <si>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</si>
  <si>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</si>
  <si>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</si>
  <si>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</si>
  <si>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presentes</t>
  </si>
  <si>
    <t xml:space="preserve">media falta</t>
  </si>
  <si>
    <t xml:space="preserve">tarde</t>
  </si>
  <si>
    <t xml:space="preserve">Tarde</t>
  </si>
  <si>
    <t xml:space="preserve">total</t>
  </si>
  <si>
    <t xml:space="preserve">1er cuat</t>
  </si>
  <si>
    <t xml:space="preserve">2do cuat</t>
  </si>
  <si>
    <t xml:space="preserve">diciembre</t>
  </si>
  <si>
    <t xml:space="preserve">1-atomo</t>
  </si>
  <si>
    <t xml:space="preserve">Rcup 1</t>
  </si>
  <si>
    <t xml:space="preserve">2-coulomb</t>
  </si>
  <si>
    <t xml:space="preserve">Recup 2</t>
  </si>
  <si>
    <t xml:space="preserve">3-cap 2-3</t>
  </si>
  <si>
    <t xml:space="preserve">Recup 3</t>
  </si>
  <si>
    <t xml:space="preserve">4-cap 4–6</t>
  </si>
  <si>
    <t xml:space="preserve">Recup 4</t>
  </si>
  <si>
    <t xml:space="preserve">5-Thevenin</t>
  </si>
  <si>
    <t xml:space="preserve">Recup 5</t>
  </si>
  <si>
    <t xml:space="preserve">positivos</t>
  </si>
  <si>
    <t xml:space="preserve">Nota 5 + pos</t>
  </si>
  <si>
    <t xml:space="preserve">medio term</t>
  </si>
  <si>
    <t xml:space="preserve">valoracion</t>
  </si>
  <si>
    <t xml:space="preserve">Ealuacion</t>
  </si>
  <si>
    <t xml:space="preserve">Asistencia</t>
  </si>
  <si>
    <t xml:space="preserve">promedio</t>
  </si>
  <si>
    <t xml:space="preserve">9-mallas</t>
  </si>
  <si>
    <t xml:space="preserve">grupos</t>
  </si>
  <si>
    <t xml:space="preserve">10-mallas</t>
  </si>
  <si>
    <t xml:space="preserve">11-mallas</t>
  </si>
  <si>
    <t xml:space="preserve">12-carpetas</t>
  </si>
  <si>
    <t xml:space="preserve">12 + pos</t>
  </si>
  <si>
    <t xml:space="preserve">final</t>
  </si>
  <si>
    <t xml:space="preserve">1er Cuat</t>
  </si>
  <si>
    <t xml:space="preserve">2do Cuat</t>
  </si>
  <si>
    <t xml:space="preserve">nota</t>
  </si>
  <si>
    <t xml:space="preserve">nota dic</t>
  </si>
  <si>
    <t xml:space="preserve">G1</t>
  </si>
  <si>
    <t xml:space="preserve">no hay un ejercicio completo</t>
  </si>
  <si>
    <t xml:space="preserve">reprobado</t>
  </si>
  <si>
    <t xml:space="preserve">algo de mallas</t>
  </si>
  <si>
    <t xml:space="preserve">aplalzaso</t>
  </si>
  <si>
    <t xml:space="preserve">G2</t>
  </si>
  <si>
    <t xml:space="preserve">hermoso</t>
  </si>
  <si>
    <t xml:space="preserve">17/11 se completo</t>
  </si>
  <si>
    <t xml:space="preserve">aprobado</t>
  </si>
  <si>
    <t xml:space="preserve">G3</t>
  </si>
  <si>
    <t xml:space="preserve">aprobador</t>
  </si>
  <si>
    <t xml:space="preserve">mucha practica</t>
  </si>
  <si>
    <t xml:space="preserve">27/22</t>
  </si>
  <si>
    <t xml:space="preserve">completa pero feo</t>
  </si>
  <si>
    <t xml:space="preserve">4!712</t>
  </si>
  <si>
    <t xml:space="preserve">viendo un podcast</t>
  </si>
  <si>
    <t xml:space="preserve">aplalzado</t>
  </si>
  <si>
    <t xml:space="preserve">TEVEZ</t>
  </si>
  <si>
    <t xml:space="preserve">ausente</t>
  </si>
  <si>
    <t xml:space="preserve">falta completar</t>
  </si>
  <si>
    <t xml:space="preserve">Positivos</t>
  </si>
  <si>
    <t xml:space="preserve">Tiempo requerido</t>
  </si>
  <si>
    <t xml:space="preserve">Calificación/10,00</t>
  </si>
  <si>
    <t xml:space="preserve">segunda</t>
  </si>
  <si>
    <t xml:space="preserve">62 días 16 horas</t>
  </si>
  <si>
    <t xml:space="preserve">16 minutos 48 segundos</t>
  </si>
  <si>
    <t xml:space="preserve">1 hora 45 minutos</t>
  </si>
  <si>
    <t xml:space="preserve">7 minutos 2 segundos</t>
  </si>
  <si>
    <t xml:space="preserve">37 minutos 50 segundos</t>
  </si>
  <si>
    <t xml:space="preserve">4 minutos 7 segundos</t>
  </si>
  <si>
    <t xml:space="preserve">5 minutos 20 segundos</t>
  </si>
  <si>
    <t xml:space="preserve">4 minutos 35 segundos</t>
  </si>
  <si>
    <t xml:space="preserve">4 minutos 44 segundos</t>
  </si>
  <si>
    <t xml:space="preserve">1 hora 18 minutos</t>
  </si>
  <si>
    <t xml:space="preserve">20 días 21 horas</t>
  </si>
  <si>
    <t xml:space="preserve">8 minutos 35 segundos</t>
  </si>
  <si>
    <t xml:space="preserve">6 minutos 7 segundos</t>
  </si>
  <si>
    <t xml:space="preserve">31 minutos 37 segundos</t>
  </si>
  <si>
    <t xml:space="preserve">1 minutos 3 segundos</t>
  </si>
  <si>
    <t xml:space="preserve">1 minutos 4 segundos</t>
  </si>
  <si>
    <t xml:space="preserve">1 minutos 52 segundos</t>
  </si>
  <si>
    <t xml:space="preserve">17 minutos 22 segundos</t>
  </si>
  <si>
    <t xml:space="preserve">12 minutos 4 segundos</t>
  </si>
  <si>
    <t xml:space="preserve">5 minutos 34 segundos</t>
  </si>
  <si>
    <t xml:space="preserve">9 horas 25 minutos</t>
  </si>
  <si>
    <t xml:space="preserve">7 minutos 56 segundos</t>
  </si>
  <si>
    <t xml:space="preserve">6 minutos 6 segundos</t>
  </si>
  <si>
    <t xml:space="preserve">6 días 14 horas</t>
  </si>
  <si>
    <t xml:space="preserve">Finalizado</t>
  </si>
  <si>
    <t xml:space="preserve">3 de abril de 2025  14:24</t>
  </si>
  <si>
    <t xml:space="preserve">31 minutos 52 segundos</t>
  </si>
  <si>
    <t xml:space="preserve">10 de abril de 2025  00:45</t>
  </si>
  <si>
    <t xml:space="preserve">6 días 10 horas</t>
  </si>
  <si>
    <t xml:space="preserve">8 de abril de 2025  18:42</t>
  </si>
  <si>
    <t xml:space="preserve">5 días 4 horas</t>
  </si>
  <si>
    <t xml:space="preserve">10 de abril de 2025  14:51</t>
  </si>
  <si>
    <t xml:space="preserve">15 minutos 52 segundos</t>
  </si>
  <si>
    <t xml:space="preserve">8 de abril de 2025  18:56</t>
  </si>
  <si>
    <t xml:space="preserve">13 minutos 13 segundos</t>
  </si>
  <si>
    <t xml:space="preserve">5 de abril de 2025  00:25</t>
  </si>
  <si>
    <t xml:space="preserve">4 minutos 24 segundos</t>
  </si>
  <si>
    <t xml:space="preserve">5 de abril de 2025  00:18</t>
  </si>
  <si>
    <t xml:space="preserve">5 minutos 50 segundos</t>
  </si>
  <si>
    <t xml:space="preserve">10 de abril de 2025  01:19</t>
  </si>
  <si>
    <t xml:space="preserve">14 minutos 24 segundos</t>
  </si>
  <si>
    <t xml:space="preserve">10 de abril de 2025  23:14</t>
  </si>
  <si>
    <t xml:space="preserve">11 minutos 7 segundos</t>
  </si>
  <si>
    <t xml:space="preserve">10 de abril de 2025  22:36</t>
  </si>
  <si>
    <t xml:space="preserve">22 minutos 35 segundos</t>
  </si>
  <si>
    <t xml:space="preserve">10 de abril de 2025  22:58</t>
  </si>
  <si>
    <t xml:space="preserve">18 minutos 16 segundos</t>
  </si>
  <si>
    <t xml:space="preserve">10 de abril de 2025  00:50</t>
  </si>
  <si>
    <t xml:space="preserve">10 de abril de 2025  23:11</t>
  </si>
  <si>
    <t xml:space="preserve">7 días 9 horas</t>
  </si>
  <si>
    <t xml:space="preserve">6 de abril de 2025  17:25</t>
  </si>
  <si>
    <t xml:space="preserve">27 minutos 41 segundos</t>
  </si>
  <si>
    <t xml:space="preserve">9 de abril de 2025  13:57</t>
  </si>
  <si>
    <t xml:space="preserve">11 minutos 44 segundos</t>
  </si>
  <si>
    <t xml:space="preserve">9 de abril de 2025  13:39</t>
  </si>
  <si>
    <t xml:space="preserve">10 de abril de 2025  12:30</t>
  </si>
  <si>
    <t xml:space="preserve">14 minutos 3 segundos</t>
  </si>
  <si>
    <t xml:space="preserve">5 de abril de 2025  13:07</t>
  </si>
  <si>
    <t xml:space="preserve">4 minutos 36 segundos</t>
  </si>
  <si>
    <t xml:space="preserve">5 de abril de 2025  13:16</t>
  </si>
  <si>
    <t xml:space="preserve">7 minutos 47 segundos</t>
  </si>
  <si>
    <t xml:space="preserve">5 de abril de 2025  17:28</t>
  </si>
  <si>
    <t xml:space="preserve">5 horas 48 minutos</t>
  </si>
  <si>
    <t xml:space="preserve">10 de abril de 2025  09:37</t>
  </si>
  <si>
    <t xml:space="preserve">39 minutos 4 segundos</t>
  </si>
  <si>
    <t xml:space="preserve">10 de abril de 2025  01:45</t>
  </si>
  <si>
    <t xml:space="preserve">56 minutos 46 segundos</t>
  </si>
  <si>
    <t xml:space="preserve">9 de abril de 2025  14:11</t>
  </si>
  <si>
    <t xml:space="preserve">13 horas 45 minutos</t>
  </si>
  <si>
    <t xml:space="preserve">10 de abril de 2025  22:37</t>
  </si>
  <si>
    <t xml:space="preserve">13 minutos 20 segundos</t>
  </si>
  <si>
    <t xml:space="preserve">9 de abril de 2025  23:19</t>
  </si>
  <si>
    <t xml:space="preserve">4 días 1 hora</t>
  </si>
  <si>
    <t xml:space="preserve">9 de abril de 2025  23:30</t>
  </si>
  <si>
    <t xml:space="preserve">4 minutos 1 segundos</t>
  </si>
  <si>
    <t xml:space="preserve">10 de abril de 2025  14:48</t>
  </si>
  <si>
    <t xml:space="preserve">13 horas 27 minutos</t>
  </si>
  <si>
    <t xml:space="preserve">10 de abril de 2025  23:59</t>
  </si>
  <si>
    <t xml:space="preserve">21 minutos 28 segundos</t>
  </si>
  <si>
    <t xml:space="preserve">7 días 10 horas</t>
  </si>
  <si>
    <t xml:space="preserve">10 de abril de 2025  21:09</t>
  </si>
  <si>
    <t xml:space="preserve">45 minutos 10 segundos</t>
  </si>
  <si>
    <t xml:space="preserve">9 de abril de 2025  15:05</t>
  </si>
  <si>
    <t xml:space="preserve">2 días 18 horas</t>
  </si>
  <si>
    <t xml:space="preserve">10 de abril de 2025  23:09</t>
  </si>
  <si>
    <t xml:space="preserve">1 día 9 horas</t>
  </si>
  <si>
    <t xml:space="preserve">-</t>
  </si>
  <si>
    <t xml:space="preserve">5 de abril de 2025  13:29</t>
  </si>
  <si>
    <t xml:space="preserve">19 minutos 45 segundos</t>
  </si>
  <si>
    <t xml:space="preserve">20 minutos 13 segundos</t>
  </si>
  <si>
    <t xml:space="preserve">5 de abril de 2025  12:11</t>
  </si>
  <si>
    <t xml:space="preserve">10 minutos 46 segundos</t>
  </si>
  <si>
    <t xml:space="preserve">5 de abril de 2025  12:41</t>
  </si>
  <si>
    <t xml:space="preserve">28 minutos 7 segundos</t>
  </si>
  <si>
    <t xml:space="preserve">5 de abril de 2025  11:19</t>
  </si>
  <si>
    <t xml:space="preserve">17 minutos 18 segundos</t>
  </si>
  <si>
    <t xml:space="preserve">5 de abril de 2025  11:36</t>
  </si>
  <si>
    <t xml:space="preserve">15 minutos 34 segundos</t>
  </si>
  <si>
    <t xml:space="preserve">5 de abril de 2025  18:27</t>
  </si>
  <si>
    <t xml:space="preserve">11 minutos 42 segundos</t>
  </si>
  <si>
    <t xml:space="preserve">5 de abril de 2025  18:13</t>
  </si>
  <si>
    <t xml:space="preserve">44 minutos 26 segundos</t>
  </si>
  <si>
    <t xml:space="preserve">10 de abril de 2025  12:19</t>
  </si>
  <si>
    <t xml:space="preserve">24 minutos 42 segundos</t>
  </si>
  <si>
    <t xml:space="preserve">10 de abril de 2025  12:05</t>
  </si>
  <si>
    <t xml:space="preserve">12 minutos 27 segundos</t>
  </si>
  <si>
    <t xml:space="preserve">10 de abril de 2025  01:25</t>
  </si>
  <si>
    <t xml:space="preserve">7 minutos 41 segundos</t>
  </si>
  <si>
    <t xml:space="preserve">10 de abril de 2025  22:23</t>
  </si>
  <si>
    <t xml:space="preserve">22 horas 39 minutos</t>
  </si>
  <si>
    <t xml:space="preserve">10 de abril de 2025  12:49</t>
  </si>
  <si>
    <t xml:space="preserve">39 minutos 3 segundos</t>
  </si>
  <si>
    <t xml:space="preserve">10 de abril de 2025  23:37</t>
  </si>
  <si>
    <t xml:space="preserve">22 minutos 19 segundos</t>
  </si>
  <si>
    <t xml:space="preserve">10 de abril de 2025  23:44</t>
  </si>
  <si>
    <t xml:space="preserve">26 minutos 54 segundos</t>
  </si>
  <si>
    <t xml:space="preserve">10 de abril de 2025  12:38</t>
  </si>
  <si>
    <t xml:space="preserve">7 minutos 33 segundos</t>
  </si>
  <si>
    <t xml:space="preserve">10 de abril de 2025  02:40</t>
  </si>
  <si>
    <t xml:space="preserve">9 minutos 7 segundos</t>
  </si>
  <si>
    <t xml:space="preserve">10 de abril de 2025  12:20</t>
  </si>
  <si>
    <t xml:space="preserve">14 minutos 8 segundos</t>
  </si>
  <si>
    <t xml:space="preserve">10 de abril de 2025  02:30</t>
  </si>
  <si>
    <t xml:space="preserve">12 horas 44 minutos</t>
  </si>
  <si>
    <t xml:space="preserve">10 de abril de 2025  04:09</t>
  </si>
  <si>
    <t xml:space="preserve">9 minutos 17 segundos</t>
  </si>
  <si>
    <t xml:space="preserve">9 de abril de 2025  14:42</t>
  </si>
  <si>
    <t xml:space="preserve">15 minutos 36 segundos</t>
  </si>
  <si>
    <t xml:space="preserve">10 de abril de 2025  22:15</t>
  </si>
  <si>
    <t xml:space="preserve">1 día 8 horas</t>
  </si>
  <si>
    <t xml:space="preserve">5 de abril de 2025  15:47</t>
  </si>
  <si>
    <t xml:space="preserve">2 horas 27 minutos</t>
  </si>
  <si>
    <t xml:space="preserve">22 minutos 11 segundos</t>
  </si>
  <si>
    <t xml:space="preserve">5 de abril de 2025  19:20</t>
  </si>
  <si>
    <t xml:space="preserve">52 minutos 9 segundos</t>
  </si>
  <si>
    <t xml:space="preserve">10 de abril de 2025  14:00</t>
  </si>
  <si>
    <t xml:space="preserve">1 hora 46 minutos</t>
  </si>
  <si>
    <t xml:space="preserve">10 de abril de 2025  12:28</t>
  </si>
  <si>
    <t xml:space="preserve">11 horas 15 minutos</t>
  </si>
  <si>
    <t xml:space="preserve">10 de abril de 2025  22:08</t>
  </si>
  <si>
    <t xml:space="preserve">17 minutos 43 segundos</t>
  </si>
  <si>
    <t xml:space="preserve">10 de abril de 2025  13:30</t>
  </si>
  <si>
    <t xml:space="preserve">12 horas 57 minutos</t>
  </si>
  <si>
    <t xml:space="preserve">46 minutos 43 segundos</t>
  </si>
  <si>
    <t xml:space="preserve">10 de abril de 2025  12:54</t>
  </si>
  <si>
    <t xml:space="preserve">10 de abril de 2025  03:26</t>
  </si>
  <si>
    <t xml:space="preserve">1 hora 42 minutos</t>
  </si>
  <si>
    <t xml:space="preserve">10 de abril de 2025  03:57</t>
  </si>
  <si>
    <t xml:space="preserve">29 minutos 55 segundos</t>
  </si>
  <si>
    <t xml:space="preserve">10 de abril de 2025  04:51</t>
  </si>
  <si>
    <t xml:space="preserve">28 minutos 1 segundos</t>
  </si>
  <si>
    <t xml:space="preserve">10 de abril de 2025  01:31</t>
  </si>
  <si>
    <t xml:space="preserve">25 minutos 25 segundos</t>
  </si>
  <si>
    <t xml:space="preserve">5 de abril de 2025  16:19</t>
  </si>
  <si>
    <t xml:space="preserve">2 horas 59 minutos</t>
  </si>
  <si>
    <t xml:space="preserve">4 de mayo de 2025  14:02</t>
  </si>
  <si>
    <t xml:space="preserve">10 días</t>
  </si>
  <si>
    <t xml:space="preserve">24 de abril de 2025  23:32</t>
  </si>
  <si>
    <t xml:space="preserve">11 minutos 13 segundos</t>
  </si>
  <si>
    <t xml:space="preserve">24 de abril de 2025  23:40</t>
  </si>
  <si>
    <t xml:space="preserve">7 minutos 5 segundos</t>
  </si>
  <si>
    <t xml:space="preserve">24 de abril de 2025  23:19</t>
  </si>
  <si>
    <t xml:space="preserve">9 horas 17 minutos</t>
  </si>
  <si>
    <t xml:space="preserve">24 de abril de 2025  22:05</t>
  </si>
  <si>
    <t xml:space="preserve">26 minutos 41 segundos</t>
  </si>
  <si>
    <t xml:space="preserve">24 de abril de 2025  23:27</t>
  </si>
  <si>
    <t xml:space="preserve">24 de abril de 2025  23:20</t>
  </si>
  <si>
    <t xml:space="preserve">1 hora 7 minutos</t>
  </si>
  <si>
    <t xml:space="preserve">24 de abril de 2025  22:10</t>
  </si>
  <si>
    <t xml:space="preserve">7 horas 40 minutos</t>
  </si>
  <si>
    <t xml:space="preserve">24 de abril de 2025  23:44</t>
  </si>
  <si>
    <t xml:space="preserve">1 hora 41 minutos</t>
  </si>
  <si>
    <t xml:space="preserve">24 de abril de 2025  22:39</t>
  </si>
  <si>
    <t xml:space="preserve">15 minutos 46 segundos</t>
  </si>
  <si>
    <t xml:space="preserve">43 minutos 16 segundos</t>
  </si>
  <si>
    <t xml:space="preserve">43 minutos 46 segundos</t>
  </si>
  <si>
    <t xml:space="preserve">1 hora 5 minutos</t>
  </si>
  <si>
    <t xml:space="preserve">1 hora 8 minutos</t>
  </si>
  <si>
    <t xml:space="preserve">1 hora 14 minutos</t>
  </si>
  <si>
    <t xml:space="preserve">5 minutos 9 segundos</t>
  </si>
  <si>
    <t xml:space="preserve">1 hora 15 minutos</t>
  </si>
  <si>
    <t xml:space="preserve">1 hora 4 minutos</t>
  </si>
  <si>
    <t xml:space="preserve">1 hora 13 minutos</t>
  </si>
  <si>
    <t xml:space="preserve">33 minutos 25 segundos</t>
  </si>
  <si>
    <t xml:space="preserve">1 hora 11 minutos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</si>
</sst>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U21"/>
  <sheetViews>
    <sheetView showFormulas="false" showGridLines="true" showRowColHeaders="true" showZeros="true" rightToLeft="false" tabSelected="true" showOutlineSymbols="true" defaultGridColor="true" view="normal" topLeftCell="A3" colorId="64" zoomScale="100" zoomScaleNormal="100" zoomScalePageLayoutView="100" workbookViewId="0">
      <selection pane="topLeft" activeCell="T19" activeCellId="0" sqref="T19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false" hidden="true" outlineLevel="0" max="8" min="5" style="1" width="8.79"/>
    <col collapsed="false" customWidth="true" hidden="true" outlineLevel="0" max="9" min="9" style="1" width="15.86"/>
    <col collapsed="false" customWidth="false" hidden="true" outlineLevel="0" max="13" min="10" style="1" width="8.79"/>
    <col collapsed="false" customWidth="true" hidden="false" outlineLevel="0" max="16384" min="16329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46094</v>
      </c>
      <c r="G2" s="3" t="n">
        <v>46099</v>
      </c>
      <c r="H2" s="3" t="n">
        <v>46108</v>
      </c>
      <c r="I2" s="3" t="s">
        <v>4</v>
      </c>
      <c r="J2" s="3" t="n">
        <v>46113</v>
      </c>
      <c r="K2" s="3" t="n">
        <v>46120</v>
      </c>
      <c r="L2" s="3" t="n">
        <v>46122</v>
      </c>
      <c r="M2" s="3" t="n">
        <v>46127</v>
      </c>
      <c r="N2" s="3" t="n">
        <v>46129</v>
      </c>
      <c r="O2" s="3" t="n">
        <v>46134</v>
      </c>
      <c r="P2" s="3" t="n">
        <v>46136</v>
      </c>
      <c r="Q2" s="3" t="n">
        <v>46141</v>
      </c>
      <c r="R2" s="3" t="s">
        <v>4</v>
      </c>
      <c r="S2" s="3" t="n">
        <v>46148</v>
      </c>
      <c r="T2" s="3" t="n">
        <v>46150</v>
      </c>
      <c r="U2" s="3" t="s">
        <v>4</v>
      </c>
      <c r="V2" s="3" t="n">
        <v>46165</v>
      </c>
      <c r="W2" s="3" t="n">
        <v>46170</v>
      </c>
      <c r="X2" s="3" t="n">
        <v>46175</v>
      </c>
      <c r="Y2" s="3" t="n">
        <v>46180</v>
      </c>
      <c r="Z2" s="3" t="n">
        <v>46185</v>
      </c>
      <c r="AA2" s="3" t="n">
        <v>46190</v>
      </c>
      <c r="AB2" s="3" t="n">
        <v>46195</v>
      </c>
      <c r="AC2" s="3" t="n">
        <v>46200</v>
      </c>
      <c r="AD2" s="3" t="n">
        <v>46205</v>
      </c>
      <c r="AE2" s="3" t="n">
        <v>46210</v>
      </c>
      <c r="AF2" s="3" t="n">
        <v>46215</v>
      </c>
      <c r="AG2" s="3" t="n">
        <v>46220</v>
      </c>
      <c r="AH2" s="3" t="n">
        <v>46225</v>
      </c>
      <c r="AI2" s="3" t="n">
        <v>46230</v>
      </c>
      <c r="AJ2" s="3" t="n">
        <v>46235</v>
      </c>
      <c r="AK2" s="3" t="n">
        <v>46240</v>
      </c>
      <c r="AL2" s="3" t="n">
        <v>46245</v>
      </c>
      <c r="AM2" s="3" t="n">
        <v>46250</v>
      </c>
      <c r="AN2" s="3" t="n">
        <v>46255</v>
      </c>
      <c r="AO2" s="3" t="n">
        <v>46260</v>
      </c>
      <c r="AP2" s="3" t="n">
        <v>46265</v>
      </c>
      <c r="AQ2" s="3" t="n">
        <v>46270</v>
      </c>
      <c r="AR2" s="3" t="n">
        <v>46275</v>
      </c>
      <c r="AS2" s="3" t="n">
        <v>46280</v>
      </c>
      <c r="AT2" s="3" t="n">
        <v>46285</v>
      </c>
      <c r="AU2" s="3" t="n">
        <v>46290</v>
      </c>
      <c r="AV2" s="3" t="n">
        <v>46295</v>
      </c>
      <c r="AW2" s="3" t="n">
        <v>46300</v>
      </c>
      <c r="AX2" s="3" t="n">
        <v>46305</v>
      </c>
      <c r="AY2" s="3" t="n">
        <v>46310</v>
      </c>
      <c r="AZ2" s="3" t="n">
        <v>46315</v>
      </c>
      <c r="BA2" s="3" t="n">
        <v>46320</v>
      </c>
      <c r="BB2" s="3" t="n">
        <v>46325</v>
      </c>
      <c r="BC2" s="3" t="n">
        <v>46330</v>
      </c>
      <c r="BD2" s="3" t="n">
        <v>46335</v>
      </c>
      <c r="BE2" s="3" t="n">
        <v>46340</v>
      </c>
      <c r="BF2" s="3" t="n">
        <v>46345</v>
      </c>
      <c r="BG2" s="3" t="n">
        <v>46350</v>
      </c>
      <c r="BH2" s="3" t="n">
        <v>46355</v>
      </c>
      <c r="BI2" s="3" t="n">
        <v>46360</v>
      </c>
      <c r="BJ2" s="3" t="n">
        <v>46365</v>
      </c>
      <c r="BK2" s="3" t="n">
        <v>46370</v>
      </c>
      <c r="BL2" s="3" t="n">
        <v>46375</v>
      </c>
      <c r="BM2" s="3" t="n">
        <v>46380</v>
      </c>
      <c r="BN2" s="3" t="n">
        <v>46385</v>
      </c>
      <c r="BO2" s="3" t="n">
        <v>46390</v>
      </c>
      <c r="BP2" s="3" t="n">
        <v>46395</v>
      </c>
      <c r="BQ2" s="3" t="n">
        <v>46400</v>
      </c>
      <c r="BR2" s="3" t="n">
        <v>46405</v>
      </c>
      <c r="BS2" s="3" t="n">
        <v>46410</v>
      </c>
      <c r="BT2" s="3" t="n">
        <v>46415</v>
      </c>
      <c r="BU2" s="3" t="n">
        <v>46420</v>
      </c>
    </row>
    <row r="3" s="2" customFormat="true" ht="15" hidden="false" customHeight="false" outlineLevel="0" collapsed="false">
      <c r="A3" s="1" t="n">
        <v>1</v>
      </c>
      <c r="B3" s="2" t="s">
        <v>5</v>
      </c>
      <c r="C3" s="2" t="s">
        <v>6</v>
      </c>
      <c r="D3" s="2" t="s">
        <v>7</v>
      </c>
      <c r="E3" s="1" t="s">
        <v>8</v>
      </c>
      <c r="F3" s="1" t="s">
        <v>9</v>
      </c>
      <c r="G3" s="1" t="s">
        <v>8</v>
      </c>
      <c r="H3" s="1" t="s">
        <v>9</v>
      </c>
      <c r="I3" s="1" t="s">
        <v>10</v>
      </c>
      <c r="J3" s="1" t="s">
        <v>8</v>
      </c>
      <c r="K3" s="1" t="s">
        <v>8</v>
      </c>
      <c r="L3" s="1" t="s">
        <v>8</v>
      </c>
      <c r="M3" s="1" t="s">
        <v>8</v>
      </c>
      <c r="N3" s="1" t="s">
        <v>8</v>
      </c>
      <c r="O3" s="1" t="s">
        <v>8</v>
      </c>
      <c r="P3" s="1" t="s">
        <v>8</v>
      </c>
      <c r="Q3" s="1" t="s">
        <v>11</v>
      </c>
      <c r="R3" s="4" t="n">
        <v>0.538194444444444</v>
      </c>
      <c r="S3" s="1" t="s">
        <v>8</v>
      </c>
      <c r="T3" s="1" t="s">
        <v>8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</row>
    <row r="4" s="2" customFormat="true" ht="15" hidden="false" customHeight="false" outlineLevel="0" collapsed="false">
      <c r="A4" s="1" t="n">
        <v>2</v>
      </c>
      <c r="B4" s="2" t="s">
        <v>12</v>
      </c>
      <c r="C4" s="2" t="s">
        <v>13</v>
      </c>
      <c r="D4" s="2" t="s">
        <v>14</v>
      </c>
      <c r="E4" s="1" t="s">
        <v>8</v>
      </c>
      <c r="F4" s="1" t="s">
        <v>8</v>
      </c>
      <c r="G4" s="1" t="s">
        <v>8</v>
      </c>
      <c r="H4" s="1" t="s">
        <v>9</v>
      </c>
      <c r="I4" s="1" t="s">
        <v>10</v>
      </c>
      <c r="J4" s="1" t="s">
        <v>9</v>
      </c>
      <c r="K4" s="1" t="s">
        <v>9</v>
      </c>
      <c r="L4" s="1" t="s">
        <v>9</v>
      </c>
      <c r="M4" s="1" t="s">
        <v>9</v>
      </c>
      <c r="N4" s="1" t="s">
        <v>8</v>
      </c>
      <c r="O4" s="1" t="s">
        <v>9</v>
      </c>
      <c r="P4" s="1" t="s">
        <v>8</v>
      </c>
      <c r="Q4" s="1" t="s">
        <v>9</v>
      </c>
      <c r="R4" s="1"/>
      <c r="S4" s="1" t="s">
        <v>9</v>
      </c>
      <c r="T4" s="1" t="s">
        <v>9</v>
      </c>
      <c r="U4" s="1" t="s">
        <v>15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</row>
    <row r="5" s="1" customFormat="true" ht="15" hidden="false" customHeight="false" outlineLevel="0" collapsed="false">
      <c r="A5" s="1" t="n">
        <v>3</v>
      </c>
      <c r="B5" s="2" t="s">
        <v>16</v>
      </c>
      <c r="C5" s="2" t="s">
        <v>17</v>
      </c>
      <c r="D5" s="2" t="s">
        <v>18</v>
      </c>
      <c r="E5" s="1" t="s">
        <v>8</v>
      </c>
      <c r="F5" s="1" t="s">
        <v>8</v>
      </c>
      <c r="G5" s="1" t="s">
        <v>8</v>
      </c>
      <c r="H5" s="1" t="s">
        <v>8</v>
      </c>
      <c r="J5" s="1" t="s">
        <v>8</v>
      </c>
      <c r="K5" s="1" t="s">
        <v>8</v>
      </c>
      <c r="L5" s="1" t="s">
        <v>8</v>
      </c>
      <c r="M5" s="1" t="s">
        <v>8</v>
      </c>
      <c r="N5" s="1" t="s">
        <v>9</v>
      </c>
      <c r="O5" s="1" t="s">
        <v>8</v>
      </c>
      <c r="P5" s="1" t="s">
        <v>8</v>
      </c>
      <c r="Q5" s="1" t="s">
        <v>8</v>
      </c>
      <c r="S5" s="1" t="s">
        <v>8</v>
      </c>
      <c r="T5" s="1" t="s">
        <v>8</v>
      </c>
    </row>
    <row r="6" s="1" customFormat="true" ht="15" hidden="false" customHeight="false" outlineLevel="0" collapsed="false">
      <c r="A6" s="1" t="n">
        <v>4</v>
      </c>
      <c r="B6" s="2" t="s">
        <v>19</v>
      </c>
      <c r="C6" s="2" t="s">
        <v>20</v>
      </c>
      <c r="D6" s="2" t="s">
        <v>21</v>
      </c>
      <c r="E6" s="1" t="s">
        <v>8</v>
      </c>
      <c r="F6" s="1" t="s">
        <v>8</v>
      </c>
      <c r="G6" s="1" t="s">
        <v>8</v>
      </c>
      <c r="H6" s="1" t="s">
        <v>8</v>
      </c>
      <c r="J6" s="1" t="s">
        <v>9</v>
      </c>
      <c r="K6" s="1" t="s">
        <v>9</v>
      </c>
      <c r="L6" s="1" t="s">
        <v>8</v>
      </c>
      <c r="M6" s="1" t="s">
        <v>8</v>
      </c>
      <c r="N6" s="1" t="s">
        <v>8</v>
      </c>
      <c r="O6" s="1" t="s">
        <v>8</v>
      </c>
      <c r="P6" s="1" t="s">
        <v>8</v>
      </c>
      <c r="Q6" s="1" t="s">
        <v>8</v>
      </c>
      <c r="S6" s="1" t="s">
        <v>9</v>
      </c>
      <c r="T6" s="1" t="s">
        <v>8</v>
      </c>
    </row>
    <row r="7" s="1" customFormat="true" ht="15" hidden="false" customHeight="false" outlineLevel="0" collapsed="false">
      <c r="A7" s="1" t="n">
        <v>5</v>
      </c>
      <c r="B7" s="2" t="s">
        <v>22</v>
      </c>
      <c r="C7" s="2" t="s">
        <v>23</v>
      </c>
      <c r="D7" s="2" t="s">
        <v>24</v>
      </c>
      <c r="E7" s="1" t="s">
        <v>8</v>
      </c>
      <c r="F7" s="1" t="s">
        <v>8</v>
      </c>
      <c r="G7" s="1" t="s">
        <v>8</v>
      </c>
      <c r="H7" s="1" t="s">
        <v>8</v>
      </c>
      <c r="J7" s="1" t="s">
        <v>9</v>
      </c>
      <c r="K7" s="1" t="s">
        <v>8</v>
      </c>
      <c r="L7" s="1" t="s">
        <v>8</v>
      </c>
      <c r="M7" s="1" t="s">
        <v>8</v>
      </c>
      <c r="N7" s="1" t="s">
        <v>8</v>
      </c>
      <c r="O7" s="1" t="s">
        <v>8</v>
      </c>
      <c r="P7" s="1" t="s">
        <v>8</v>
      </c>
      <c r="Q7" s="1" t="s">
        <v>8</v>
      </c>
      <c r="S7" s="1" t="s">
        <v>8</v>
      </c>
      <c r="T7" s="1" t="s">
        <v>8</v>
      </c>
    </row>
    <row r="8" s="2" customFormat="true" ht="15" hidden="false" customHeight="false" outlineLevel="0" collapsed="false">
      <c r="A8" s="1" t="n">
        <v>6</v>
      </c>
      <c r="B8" s="2" t="s">
        <v>25</v>
      </c>
      <c r="C8" s="2" t="s">
        <v>26</v>
      </c>
      <c r="D8" s="2" t="s">
        <v>27</v>
      </c>
      <c r="E8" s="1" t="s">
        <v>8</v>
      </c>
      <c r="F8" s="1" t="s">
        <v>8</v>
      </c>
      <c r="G8" s="1" t="s">
        <v>8</v>
      </c>
      <c r="H8" s="1" t="s">
        <v>8</v>
      </c>
      <c r="I8" s="1"/>
      <c r="J8" s="1" t="s">
        <v>8</v>
      </c>
      <c r="K8" s="1" t="s">
        <v>9</v>
      </c>
      <c r="L8" s="1" t="s">
        <v>8</v>
      </c>
      <c r="M8" s="1" t="s">
        <v>8</v>
      </c>
      <c r="N8" s="1" t="s">
        <v>8</v>
      </c>
      <c r="O8" s="1" t="s">
        <v>8</v>
      </c>
      <c r="P8" s="1" t="s">
        <v>8</v>
      </c>
      <c r="Q8" s="1" t="s">
        <v>8</v>
      </c>
      <c r="R8" s="1"/>
      <c r="S8" s="1" t="s">
        <v>9</v>
      </c>
      <c r="T8" s="1" t="s">
        <v>8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</row>
    <row r="9" s="2" customFormat="true" ht="15" hidden="false" customHeight="false" outlineLevel="0" collapsed="false">
      <c r="A9" s="1" t="n">
        <v>7</v>
      </c>
      <c r="B9" s="2" t="s">
        <v>28</v>
      </c>
      <c r="C9" s="2" t="s">
        <v>29</v>
      </c>
      <c r="D9" s="2" t="s">
        <v>30</v>
      </c>
      <c r="E9" s="1" t="s">
        <v>8</v>
      </c>
      <c r="F9" s="1" t="s">
        <v>8</v>
      </c>
      <c r="G9" s="1" t="s">
        <v>8</v>
      </c>
      <c r="H9" s="1" t="s">
        <v>8</v>
      </c>
      <c r="I9" s="1"/>
      <c r="J9" s="1" t="s">
        <v>8</v>
      </c>
      <c r="K9" s="1" t="s">
        <v>8</v>
      </c>
      <c r="L9" s="1" t="s">
        <v>8</v>
      </c>
      <c r="M9" s="1" t="s">
        <v>8</v>
      </c>
      <c r="N9" s="1" t="s">
        <v>8</v>
      </c>
      <c r="O9" s="1" t="s">
        <v>8</v>
      </c>
      <c r="P9" s="1" t="s">
        <v>8</v>
      </c>
      <c r="Q9" s="1" t="s">
        <v>8</v>
      </c>
      <c r="R9" s="1"/>
      <c r="S9" s="1" t="s">
        <v>9</v>
      </c>
      <c r="T9" s="1" t="s">
        <v>8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</row>
    <row r="10" s="2" customFormat="true" ht="15" hidden="false" customHeight="false" outlineLevel="0" collapsed="false">
      <c r="A10" s="1" t="n">
        <v>8</v>
      </c>
      <c r="B10" s="2" t="s">
        <v>31</v>
      </c>
      <c r="C10" s="2" t="s">
        <v>32</v>
      </c>
      <c r="D10" s="2" t="s">
        <v>33</v>
      </c>
      <c r="E10" s="1" t="s">
        <v>8</v>
      </c>
      <c r="F10" s="1" t="s">
        <v>8</v>
      </c>
      <c r="G10" s="1" t="s">
        <v>8</v>
      </c>
      <c r="H10" s="1" t="s">
        <v>8</v>
      </c>
      <c r="I10" s="1"/>
      <c r="J10" s="1" t="s">
        <v>8</v>
      </c>
      <c r="K10" s="1" t="s">
        <v>8</v>
      </c>
      <c r="L10" s="1" t="s">
        <v>9</v>
      </c>
      <c r="M10" s="1" t="s">
        <v>8</v>
      </c>
      <c r="N10" s="1" t="s">
        <v>8</v>
      </c>
      <c r="O10" s="1" t="s">
        <v>8</v>
      </c>
      <c r="P10" s="1" t="s">
        <v>9</v>
      </c>
      <c r="Q10" s="1" t="s">
        <v>8</v>
      </c>
      <c r="R10" s="1"/>
      <c r="S10" s="1" t="s">
        <v>8</v>
      </c>
      <c r="T10" s="1" t="s">
        <v>8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</row>
    <row r="11" s="1" customFormat="true" ht="15" hidden="false" customHeight="false" outlineLevel="0" collapsed="false">
      <c r="A11" s="1" t="n">
        <v>9</v>
      </c>
      <c r="B11" s="2" t="s">
        <v>34</v>
      </c>
      <c r="C11" s="2" t="s">
        <v>35</v>
      </c>
      <c r="D11" s="2" t="s">
        <v>36</v>
      </c>
      <c r="E11" s="1" t="s">
        <v>8</v>
      </c>
      <c r="F11" s="1" t="s">
        <v>8</v>
      </c>
      <c r="G11" s="1" t="s">
        <v>8</v>
      </c>
      <c r="H11" s="1" t="s">
        <v>8</v>
      </c>
      <c r="J11" s="1" t="s">
        <v>8</v>
      </c>
      <c r="K11" s="1" t="s">
        <v>8</v>
      </c>
      <c r="L11" s="1" t="s">
        <v>8</v>
      </c>
      <c r="M11" s="1" t="s">
        <v>8</v>
      </c>
      <c r="N11" s="1" t="s">
        <v>8</v>
      </c>
      <c r="O11" s="1" t="s">
        <v>8</v>
      </c>
      <c r="P11" s="1" t="s">
        <v>8</v>
      </c>
      <c r="Q11" s="1" t="s">
        <v>8</v>
      </c>
      <c r="S11" s="1" t="s">
        <v>8</v>
      </c>
      <c r="T11" s="1" t="s">
        <v>8</v>
      </c>
    </row>
    <row r="12" s="1" customFormat="true" ht="15" hidden="false" customHeight="false" outlineLevel="0" collapsed="false">
      <c r="A12" s="1" t="n">
        <v>10</v>
      </c>
      <c r="B12" s="2" t="s">
        <v>37</v>
      </c>
      <c r="C12" s="2" t="s">
        <v>38</v>
      </c>
      <c r="D12" s="2" t="s">
        <v>39</v>
      </c>
      <c r="E12" s="1" t="s">
        <v>8</v>
      </c>
      <c r="F12" s="1" t="s">
        <v>8</v>
      </c>
      <c r="G12" s="1" t="s">
        <v>8</v>
      </c>
      <c r="H12" s="1" t="s">
        <v>8</v>
      </c>
      <c r="J12" s="1" t="s">
        <v>8</v>
      </c>
      <c r="K12" s="1" t="s">
        <v>8</v>
      </c>
      <c r="L12" s="1" t="s">
        <v>8</v>
      </c>
      <c r="M12" s="1" t="s">
        <v>8</v>
      </c>
      <c r="N12" s="1" t="s">
        <v>8</v>
      </c>
      <c r="O12" s="1" t="s">
        <v>8</v>
      </c>
      <c r="P12" s="1" t="s">
        <v>8</v>
      </c>
      <c r="Q12" s="1" t="s">
        <v>8</v>
      </c>
      <c r="S12" s="1" t="s">
        <v>8</v>
      </c>
      <c r="T12" s="1" t="s">
        <v>8</v>
      </c>
    </row>
    <row r="13" s="1" customFormat="true" ht="15" hidden="false" customHeight="false" outlineLevel="0" collapsed="false">
      <c r="A13" s="1" t="n">
        <v>11</v>
      </c>
      <c r="B13" s="2" t="s">
        <v>40</v>
      </c>
      <c r="C13" s="2" t="s">
        <v>41</v>
      </c>
      <c r="D13" s="2" t="s">
        <v>42</v>
      </c>
      <c r="E13" s="1" t="s">
        <v>8</v>
      </c>
      <c r="F13" s="1" t="s">
        <v>8</v>
      </c>
      <c r="G13" s="1" t="s">
        <v>8</v>
      </c>
      <c r="H13" s="1" t="s">
        <v>8</v>
      </c>
      <c r="J13" s="1" t="s">
        <v>8</v>
      </c>
      <c r="K13" s="1" t="s">
        <v>8</v>
      </c>
      <c r="L13" s="1" t="s">
        <v>8</v>
      </c>
      <c r="M13" s="1" t="s">
        <v>8</v>
      </c>
      <c r="N13" s="1" t="s">
        <v>8</v>
      </c>
      <c r="O13" s="1" t="s">
        <v>8</v>
      </c>
      <c r="P13" s="1" t="s">
        <v>9</v>
      </c>
      <c r="Q13" s="1" t="s">
        <v>8</v>
      </c>
      <c r="S13" s="1" t="s">
        <v>9</v>
      </c>
      <c r="T13" s="1" t="s">
        <v>8</v>
      </c>
    </row>
    <row r="14" s="2" customFormat="true" ht="15" hidden="false" customHeight="false" outlineLevel="0" collapsed="false">
      <c r="A14" s="1" t="n">
        <v>12</v>
      </c>
      <c r="B14" s="2" t="s">
        <v>43</v>
      </c>
      <c r="C14" s="2" t="s">
        <v>44</v>
      </c>
      <c r="D14" s="2" t="s">
        <v>45</v>
      </c>
      <c r="E14" s="1" t="s">
        <v>8</v>
      </c>
      <c r="F14" s="1" t="s">
        <v>8</v>
      </c>
      <c r="G14" s="1" t="s">
        <v>8</v>
      </c>
      <c r="H14" s="1" t="s">
        <v>8</v>
      </c>
      <c r="I14" s="1"/>
      <c r="J14" s="1" t="s">
        <v>8</v>
      </c>
      <c r="K14" s="1" t="s">
        <v>8</v>
      </c>
      <c r="L14" s="1" t="s">
        <v>8</v>
      </c>
      <c r="M14" s="1" t="s">
        <v>8</v>
      </c>
      <c r="N14" s="1" t="s">
        <v>8</v>
      </c>
      <c r="O14" s="1" t="s">
        <v>8</v>
      </c>
      <c r="P14" s="1" t="s">
        <v>8</v>
      </c>
      <c r="Q14" s="1" t="s">
        <v>8</v>
      </c>
      <c r="R14" s="1"/>
      <c r="S14" s="1" t="s">
        <v>8</v>
      </c>
      <c r="T14" s="1" t="s">
        <v>8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</row>
    <row r="15" s="2" customFormat="true" ht="15" hidden="false" customHeight="false" outlineLevel="0" collapsed="false">
      <c r="A15" s="1" t="n">
        <v>13</v>
      </c>
      <c r="B15" s="2" t="s">
        <v>46</v>
      </c>
      <c r="C15" s="2" t="s">
        <v>47</v>
      </c>
      <c r="D15" s="2" t="s">
        <v>48</v>
      </c>
      <c r="E15" s="1" t="s">
        <v>8</v>
      </c>
      <c r="F15" s="1" t="s">
        <v>8</v>
      </c>
      <c r="G15" s="1" t="s">
        <v>8</v>
      </c>
      <c r="H15" s="1" t="s">
        <v>8</v>
      </c>
      <c r="I15" s="1"/>
      <c r="J15" s="1" t="s">
        <v>8</v>
      </c>
      <c r="K15" s="1" t="s">
        <v>8</v>
      </c>
      <c r="L15" s="1" t="s">
        <v>8</v>
      </c>
      <c r="M15" s="1" t="s">
        <v>8</v>
      </c>
      <c r="N15" s="1" t="s">
        <v>8</v>
      </c>
      <c r="O15" s="1" t="s">
        <v>8</v>
      </c>
      <c r="P15" s="1" t="s">
        <v>8</v>
      </c>
      <c r="Q15" s="1" t="s">
        <v>8</v>
      </c>
      <c r="R15" s="1"/>
      <c r="S15" s="1" t="s">
        <v>8</v>
      </c>
      <c r="T15" s="1" t="s">
        <v>8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</row>
    <row r="16" s="2" customFormat="true" ht="15" hidden="false" customHeight="false" outlineLevel="0" collapsed="false">
      <c r="A16" s="1" t="n">
        <v>14</v>
      </c>
      <c r="B16" s="2" t="s">
        <v>49</v>
      </c>
      <c r="C16" s="2" t="s">
        <v>50</v>
      </c>
      <c r="D16" s="2" t="s">
        <v>51</v>
      </c>
      <c r="E16" s="1" t="s">
        <v>8</v>
      </c>
      <c r="F16" s="1" t="s">
        <v>8</v>
      </c>
      <c r="G16" s="1" t="s">
        <v>8</v>
      </c>
      <c r="H16" s="1" t="s">
        <v>9</v>
      </c>
      <c r="I16" s="1" t="s">
        <v>52</v>
      </c>
      <c r="J16" s="1" t="s">
        <v>9</v>
      </c>
      <c r="K16" s="1" t="s">
        <v>9</v>
      </c>
      <c r="L16" s="1" t="s">
        <v>9</v>
      </c>
      <c r="M16" s="1" t="s">
        <v>9</v>
      </c>
      <c r="N16" s="1" t="s">
        <v>9</v>
      </c>
      <c r="O16" s="1" t="s">
        <v>9</v>
      </c>
      <c r="P16" s="1" t="s">
        <v>9</v>
      </c>
      <c r="Q16" s="1" t="s">
        <v>9</v>
      </c>
      <c r="R16" s="1"/>
      <c r="S16" s="1" t="s">
        <v>9</v>
      </c>
      <c r="T16" s="1" t="s">
        <v>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</row>
    <row r="17" s="1" customFormat="true" ht="15" hidden="false" customHeight="false" outlineLevel="0" collapsed="false">
      <c r="A17" s="1" t="n">
        <v>15</v>
      </c>
      <c r="B17" s="2" t="s">
        <v>53</v>
      </c>
      <c r="C17" s="2" t="s">
        <v>54</v>
      </c>
      <c r="D17" s="2" t="s">
        <v>55</v>
      </c>
      <c r="E17" s="1" t="s">
        <v>8</v>
      </c>
      <c r="F17" s="1" t="s">
        <v>8</v>
      </c>
      <c r="G17" s="1" t="s">
        <v>9</v>
      </c>
      <c r="H17" s="1" t="s">
        <v>8</v>
      </c>
      <c r="J17" s="1" t="s">
        <v>8</v>
      </c>
      <c r="K17" s="1" t="s">
        <v>8</v>
      </c>
      <c r="L17" s="1" t="s">
        <v>8</v>
      </c>
      <c r="M17" s="1" t="s">
        <v>8</v>
      </c>
      <c r="N17" s="1" t="s">
        <v>8</v>
      </c>
      <c r="O17" s="1" t="s">
        <v>8</v>
      </c>
      <c r="P17" s="1" t="s">
        <v>8</v>
      </c>
      <c r="Q17" s="1" t="s">
        <v>8</v>
      </c>
      <c r="S17" s="1" t="s">
        <v>8</v>
      </c>
      <c r="T17" s="1" t="s">
        <v>8</v>
      </c>
    </row>
    <row r="18" customFormat="false" ht="15" hidden="false" customHeight="false" outlineLevel="0" collapsed="false">
      <c r="C18" s="1" t="s">
        <v>56</v>
      </c>
      <c r="D18" s="1" t="s">
        <v>57</v>
      </c>
      <c r="E18" s="1" t="n">
        <f aca="false">COUNTIF(E3:E17,"P")</f>
        <v>15</v>
      </c>
      <c r="F18" s="1" t="n">
        <f aca="false">COUNTIF(F3:F17,"P")</f>
        <v>14</v>
      </c>
      <c r="G18" s="1" t="n">
        <f aca="false">COUNTIF(G3:G17,"P")</f>
        <v>14</v>
      </c>
      <c r="H18" s="1" t="n">
        <f aca="false">COUNTIF(H3:H17,"P")</f>
        <v>12</v>
      </c>
      <c r="J18" s="1" t="n">
        <f aca="false">COUNTIF(J3:J17,"P")</f>
        <v>11</v>
      </c>
      <c r="K18" s="1" t="n">
        <f aca="false">COUNTIF(K3:K17,"P")</f>
        <v>11</v>
      </c>
      <c r="L18" s="1" t="n">
        <f aca="false">COUNTIF(L3:L17,"P")</f>
        <v>12</v>
      </c>
      <c r="M18" s="1" t="n">
        <f aca="false">COUNTIF(M3:M17,"P")</f>
        <v>13</v>
      </c>
      <c r="N18" s="1" t="n">
        <f aca="false">COUNTIF(N3:N17,"P")</f>
        <v>13</v>
      </c>
      <c r="O18" s="1" t="n">
        <f aca="false">COUNTIF(O3:O17,"P")</f>
        <v>13</v>
      </c>
      <c r="P18" s="1" t="n">
        <f aca="false">COUNTIF(P3:P17,"P")</f>
        <v>12</v>
      </c>
      <c r="Q18" s="1" t="n">
        <f aca="false">COUNTIF(Q3:Q17,"P")</f>
        <v>12</v>
      </c>
      <c r="R18" s="1"/>
      <c r="S18" s="1" t="n">
        <f aca="false">COUNTIF(S3:S17,"P")</f>
        <v>9</v>
      </c>
      <c r="T18" s="1" t="n">
        <f aca="false">COUNTIF(T3:T17,"P")</f>
        <v>13</v>
      </c>
    </row>
    <row r="19" customFormat="false" ht="15" hidden="false" customHeight="false" outlineLevel="0" collapsed="false">
      <c r="C19" s="1" t="s">
        <v>58</v>
      </c>
      <c r="D19" s="1" t="s">
        <v>58</v>
      </c>
      <c r="E19" s="1" t="n">
        <f aca="false">COUNTIF(E3:E17,"M")</f>
        <v>0</v>
      </c>
      <c r="F19" s="1" t="n">
        <f aca="false">COUNTIF(F3:F17,"M")</f>
        <v>0</v>
      </c>
      <c r="G19" s="1" t="n">
        <f aca="false">COUNTIF(G3:G17,"M")</f>
        <v>0</v>
      </c>
      <c r="H19" s="1" t="n">
        <f aca="false">COUNTIF(H3:H17,"M")</f>
        <v>0</v>
      </c>
      <c r="J19" s="1" t="n">
        <f aca="false">COUNTIF(J3:J17,"M")</f>
        <v>0</v>
      </c>
      <c r="K19" s="1" t="n">
        <f aca="false">COUNTIF(K3:K17,"M")</f>
        <v>0</v>
      </c>
      <c r="L19" s="1" t="n">
        <f aca="false">COUNTIF(L3:L17,"M")</f>
        <v>0</v>
      </c>
      <c r="M19" s="1" t="n">
        <f aca="false">COUNTIF(M3:M17,"M")</f>
        <v>0</v>
      </c>
      <c r="N19" s="1" t="n">
        <f aca="false">COUNTIF(N3:N17,"M")</f>
        <v>0</v>
      </c>
      <c r="O19" s="1" t="n">
        <f aca="false">COUNTIF(O3:O17,"M")</f>
        <v>0</v>
      </c>
      <c r="P19" s="1" t="n">
        <f aca="false">COUNTIF(P3:P17,"M")</f>
        <v>0</v>
      </c>
      <c r="Q19" s="1" t="n">
        <f aca="false">COUNTIF(Q3:Q17,"M")</f>
        <v>1</v>
      </c>
      <c r="R19" s="1"/>
      <c r="S19" s="1" t="n">
        <f aca="false">COUNTIF(S3:S17,"M")</f>
        <v>0</v>
      </c>
      <c r="T19" s="1" t="n">
        <f aca="false">COUNTIF(T3:T17,"M")</f>
        <v>0</v>
      </c>
    </row>
    <row r="20" customFormat="false" ht="15" hidden="false" customHeight="false" outlineLevel="0" collapsed="false">
      <c r="C20" s="1" t="s">
        <v>59</v>
      </c>
      <c r="D20" s="1" t="s">
        <v>60</v>
      </c>
      <c r="E20" s="1" t="n">
        <f aca="false">COUNTIF(E3:E17,"T")</f>
        <v>0</v>
      </c>
      <c r="F20" s="1" t="n">
        <f aca="false">COUNTIF(F3:F17,"T")</f>
        <v>0</v>
      </c>
      <c r="G20" s="1" t="n">
        <f aca="false">COUNTIF(G3:G17,"T")</f>
        <v>0</v>
      </c>
      <c r="H20" s="1" t="n">
        <f aca="false">COUNTIF(H3:H17,"T")</f>
        <v>0</v>
      </c>
      <c r="J20" s="1" t="n">
        <f aca="false">COUNTIF(J3:J17,"T")</f>
        <v>0</v>
      </c>
      <c r="K20" s="1" t="n">
        <f aca="false">COUNTIF(K3:K17,"T")</f>
        <v>0</v>
      </c>
      <c r="L20" s="1" t="n">
        <f aca="false">COUNTIF(L3:L17,"T")</f>
        <v>0</v>
      </c>
      <c r="M20" s="1" t="n">
        <f aca="false">COUNTIF(M3:M17,"T")</f>
        <v>0</v>
      </c>
      <c r="N20" s="1" t="n">
        <f aca="false">COUNTIF(N3:N17,"T")</f>
        <v>0</v>
      </c>
      <c r="O20" s="1" t="n">
        <f aca="false">COUNTIF(O3:O17,"T")</f>
        <v>0</v>
      </c>
      <c r="P20" s="1" t="n">
        <f aca="false">COUNTIF(P3:P17,"T")</f>
        <v>0</v>
      </c>
      <c r="Q20" s="1" t="n">
        <f aca="false">COUNTIF(Q3:Q17,"T")</f>
        <v>0</v>
      </c>
      <c r="R20" s="1"/>
      <c r="S20" s="1" t="n">
        <f aca="false">COUNTIF(S3:S17,"T")</f>
        <v>0</v>
      </c>
      <c r="T20" s="1" t="n">
        <f aca="false">COUNTIF(T3:T17,"T")</f>
        <v>0</v>
      </c>
    </row>
    <row r="21" customFormat="false" ht="15" hidden="false" customHeight="false" outlineLevel="0" collapsed="false">
      <c r="C21" s="1" t="s">
        <v>61</v>
      </c>
      <c r="E21" s="1" t="n">
        <f aca="false">SUM(E18:E20)</f>
        <v>15</v>
      </c>
      <c r="F21" s="1" t="n">
        <f aca="false">SUM(F18:F20)</f>
        <v>14</v>
      </c>
      <c r="G21" s="1" t="n">
        <f aca="false">SUM(G18:G20)</f>
        <v>14</v>
      </c>
      <c r="H21" s="1" t="n">
        <f aca="false">SUM(H18:H20)</f>
        <v>12</v>
      </c>
      <c r="J21" s="1" t="n">
        <f aca="false">SUM(J18:J20)</f>
        <v>11</v>
      </c>
      <c r="K21" s="1" t="n">
        <f aca="false">SUM(K18:K20)</f>
        <v>11</v>
      </c>
      <c r="L21" s="1" t="n">
        <f aca="false">SUM(L18:L20)</f>
        <v>12</v>
      </c>
      <c r="M21" s="1" t="n">
        <f aca="false">SUM(M18:M20)</f>
        <v>13</v>
      </c>
      <c r="N21" s="1" t="n">
        <f aca="false">SUM(N18:N20)</f>
        <v>13</v>
      </c>
      <c r="O21" s="1" t="n">
        <f aca="false">SUM(O18:O20)</f>
        <v>13</v>
      </c>
      <c r="P21" s="1" t="n">
        <f aca="false">SUM(P18:P20)</f>
        <v>12</v>
      </c>
      <c r="Q21" s="1" t="n">
        <f aca="false">SUM(Q18:Q20)</f>
        <v>13</v>
      </c>
      <c r="R21" s="1"/>
      <c r="S21" s="1" t="n">
        <f aca="false">SUM(S18:S20)</f>
        <v>9</v>
      </c>
      <c r="T21" s="1" t="n">
        <f aca="false">SUM(T18:T20)</f>
        <v>13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14" min="3" style="1" width="9.37"/>
    <col collapsed="false" customWidth="false" hidden="false" outlineLevel="0" max="18" min="15" style="1" width="9.58"/>
    <col collapsed="false" customWidth="false" hidden="false" outlineLevel="0" max="25" min="19" style="1" width="9.62"/>
    <col collapsed="false" customWidth="true" hidden="false" outlineLevel="0" max="26" min="26" style="1" width="24.87"/>
    <col collapsed="false" customWidth="false" hidden="false" outlineLevel="0" max="35" min="27" style="1" width="9.62"/>
  </cols>
  <sheetData>
    <row r="1" customFormat="false" ht="15" hidden="false" customHeight="false" outlineLevel="0" collapsed="false">
      <c r="B1" s="2"/>
      <c r="S1" s="1" t="s">
        <v>62</v>
      </c>
      <c r="T1" s="3"/>
      <c r="U1" s="3"/>
      <c r="AD1" s="1" t="s">
        <v>63</v>
      </c>
      <c r="AF1" s="1" t="s">
        <v>64</v>
      </c>
      <c r="AG1" s="1" t="s">
        <v>64</v>
      </c>
      <c r="AI1" s="2"/>
      <c r="AJ1" s="2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65</v>
      </c>
      <c r="D2" s="1" t="s">
        <v>66</v>
      </c>
      <c r="E2" s="1" t="s">
        <v>67</v>
      </c>
      <c r="F2" s="1" t="s">
        <v>68</v>
      </c>
      <c r="G2" s="1" t="s">
        <v>69</v>
      </c>
      <c r="H2" s="1" t="s">
        <v>70</v>
      </c>
      <c r="I2" s="1" t="s">
        <v>71</v>
      </c>
      <c r="J2" s="1" t="s">
        <v>72</v>
      </c>
      <c r="K2" s="1" t="s">
        <v>73</v>
      </c>
      <c r="L2" s="1" t="s">
        <v>74</v>
      </c>
      <c r="M2" s="1" t="s">
        <v>75</v>
      </c>
      <c r="N2" s="1" t="s">
        <v>76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3" t="n">
        <v>45876</v>
      </c>
      <c r="U2" s="3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1" t="s">
        <v>4</v>
      </c>
      <c r="AA2" s="1" t="s">
        <v>75</v>
      </c>
      <c r="AB2" s="1" t="s">
        <v>87</v>
      </c>
      <c r="AC2" s="1" t="s">
        <v>80</v>
      </c>
      <c r="AD2" s="1" t="s">
        <v>81</v>
      </c>
      <c r="AE2" s="1" t="s">
        <v>88</v>
      </c>
      <c r="AF2" s="1" t="s">
        <v>80</v>
      </c>
      <c r="AG2" s="1" t="s">
        <v>89</v>
      </c>
      <c r="AH2" s="1" t="s">
        <v>90</v>
      </c>
      <c r="AI2" s="2" t="s">
        <v>91</v>
      </c>
      <c r="AJ2" s="2" t="s">
        <v>92</v>
      </c>
      <c r="AK2" s="2" t="s">
        <v>4</v>
      </c>
    </row>
    <row r="3" s="1" customFormat="true" ht="15.65" hidden="false" customHeight="false" outlineLevel="0" collapsed="false">
      <c r="A3" s="1" t="n">
        <v>1</v>
      </c>
      <c r="B3" s="2" t="s">
        <v>6</v>
      </c>
      <c r="C3" s="1" t="n">
        <v>8</v>
      </c>
      <c r="D3" s="3" t="n">
        <v>45995</v>
      </c>
      <c r="E3" s="1" t="n">
        <v>1</v>
      </c>
      <c r="G3" s="1" t="n">
        <v>1</v>
      </c>
      <c r="I3" s="1" t="n">
        <v>1</v>
      </c>
      <c r="K3" s="1" t="n">
        <v>1</v>
      </c>
      <c r="M3" s="1" t="n">
        <v>1</v>
      </c>
      <c r="N3" s="1" t="n">
        <f aca="false">ROUND(K3+M3/2,0)</f>
        <v>2</v>
      </c>
      <c r="O3" s="1" t="n">
        <f aca="false">ROUND(AVERAGE(C3,E3,G3,I3,N3),0)</f>
        <v>3</v>
      </c>
      <c r="P3" s="1" t="str">
        <f aca="false">IF(O3&lt;7,"TEP","TEA")</f>
        <v>TEP</v>
      </c>
      <c r="Q3" s="1" t="n">
        <v>1.4</v>
      </c>
      <c r="R3" s="5" t="n">
        <v>8</v>
      </c>
      <c r="S3" s="6" t="n">
        <f aca="false">ROUND(AVERAGE(Q3:R3,O3),0)</f>
        <v>4</v>
      </c>
      <c r="T3" s="1" t="s">
        <v>8</v>
      </c>
      <c r="U3" s="1" t="n">
        <v>2</v>
      </c>
      <c r="V3" s="2" t="s">
        <v>93</v>
      </c>
      <c r="W3" s="1" t="n">
        <v>7</v>
      </c>
      <c r="X3" s="1" t="n">
        <v>1</v>
      </c>
      <c r="Y3" s="1" t="n">
        <v>5</v>
      </c>
      <c r="Z3" s="1" t="s">
        <v>94</v>
      </c>
      <c r="AA3" s="1" t="n">
        <v>10</v>
      </c>
      <c r="AB3" s="1" t="n">
        <f aca="false">Y3+AA3/2</f>
        <v>10</v>
      </c>
      <c r="AC3" s="1" t="n">
        <v>6</v>
      </c>
      <c r="AD3" s="6" t="n">
        <f aca="false">ROUND(AVERAGE(U3,W3,X3,AB3,AC3),0)</f>
        <v>5</v>
      </c>
      <c r="AE3" s="6" t="n">
        <f aca="false">ROUND(AVERAGE(S3,AD3),0)</f>
        <v>5</v>
      </c>
      <c r="AF3" s="6" t="n">
        <v>5</v>
      </c>
      <c r="AG3" s="6" t="n">
        <f aca="false">ROUND(AVERAGE(C3,E3,G3,I3,K3),0)</f>
        <v>2</v>
      </c>
      <c r="AH3" s="6" t="n">
        <f aca="false">ROUND(AVERAGE(U3,AF3),0)</f>
        <v>4</v>
      </c>
      <c r="AI3" s="6" t="n">
        <f aca="false">ROUND(AVERAGE(AG3,AH3),0)</f>
        <v>3</v>
      </c>
      <c r="AJ3" s="1" t="n">
        <v>2</v>
      </c>
      <c r="AK3" s="1" t="s">
        <v>95</v>
      </c>
    </row>
    <row r="4" s="1" customFormat="true" ht="15.65" hidden="false" customHeight="false" outlineLevel="0" collapsed="false">
      <c r="A4" s="1" t="n">
        <v>2</v>
      </c>
      <c r="B4" s="2" t="s">
        <v>13</v>
      </c>
      <c r="C4" s="1" t="n">
        <v>9</v>
      </c>
      <c r="D4" s="3" t="n">
        <v>45782</v>
      </c>
      <c r="E4" s="1" t="n">
        <v>8</v>
      </c>
      <c r="F4" s="3" t="n">
        <v>45995</v>
      </c>
      <c r="G4" s="1" t="n">
        <v>9</v>
      </c>
      <c r="H4" s="3" t="n">
        <v>45782</v>
      </c>
      <c r="I4" s="1" t="n">
        <v>8</v>
      </c>
      <c r="J4" s="3" t="n">
        <v>45782</v>
      </c>
      <c r="K4" s="1" t="n">
        <v>5</v>
      </c>
      <c r="M4" s="1" t="n">
        <v>1</v>
      </c>
      <c r="N4" s="1" t="n">
        <f aca="false">ROUND(K4+M4/2,0)</f>
        <v>6</v>
      </c>
      <c r="O4" s="1" t="n">
        <f aca="false">ROUND(AVERAGE(C4,E4,G4,I4,N4),0)</f>
        <v>8</v>
      </c>
      <c r="P4" s="1" t="str">
        <f aca="false">IF(O4&lt;7,"TEP","TEA")</f>
        <v>TEA</v>
      </c>
      <c r="Q4" s="1" t="n">
        <v>3</v>
      </c>
      <c r="R4" s="5" t="n">
        <v>8</v>
      </c>
      <c r="S4" s="6" t="n">
        <f aca="false">ROUND(AVERAGE(Q4:R4,O4),0)</f>
        <v>6</v>
      </c>
      <c r="T4" s="1" t="s">
        <v>8</v>
      </c>
      <c r="U4" s="1" t="n">
        <v>1</v>
      </c>
      <c r="V4" s="2" t="s">
        <v>93</v>
      </c>
      <c r="W4" s="1" t="n">
        <v>7</v>
      </c>
      <c r="X4" s="1" t="n">
        <v>1</v>
      </c>
      <c r="Y4" s="1" t="n">
        <v>2</v>
      </c>
      <c r="Z4" s="1" t="s">
        <v>96</v>
      </c>
      <c r="AA4" s="1" t="n">
        <v>10</v>
      </c>
      <c r="AB4" s="1" t="n">
        <f aca="false">Y4+AA4/2</f>
        <v>7</v>
      </c>
      <c r="AC4" s="1" t="n">
        <v>8</v>
      </c>
      <c r="AD4" s="6" t="n">
        <f aca="false">ROUND(AVERAGE(U4,W4,X4,AB4,AC4),0)</f>
        <v>5</v>
      </c>
      <c r="AE4" s="6" t="n">
        <f aca="false">ROUND(AVERAGE(S4,AD4),0)</f>
        <v>6</v>
      </c>
      <c r="AF4" s="6" t="n">
        <v>10</v>
      </c>
      <c r="AG4" s="6" t="n">
        <f aca="false">ROUND(AVERAGE(C4,E4,G4,I4,K4),0)</f>
        <v>8</v>
      </c>
      <c r="AH4" s="6" t="n">
        <f aca="false">ROUND(AVERAGE(U4,AF4),0)</f>
        <v>6</v>
      </c>
      <c r="AI4" s="6" t="n">
        <f aca="false">ROUND(AVERAGE(AG4,AH4),0)</f>
        <v>7</v>
      </c>
      <c r="AJ4" s="1" t="n">
        <v>2</v>
      </c>
      <c r="AK4" s="1" t="s">
        <v>97</v>
      </c>
    </row>
    <row r="5" s="1" customFormat="true" ht="15.65" hidden="true" customHeight="false" outlineLevel="0" collapsed="false">
      <c r="A5" s="1" t="n">
        <v>3</v>
      </c>
      <c r="B5" s="2" t="s">
        <v>17</v>
      </c>
      <c r="C5" s="1" t="n">
        <v>8</v>
      </c>
      <c r="E5" s="1" t="n">
        <v>8.7</v>
      </c>
      <c r="G5" s="1" t="n">
        <v>9</v>
      </c>
      <c r="I5" s="1" t="n">
        <f aca="false">ROUND(MAX(G5,E5),0)</f>
        <v>9</v>
      </c>
      <c r="K5" s="1" t="n">
        <v>1</v>
      </c>
      <c r="M5" s="1" t="n">
        <v>13</v>
      </c>
      <c r="N5" s="1" t="n">
        <f aca="false">ROUND(K5+M5/2,0)</f>
        <v>8</v>
      </c>
      <c r="O5" s="1" t="n">
        <f aca="false">ROUND(AVERAGE(C5,E5,G5,I5,N5),0)</f>
        <v>9</v>
      </c>
      <c r="P5" s="1" t="str">
        <f aca="false">IF(O5&lt;7,"TEP","TEA")</f>
        <v>TEA</v>
      </c>
      <c r="Q5" s="1" t="n">
        <v>9.3</v>
      </c>
      <c r="R5" s="5" t="n">
        <v>10</v>
      </c>
      <c r="S5" s="6" t="n">
        <f aca="false">ROUND(AVERAGE(Q5:R5,O5),0)</f>
        <v>9</v>
      </c>
      <c r="U5" s="1" t="n">
        <v>9</v>
      </c>
      <c r="V5" s="1" t="s">
        <v>98</v>
      </c>
      <c r="W5" s="1" t="n">
        <v>10</v>
      </c>
      <c r="X5" s="1" t="n">
        <v>10</v>
      </c>
      <c r="Y5" s="1" t="n">
        <v>9</v>
      </c>
      <c r="AA5" s="1" t="n">
        <v>11</v>
      </c>
      <c r="AB5" s="1" t="n">
        <f aca="false">Y5+AA5/2</f>
        <v>14.5</v>
      </c>
      <c r="AC5" s="1" t="n">
        <v>10</v>
      </c>
      <c r="AD5" s="6" t="n">
        <f aca="false">ROUND(AVERAGE(U5,W5,X5,AB5,AC5),0)</f>
        <v>11</v>
      </c>
      <c r="AE5" s="6" t="n">
        <f aca="false">ROUND(AVERAGE(S5,AD5),0)</f>
        <v>10</v>
      </c>
      <c r="AF5" s="6"/>
      <c r="AG5" s="6"/>
      <c r="AH5" s="6"/>
      <c r="AI5" s="6"/>
    </row>
    <row r="6" s="1" customFormat="true" ht="15.65" hidden="true" customHeight="false" outlineLevel="0" collapsed="false">
      <c r="A6" s="1" t="n">
        <v>4</v>
      </c>
      <c r="B6" s="2" t="s">
        <v>20</v>
      </c>
      <c r="C6" s="1" t="n">
        <v>10</v>
      </c>
      <c r="E6" s="1" t="n">
        <v>4</v>
      </c>
      <c r="G6" s="1" t="n">
        <v>9</v>
      </c>
      <c r="I6" s="1" t="n">
        <v>5</v>
      </c>
      <c r="K6" s="1" t="n">
        <v>6</v>
      </c>
      <c r="M6" s="1" t="n">
        <v>7</v>
      </c>
      <c r="N6" s="1" t="n">
        <f aca="false">ROUND(K6+M6/2,0)</f>
        <v>10</v>
      </c>
      <c r="O6" s="1" t="n">
        <f aca="false">ROUND(AVERAGE(C6,E6,G6,I6,N6),0)</f>
        <v>8</v>
      </c>
      <c r="P6" s="1" t="str">
        <f aca="false">IF(O6&lt;7,"TEP","TEA")</f>
        <v>TEA</v>
      </c>
      <c r="Q6" s="1" t="n">
        <v>4.4</v>
      </c>
      <c r="R6" s="5" t="n">
        <v>9</v>
      </c>
      <c r="S6" s="6" t="n">
        <f aca="false">ROUND(AVERAGE(Q6:R6,O6),0)</f>
        <v>7</v>
      </c>
      <c r="U6" s="1" t="n">
        <v>6</v>
      </c>
      <c r="V6" s="1" t="s">
        <v>98</v>
      </c>
      <c r="W6" s="1" t="n">
        <v>10</v>
      </c>
      <c r="X6" s="1" t="n">
        <v>10</v>
      </c>
      <c r="Y6" s="1" t="n">
        <v>10</v>
      </c>
      <c r="Z6" s="1" t="s">
        <v>99</v>
      </c>
      <c r="AA6" s="1" t="n">
        <v>10</v>
      </c>
      <c r="AB6" s="1" t="n">
        <f aca="false">Y6+AA6/2</f>
        <v>15</v>
      </c>
      <c r="AC6" s="1" t="n">
        <v>9</v>
      </c>
      <c r="AD6" s="6" t="n">
        <f aca="false">ROUND(AVERAGE(U6,W6,X6,AB6,AC6),0)</f>
        <v>10</v>
      </c>
      <c r="AE6" s="6" t="n">
        <f aca="false">ROUND(AVERAGE(S6,AD6),0)</f>
        <v>9</v>
      </c>
      <c r="AF6" s="6"/>
      <c r="AG6" s="6"/>
      <c r="AH6" s="6"/>
      <c r="AI6" s="6"/>
    </row>
    <row r="7" s="1" customFormat="true" ht="15.65" hidden="true" customHeight="false" outlineLevel="0" collapsed="false">
      <c r="A7" s="1" t="n">
        <v>5</v>
      </c>
      <c r="B7" s="2" t="s">
        <v>23</v>
      </c>
      <c r="C7" s="1" t="n">
        <v>5</v>
      </c>
      <c r="E7" s="1" t="n">
        <v>7</v>
      </c>
      <c r="G7" s="1" t="n">
        <v>7</v>
      </c>
      <c r="I7" s="1" t="n">
        <v>9</v>
      </c>
      <c r="K7" s="1" t="n">
        <v>4</v>
      </c>
      <c r="M7" s="1" t="n">
        <v>10</v>
      </c>
      <c r="N7" s="1" t="n">
        <f aca="false">ROUND(K7+M7/2,0)</f>
        <v>9</v>
      </c>
      <c r="O7" s="1" t="n">
        <f aca="false">ROUND(AVERAGE(C7,E7,G7,I7,N7),0)</f>
        <v>7</v>
      </c>
      <c r="P7" s="1" t="str">
        <f aca="false">IF(O7&lt;7,"TEP","TEA")</f>
        <v>TEA</v>
      </c>
      <c r="Q7" s="1" t="n">
        <v>4.2</v>
      </c>
      <c r="R7" s="5" t="n">
        <v>10</v>
      </c>
      <c r="S7" s="6" t="n">
        <f aca="false">ROUND(AVERAGE(Q7:R7,O7),0)</f>
        <v>7</v>
      </c>
      <c r="U7" s="1" t="n">
        <v>6</v>
      </c>
      <c r="V7" s="1" t="s">
        <v>98</v>
      </c>
      <c r="W7" s="1" t="n">
        <v>10</v>
      </c>
      <c r="X7" s="1" t="n">
        <v>7</v>
      </c>
      <c r="Y7" s="1" t="n">
        <v>9</v>
      </c>
      <c r="AA7" s="1" t="n">
        <v>10</v>
      </c>
      <c r="AB7" s="1" t="n">
        <f aca="false">Y7+AA7/2</f>
        <v>14</v>
      </c>
      <c r="AC7" s="1" t="n">
        <v>10</v>
      </c>
      <c r="AD7" s="6" t="n">
        <f aca="false">ROUND(AVERAGE(U7,W7,X7,AB7,AC7),0)</f>
        <v>9</v>
      </c>
      <c r="AE7" s="6" t="n">
        <f aca="false">ROUND(AVERAGE(S7,AD7),0)</f>
        <v>8</v>
      </c>
      <c r="AF7" s="6"/>
      <c r="AG7" s="6"/>
      <c r="AH7" s="6"/>
      <c r="AI7" s="6"/>
    </row>
    <row r="8" s="1" customFormat="true" ht="15.65" hidden="true" customHeight="false" outlineLevel="0" collapsed="false">
      <c r="A8" s="1" t="n">
        <v>6</v>
      </c>
      <c r="B8" s="2" t="s">
        <v>26</v>
      </c>
      <c r="C8" s="1" t="n">
        <v>8</v>
      </c>
      <c r="D8" s="3" t="n">
        <v>45988</v>
      </c>
      <c r="E8" s="1" t="n">
        <v>7</v>
      </c>
      <c r="F8" s="3" t="n">
        <v>46002</v>
      </c>
      <c r="G8" s="1" t="n">
        <v>6</v>
      </c>
      <c r="H8" s="3" t="n">
        <v>45849</v>
      </c>
      <c r="I8" s="1" t="n">
        <v>4</v>
      </c>
      <c r="J8" s="3" t="n">
        <v>45849</v>
      </c>
      <c r="K8" s="1" t="n">
        <v>7</v>
      </c>
      <c r="M8" s="1" t="n">
        <v>0</v>
      </c>
      <c r="N8" s="1" t="n">
        <f aca="false">ROUND(K8+M8/2,0)</f>
        <v>7</v>
      </c>
      <c r="O8" s="1" t="n">
        <f aca="false">ROUND(AVERAGE(C8,E8,G8,I8,N8),0)</f>
        <v>6</v>
      </c>
      <c r="P8" s="1" t="str">
        <f aca="false">IF(O8&lt;7,"TEP","TEA")</f>
        <v>TEP</v>
      </c>
      <c r="Q8" s="1" t="n">
        <v>1</v>
      </c>
      <c r="R8" s="5" t="n">
        <v>9</v>
      </c>
      <c r="S8" s="6" t="n">
        <f aca="false">ROUND(AVERAGE(Q8:R8,O8),0)</f>
        <v>5</v>
      </c>
      <c r="T8" s="1" t="s">
        <v>9</v>
      </c>
      <c r="U8" s="1" t="n">
        <v>2</v>
      </c>
      <c r="V8" s="2" t="s">
        <v>93</v>
      </c>
      <c r="W8" s="1" t="n">
        <v>1</v>
      </c>
      <c r="X8" s="1" t="n">
        <v>1</v>
      </c>
      <c r="Y8" s="1" t="n">
        <v>10</v>
      </c>
      <c r="Z8" s="1" t="s">
        <v>100</v>
      </c>
      <c r="AA8" s="1" t="n">
        <v>11</v>
      </c>
      <c r="AB8" s="1" t="n">
        <f aca="false">Y8+AA8/2</f>
        <v>15.5</v>
      </c>
      <c r="AC8" s="1" t="n">
        <v>10</v>
      </c>
      <c r="AD8" s="6" t="n">
        <f aca="false">ROUND(AVERAGE(U8,W8,X8,AB8,AC8),0)</f>
        <v>6</v>
      </c>
      <c r="AE8" s="6" t="n">
        <f aca="false">ROUND(AVERAGE(S8,AD8),0)</f>
        <v>6</v>
      </c>
      <c r="AF8" s="6" t="n">
        <v>10</v>
      </c>
      <c r="AG8" s="6" t="n">
        <v>7</v>
      </c>
      <c r="AH8" s="6" t="n">
        <v>7</v>
      </c>
      <c r="AI8" s="6" t="n">
        <v>7</v>
      </c>
      <c r="AJ8" s="1" t="n">
        <v>4</v>
      </c>
      <c r="AK8" s="1" t="s">
        <v>101</v>
      </c>
    </row>
    <row r="9" s="1" customFormat="true" ht="15.65" hidden="true" customHeight="false" outlineLevel="0" collapsed="false">
      <c r="A9" s="1" t="n">
        <v>7</v>
      </c>
      <c r="B9" s="2" t="s">
        <v>29</v>
      </c>
      <c r="C9" s="1" t="n">
        <v>8</v>
      </c>
      <c r="D9" s="3" t="n">
        <v>45988</v>
      </c>
      <c r="E9" s="1" t="n">
        <v>7</v>
      </c>
      <c r="F9" s="3" t="n">
        <v>45988</v>
      </c>
      <c r="G9" s="1" t="n">
        <v>8</v>
      </c>
      <c r="H9" s="3" t="n">
        <v>45849</v>
      </c>
      <c r="I9" s="1" t="n">
        <v>7</v>
      </c>
      <c r="J9" s="3" t="n">
        <v>46002</v>
      </c>
      <c r="K9" s="1" t="n">
        <v>5</v>
      </c>
      <c r="L9" s="3" t="n">
        <v>45849</v>
      </c>
      <c r="M9" s="1" t="n">
        <v>0</v>
      </c>
      <c r="N9" s="1" t="n">
        <f aca="false">ROUND(K9+M9/2,0)</f>
        <v>5</v>
      </c>
      <c r="O9" s="1" t="n">
        <f aca="false">ROUND(AVERAGE(C9,E9,G9,I9,N9),0)</f>
        <v>7</v>
      </c>
      <c r="P9" s="1" t="str">
        <f aca="false">IF(O9&lt;7,"TEP","TEA")</f>
        <v>TEA</v>
      </c>
      <c r="Q9" s="1" t="n">
        <v>0.8</v>
      </c>
      <c r="R9" s="5" t="n">
        <v>8</v>
      </c>
      <c r="S9" s="6" t="n">
        <f aca="false">ROUND(AVERAGE(Q9:R9,O9),0)</f>
        <v>5</v>
      </c>
      <c r="T9" s="1" t="s">
        <v>8</v>
      </c>
      <c r="U9" s="1" t="n">
        <v>5</v>
      </c>
      <c r="V9" s="2" t="s">
        <v>102</v>
      </c>
      <c r="W9" s="1" t="n">
        <v>1</v>
      </c>
      <c r="X9" s="1" t="n">
        <v>1</v>
      </c>
      <c r="Y9" s="1" t="n">
        <v>10</v>
      </c>
      <c r="AA9" s="1" t="n">
        <v>10</v>
      </c>
      <c r="AB9" s="1" t="n">
        <f aca="false">Y9+AA9/2</f>
        <v>15</v>
      </c>
      <c r="AC9" s="1" t="n">
        <v>8</v>
      </c>
      <c r="AD9" s="6" t="n">
        <f aca="false">ROUND(AVERAGE(U9,W9,X9,AB9,AC9),0)</f>
        <v>6</v>
      </c>
      <c r="AE9" s="6" t="n">
        <f aca="false">ROUND(AVERAGE(S9,AD9),0)</f>
        <v>6</v>
      </c>
      <c r="AF9" s="6" t="n">
        <v>10</v>
      </c>
      <c r="AG9" s="6" t="n">
        <f aca="false">ROUND(AVERAGE(C9,E9,G9,I9,K9),0)</f>
        <v>7</v>
      </c>
      <c r="AH9" s="6" t="n">
        <f aca="false">ROUND(AVERAGE(U9,AF9),0)</f>
        <v>8</v>
      </c>
      <c r="AI9" s="6" t="n">
        <f aca="false">ROUND(AVERAGE(AG9,AH9),0)</f>
        <v>7</v>
      </c>
      <c r="AJ9" s="1" t="n">
        <v>4</v>
      </c>
      <c r="AK9" s="1" t="s">
        <v>103</v>
      </c>
    </row>
    <row r="10" s="1" customFormat="true" ht="15.65" hidden="true" customHeight="false" outlineLevel="0" collapsed="false">
      <c r="A10" s="1" t="n">
        <v>8</v>
      </c>
      <c r="B10" s="2" t="s">
        <v>32</v>
      </c>
      <c r="C10" s="1" t="n">
        <v>7</v>
      </c>
      <c r="E10" s="1" t="n">
        <v>7</v>
      </c>
      <c r="F10" s="3" t="n">
        <v>45855</v>
      </c>
      <c r="G10" s="1" t="n">
        <v>10</v>
      </c>
      <c r="I10" s="1" t="n">
        <v>9</v>
      </c>
      <c r="K10" s="1" t="n">
        <v>8</v>
      </c>
      <c r="L10" s="3" t="n">
        <v>46001</v>
      </c>
      <c r="M10" s="1" t="n">
        <v>0</v>
      </c>
      <c r="N10" s="1" t="n">
        <f aca="false">ROUND(K10+M10/2,0)</f>
        <v>8</v>
      </c>
      <c r="O10" s="1" t="n">
        <f aca="false">ROUND(AVERAGE(C10,E10,G10,I10,N10),0)</f>
        <v>8</v>
      </c>
      <c r="P10" s="1" t="str">
        <f aca="false">IF(O10&lt;7,"TEP","TEA")</f>
        <v>TEA</v>
      </c>
      <c r="Q10" s="1" t="n">
        <v>1.6</v>
      </c>
      <c r="R10" s="5" t="n">
        <v>9</v>
      </c>
      <c r="S10" s="6" t="n">
        <f aca="false">ROUND(AVERAGE(Q10:R10,O10),0)</f>
        <v>6</v>
      </c>
      <c r="T10" s="1" t="s">
        <v>8</v>
      </c>
      <c r="U10" s="1" t="n">
        <v>7</v>
      </c>
      <c r="V10" s="2" t="s">
        <v>102</v>
      </c>
      <c r="W10" s="1" t="n">
        <v>1</v>
      </c>
      <c r="X10" s="1" t="n">
        <v>1</v>
      </c>
      <c r="Y10" s="1" t="n">
        <v>8</v>
      </c>
      <c r="AA10" s="1" t="n">
        <v>10</v>
      </c>
      <c r="AB10" s="1" t="n">
        <f aca="false">Y10+AA10/2</f>
        <v>13</v>
      </c>
      <c r="AC10" s="1" t="n">
        <v>8</v>
      </c>
      <c r="AD10" s="6" t="n">
        <f aca="false">ROUND(AVERAGE(U10,W10,X10,AB10,AC10),0)</f>
        <v>6</v>
      </c>
      <c r="AE10" s="6" t="n">
        <f aca="false">ROUND(AVERAGE(S10,AD10),0)</f>
        <v>6</v>
      </c>
      <c r="AF10" s="6" t="n">
        <v>10</v>
      </c>
      <c r="AG10" s="6" t="n">
        <f aca="false">ROUND(AVERAGE(C10,E10,G10,I10,K10),0)</f>
        <v>8</v>
      </c>
      <c r="AH10" s="6" t="n">
        <f aca="false">ROUND(AVERAGE(U10,AF10),0)</f>
        <v>8</v>
      </c>
      <c r="AI10" s="6" t="n">
        <f aca="false">ROUND(AVERAGE(AG10,AH10),0)</f>
        <v>8</v>
      </c>
      <c r="AJ10" s="1" t="n">
        <v>5</v>
      </c>
      <c r="AK10" s="1" t="s">
        <v>101</v>
      </c>
    </row>
    <row r="11" s="1" customFormat="true" ht="15.65" hidden="true" customHeight="false" outlineLevel="0" collapsed="false">
      <c r="A11" s="1" t="n">
        <v>9</v>
      </c>
      <c r="B11" s="2" t="s">
        <v>35</v>
      </c>
      <c r="C11" s="1" t="n">
        <v>10</v>
      </c>
      <c r="E11" s="1" t="n">
        <v>5</v>
      </c>
      <c r="F11" s="3" t="n">
        <v>45782</v>
      </c>
      <c r="G11" s="1" t="n">
        <v>10</v>
      </c>
      <c r="I11" s="1" t="n">
        <v>8</v>
      </c>
      <c r="J11" s="3" t="n">
        <v>45774</v>
      </c>
      <c r="K11" s="1" t="n">
        <v>8</v>
      </c>
      <c r="M11" s="1" t="n">
        <v>11</v>
      </c>
      <c r="N11" s="1" t="n">
        <f aca="false">ROUND(K11+M11/2,0)</f>
        <v>14</v>
      </c>
      <c r="O11" s="1" t="n">
        <f aca="false">ROUND(AVERAGE(C11,E11,G11,I11,N11),0)</f>
        <v>9</v>
      </c>
      <c r="P11" s="1" t="str">
        <f aca="false">IF(O11&lt;7,"TEP","TEA")</f>
        <v>TEA</v>
      </c>
      <c r="Q11" s="1" t="n">
        <v>8.6</v>
      </c>
      <c r="R11" s="5" t="n">
        <v>10</v>
      </c>
      <c r="S11" s="6" t="n">
        <f aca="false">ROUND(AVERAGE(Q11:R11,O11),0)</f>
        <v>9</v>
      </c>
      <c r="U11" s="1" t="n">
        <v>2</v>
      </c>
      <c r="V11" s="2" t="s">
        <v>93</v>
      </c>
      <c r="W11" s="1" t="n">
        <v>8</v>
      </c>
      <c r="X11" s="1" t="n">
        <v>10</v>
      </c>
      <c r="Y11" s="1" t="n">
        <v>9</v>
      </c>
      <c r="AA11" s="1" t="n">
        <v>11</v>
      </c>
      <c r="AB11" s="1" t="n">
        <f aca="false">Y11+AA11/2</f>
        <v>14.5</v>
      </c>
      <c r="AC11" s="1" t="n">
        <v>8</v>
      </c>
      <c r="AD11" s="6" t="n">
        <f aca="false">ROUND(AVERAGE(U11,W11,X11,AB11,AC11),0)</f>
        <v>9</v>
      </c>
      <c r="AE11" s="6" t="n">
        <f aca="false">ROUND(AVERAGE(S11,AD11),0)</f>
        <v>9</v>
      </c>
      <c r="AF11" s="6"/>
      <c r="AG11" s="6"/>
      <c r="AH11" s="6"/>
      <c r="AI11" s="6"/>
    </row>
    <row r="12" s="1" customFormat="true" ht="15.65" hidden="true" customHeight="false" outlineLevel="0" collapsed="false">
      <c r="A12" s="1" t="n">
        <v>10</v>
      </c>
      <c r="B12" s="2" t="s">
        <v>38</v>
      </c>
      <c r="C12" s="1" t="n">
        <v>8</v>
      </c>
      <c r="E12" s="1" t="n">
        <v>7</v>
      </c>
      <c r="G12" s="1" t="n">
        <v>8</v>
      </c>
      <c r="H12" s="3" t="n">
        <v>45849</v>
      </c>
      <c r="I12" s="1" t="n">
        <f aca="false">ROUND(MAX(G13,E13),0)</f>
        <v>8</v>
      </c>
      <c r="K12" s="1" t="n">
        <v>7</v>
      </c>
      <c r="L12" s="3" t="n">
        <v>45849</v>
      </c>
      <c r="M12" s="1" t="n">
        <v>1</v>
      </c>
      <c r="N12" s="1" t="n">
        <f aca="false">ROUND(K12+M12/2,0)</f>
        <v>8</v>
      </c>
      <c r="O12" s="1" t="n">
        <f aca="false">ROUND(AVERAGE(C12,E12,G12,I12,N12),0)</f>
        <v>8</v>
      </c>
      <c r="P12" s="1" t="str">
        <f aca="false">IF(O12&lt;7,"TEP","TEA")</f>
        <v>TEA</v>
      </c>
      <c r="Q12" s="1" t="n">
        <v>2.1</v>
      </c>
      <c r="R12" s="5" t="n">
        <v>10</v>
      </c>
      <c r="S12" s="6" t="n">
        <f aca="false">ROUND(AVERAGE(Q12:R12,O12),0)</f>
        <v>7</v>
      </c>
      <c r="U12" s="1" t="n">
        <v>2</v>
      </c>
      <c r="V12" s="2" t="s">
        <v>102</v>
      </c>
      <c r="W12" s="1" t="n">
        <v>6</v>
      </c>
      <c r="X12" s="1" t="n">
        <v>10</v>
      </c>
      <c r="Y12" s="1" t="n">
        <v>10</v>
      </c>
      <c r="Z12" s="1" t="s">
        <v>104</v>
      </c>
      <c r="AA12" s="1" t="n">
        <v>10</v>
      </c>
      <c r="AB12" s="1" t="n">
        <f aca="false">Y12+AA12/2</f>
        <v>15</v>
      </c>
      <c r="AC12" s="1" t="n">
        <v>10</v>
      </c>
      <c r="AD12" s="6" t="n">
        <f aca="false">ROUND(AVERAGE(U12,W12,X12,AB12,AC12),0)</f>
        <v>9</v>
      </c>
      <c r="AE12" s="6" t="n">
        <f aca="false">ROUND(AVERAGE(S12,AD12),0)</f>
        <v>8</v>
      </c>
      <c r="AF12" s="6"/>
      <c r="AG12" s="6"/>
      <c r="AH12" s="6"/>
      <c r="AI12" s="6"/>
    </row>
    <row r="13" s="1" customFormat="true" ht="15.65" hidden="true" customHeight="false" outlineLevel="0" collapsed="false">
      <c r="A13" s="1" t="n">
        <v>11</v>
      </c>
      <c r="B13" s="2" t="s">
        <v>41</v>
      </c>
      <c r="C13" s="1" t="n">
        <v>8</v>
      </c>
      <c r="D13" s="3" t="n">
        <v>45988</v>
      </c>
      <c r="E13" s="1" t="n">
        <v>7</v>
      </c>
      <c r="F13" s="1" t="s">
        <v>105</v>
      </c>
      <c r="G13" s="1" t="n">
        <v>8</v>
      </c>
      <c r="H13" s="3" t="n">
        <v>45849</v>
      </c>
      <c r="I13" s="1" t="n">
        <v>3</v>
      </c>
      <c r="J13" s="3" t="n">
        <v>45849</v>
      </c>
      <c r="K13" s="1" t="n">
        <v>5</v>
      </c>
      <c r="L13" s="3" t="n">
        <v>45988</v>
      </c>
      <c r="M13" s="1" t="n">
        <v>30</v>
      </c>
      <c r="N13" s="1" t="n">
        <f aca="false">ROUND(K13+M13/2,0)</f>
        <v>20</v>
      </c>
      <c r="O13" s="1" t="n">
        <f aca="false">ROUND(AVERAGE(C13,E13,G13,I13,N13),0)</f>
        <v>9</v>
      </c>
      <c r="P13" s="1" t="str">
        <f aca="false">IF(O13&lt;7,"TEP","TEA")</f>
        <v>TEA</v>
      </c>
      <c r="Q13" s="1" t="n">
        <v>2.8</v>
      </c>
      <c r="R13" s="5" t="n">
        <v>8</v>
      </c>
      <c r="S13" s="6" t="n">
        <f aca="false">ROUND(AVERAGE(Q13:R13,O13),0)</f>
        <v>7</v>
      </c>
      <c r="T13" s="1" t="s">
        <v>8</v>
      </c>
      <c r="U13" s="1" t="n">
        <v>4</v>
      </c>
      <c r="V13" s="2" t="s">
        <v>93</v>
      </c>
      <c r="W13" s="1" t="n">
        <v>7</v>
      </c>
      <c r="X13" s="1" t="n">
        <v>1</v>
      </c>
      <c r="Y13" s="1" t="n">
        <v>9</v>
      </c>
      <c r="AA13" s="1" t="n">
        <v>10</v>
      </c>
      <c r="AB13" s="1" t="n">
        <f aca="false">Y13+AA13/2</f>
        <v>14</v>
      </c>
      <c r="AC13" s="1" t="n">
        <v>8</v>
      </c>
      <c r="AD13" s="6" t="n">
        <f aca="false">ROUND(AVERAGE(U13,W13,X13,AB13,AC13),0)</f>
        <v>7</v>
      </c>
      <c r="AE13" s="6" t="n">
        <f aca="false">ROUND(AVERAGE(S13,AD13),0)</f>
        <v>7</v>
      </c>
      <c r="AF13" s="6"/>
      <c r="AG13" s="6"/>
      <c r="AH13" s="6"/>
      <c r="AI13" s="6"/>
    </row>
    <row r="14" s="1" customFormat="true" ht="15.65" hidden="true" customHeight="false" outlineLevel="0" collapsed="false">
      <c r="A14" s="1" t="n">
        <v>12</v>
      </c>
      <c r="B14" s="2" t="s">
        <v>44</v>
      </c>
      <c r="C14" s="1" t="n">
        <v>7</v>
      </c>
      <c r="D14" s="3" t="n">
        <v>45988</v>
      </c>
      <c r="E14" s="1" t="n">
        <v>7</v>
      </c>
      <c r="F14" s="3" t="n">
        <v>45978</v>
      </c>
      <c r="G14" s="1" t="n">
        <v>8</v>
      </c>
      <c r="I14" s="1" t="n">
        <v>7</v>
      </c>
      <c r="K14" s="1" t="n">
        <v>7</v>
      </c>
      <c r="M14" s="1" t="n">
        <v>15</v>
      </c>
      <c r="N14" s="1" t="n">
        <f aca="false">ROUND(K14+M14/2,0)</f>
        <v>15</v>
      </c>
      <c r="O14" s="1" t="n">
        <f aca="false">ROUND(AVERAGE(C14,E14,G14,I14,N14),0)</f>
        <v>9</v>
      </c>
      <c r="P14" s="1" t="str">
        <f aca="false">IF(O14&lt;7,"TEP","TEA")</f>
        <v>TEA</v>
      </c>
      <c r="Q14" s="1" t="n">
        <v>2.4</v>
      </c>
      <c r="R14" s="5" t="n">
        <v>9</v>
      </c>
      <c r="S14" s="6" t="n">
        <f aca="false">ROUND(AVERAGE(Q14:R14,O14),0)</f>
        <v>7</v>
      </c>
      <c r="T14" s="1" t="s">
        <v>8</v>
      </c>
      <c r="U14" s="1" t="n">
        <v>7</v>
      </c>
      <c r="V14" s="2" t="s">
        <v>102</v>
      </c>
      <c r="W14" s="1" t="n">
        <v>1</v>
      </c>
      <c r="X14" s="1" t="n">
        <v>1</v>
      </c>
      <c r="Y14" s="1" t="n">
        <v>9</v>
      </c>
      <c r="Z14" s="1" t="s">
        <v>106</v>
      </c>
      <c r="AA14" s="1" t="n">
        <v>10</v>
      </c>
      <c r="AB14" s="1" t="n">
        <f aca="false">Y14+AA14/2</f>
        <v>14</v>
      </c>
      <c r="AC14" s="1" t="n">
        <v>6</v>
      </c>
      <c r="AD14" s="6" t="n">
        <f aca="false">ROUND(AVERAGE(U14,W14,X14,AB14,AC14),0)</f>
        <v>6</v>
      </c>
      <c r="AE14" s="6" t="n">
        <f aca="false">ROUND(AVERAGE(S14,AD14),0)</f>
        <v>7</v>
      </c>
      <c r="AF14" s="6" t="n">
        <v>8</v>
      </c>
      <c r="AG14" s="6" t="n">
        <f aca="false">ROUND(AVERAGE(C14,E14,G14,I14,K14),0)</f>
        <v>7</v>
      </c>
      <c r="AH14" s="6" t="n">
        <f aca="false">ROUND(AVERAGE(U14,AF14),0)</f>
        <v>8</v>
      </c>
      <c r="AI14" s="6" t="n">
        <f aca="false">ROUND(AVERAGE(AG14,AH14),0)</f>
        <v>8</v>
      </c>
      <c r="AJ14" s="1" t="n">
        <v>5</v>
      </c>
      <c r="AK14" s="1" t="s">
        <v>101</v>
      </c>
    </row>
    <row r="15" s="1" customFormat="true" ht="15.65" hidden="true" customHeight="false" outlineLevel="0" collapsed="false">
      <c r="A15" s="1" t="n">
        <v>13</v>
      </c>
      <c r="B15" s="2" t="s">
        <v>47</v>
      </c>
      <c r="C15" s="1" t="n">
        <v>7</v>
      </c>
      <c r="D15" s="3" t="n">
        <v>45988</v>
      </c>
      <c r="E15" s="1" t="n">
        <v>7</v>
      </c>
      <c r="F15" s="3" t="n">
        <v>45978</v>
      </c>
      <c r="G15" s="1" t="n">
        <v>7</v>
      </c>
      <c r="H15" s="2" t="s">
        <v>107</v>
      </c>
      <c r="I15" s="1" t="n">
        <v>7</v>
      </c>
      <c r="K15" s="1" t="n">
        <v>7</v>
      </c>
      <c r="M15" s="1" t="n">
        <v>1</v>
      </c>
      <c r="N15" s="1" t="n">
        <f aca="false">ROUND(K15+M15/2,0)</f>
        <v>8</v>
      </c>
      <c r="O15" s="1" t="n">
        <f aca="false">ROUND(AVERAGE(C15,E15,G15,I15,N15),0)</f>
        <v>7</v>
      </c>
      <c r="P15" s="1" t="str">
        <f aca="false">IF(O15&lt;7,"TEP","TEA")</f>
        <v>TEA</v>
      </c>
      <c r="Q15" s="1" t="n">
        <v>1</v>
      </c>
      <c r="R15" s="5" t="n">
        <v>10</v>
      </c>
      <c r="S15" s="6" t="n">
        <f aca="false">ROUND(AVERAGE(Q15:R15,O15),0)</f>
        <v>6</v>
      </c>
      <c r="T15" s="1" t="s">
        <v>8</v>
      </c>
      <c r="U15" s="1" t="n">
        <v>7</v>
      </c>
      <c r="V15" s="2" t="s">
        <v>102</v>
      </c>
      <c r="W15" s="1" t="n">
        <v>1</v>
      </c>
      <c r="X15" s="1" t="n">
        <v>1</v>
      </c>
      <c r="Y15" s="1" t="n">
        <v>8</v>
      </c>
      <c r="AA15" s="1" t="n">
        <v>10</v>
      </c>
      <c r="AB15" s="1" t="n">
        <f aca="false">Y15+AA15/2</f>
        <v>13</v>
      </c>
      <c r="AC15" s="1" t="n">
        <v>10</v>
      </c>
      <c r="AD15" s="6" t="n">
        <f aca="false">ROUND(AVERAGE(U15,W15,X15,AB15,AC15),0)</f>
        <v>6</v>
      </c>
      <c r="AE15" s="6" t="n">
        <f aca="false">ROUND(AVERAGE(S15,AD15),0)</f>
        <v>6</v>
      </c>
      <c r="AF15" s="6" t="n">
        <v>10</v>
      </c>
      <c r="AG15" s="6" t="n">
        <f aca="false">ROUND(AVERAGE(C15,E15,G15,I15,K15),0)</f>
        <v>7</v>
      </c>
      <c r="AH15" s="6" t="n">
        <f aca="false">ROUND(AVERAGE(U15,AF15),0)</f>
        <v>9</v>
      </c>
      <c r="AI15" s="6" t="n">
        <f aca="false">ROUND(AVERAGE(AG15,AH15),0)</f>
        <v>8</v>
      </c>
      <c r="AJ15" s="1" t="n">
        <v>4</v>
      </c>
      <c r="AK15" s="1" t="s">
        <v>101</v>
      </c>
    </row>
    <row r="16" s="2" customFormat="true" ht="15.65" hidden="false" customHeight="false" outlineLevel="0" collapsed="false">
      <c r="A16" s="1" t="n">
        <v>14</v>
      </c>
      <c r="B16" s="2" t="s">
        <v>50</v>
      </c>
      <c r="C16" s="1" t="n">
        <v>8</v>
      </c>
      <c r="D16" s="1"/>
      <c r="E16" s="1" t="n">
        <v>1</v>
      </c>
      <c r="F16" s="1"/>
      <c r="G16" s="1" t="n">
        <v>1</v>
      </c>
      <c r="H16" s="1"/>
      <c r="I16" s="1" t="n">
        <v>1</v>
      </c>
      <c r="J16" s="1"/>
      <c r="K16" s="1" t="n">
        <v>1</v>
      </c>
      <c r="L16" s="1"/>
      <c r="M16" s="1" t="n">
        <v>0</v>
      </c>
      <c r="N16" s="1" t="n">
        <f aca="false">ROUND(K16+M16/2,0)</f>
        <v>1</v>
      </c>
      <c r="O16" s="1" t="n">
        <f aca="false">ROUND(AVERAGE(C16,E16,G16,I16,N16),0)</f>
        <v>2</v>
      </c>
      <c r="P16" s="1" t="str">
        <f aca="false">IF(O16&lt;7,"TEP","TEA")</f>
        <v>TEP</v>
      </c>
      <c r="Q16" s="1" t="n">
        <v>1</v>
      </c>
      <c r="R16" s="5" t="n">
        <v>6</v>
      </c>
      <c r="S16" s="6" t="n">
        <f aca="false">ROUND(AVERAGE(Q16:R16,O16),0)</f>
        <v>3</v>
      </c>
      <c r="T16" s="1" t="s">
        <v>9</v>
      </c>
      <c r="U16" s="1" t="n">
        <v>4</v>
      </c>
      <c r="V16" s="1" t="s">
        <v>93</v>
      </c>
      <c r="W16" s="1" t="n">
        <v>1</v>
      </c>
      <c r="X16" s="1" t="n">
        <v>1</v>
      </c>
      <c r="Y16" s="1" t="n">
        <v>1</v>
      </c>
      <c r="Z16" s="1" t="s">
        <v>108</v>
      </c>
      <c r="AA16" s="1" t="n">
        <v>-1</v>
      </c>
      <c r="AB16" s="1" t="n">
        <f aca="false">Y16+AA16/2</f>
        <v>0.5</v>
      </c>
      <c r="AC16" s="1" t="n">
        <v>3</v>
      </c>
      <c r="AD16" s="6" t="n">
        <f aca="false">ROUND(AVERAGE(U16,W16,X16,AB16,AC16),0)</f>
        <v>2</v>
      </c>
      <c r="AE16" s="6" t="n">
        <f aca="false">ROUND(AVERAGE(S16,AD16),0)</f>
        <v>3</v>
      </c>
      <c r="AF16" s="6" t="n">
        <v>8</v>
      </c>
      <c r="AG16" s="6" t="n">
        <f aca="false">ROUND(AVERAGE(C16,E16,G16,I16,K16),0)</f>
        <v>2</v>
      </c>
      <c r="AH16" s="6" t="n">
        <f aca="false">ROUND(AVERAGE(U16,AF16),0)</f>
        <v>6</v>
      </c>
      <c r="AI16" s="6" t="n">
        <f aca="false">ROUND(AVERAGE(AG16,AH16),0)</f>
        <v>4</v>
      </c>
      <c r="AJ16" s="2" t="n">
        <v>2</v>
      </c>
      <c r="AK16" s="2" t="s">
        <v>109</v>
      </c>
    </row>
    <row r="17" customFormat="false" ht="15.65" hidden="false" customHeight="false" outlineLevel="0" collapsed="false">
      <c r="A17" s="1" t="n">
        <v>15</v>
      </c>
      <c r="B17" s="2" t="s">
        <v>110</v>
      </c>
      <c r="C17" s="1" t="n">
        <v>1</v>
      </c>
      <c r="E17" s="1" t="n">
        <v>1</v>
      </c>
      <c r="G17" s="1" t="n">
        <v>1</v>
      </c>
      <c r="I17" s="1" t="n">
        <v>1</v>
      </c>
      <c r="K17" s="1" t="n">
        <v>1</v>
      </c>
      <c r="M17" s="1" t="n">
        <v>2</v>
      </c>
      <c r="N17" s="1" t="n">
        <f aca="false">ROUND(K17+M17/2,0)</f>
        <v>2</v>
      </c>
      <c r="O17" s="1" t="n">
        <f aca="false">ROUND(AVERAGE(C17,E17,G17,I17,N17),0)</f>
        <v>1</v>
      </c>
      <c r="P17" s="1" t="str">
        <f aca="false">IF(O17&lt;7,"TEP","TEA")</f>
        <v>TEP</v>
      </c>
      <c r="Q17" s="1" t="n">
        <v>1</v>
      </c>
      <c r="R17" s="5" t="n">
        <v>0</v>
      </c>
      <c r="S17" s="6" t="n">
        <f aca="false">ROUND(AVERAGE(Q17:R17,O17),0)</f>
        <v>1</v>
      </c>
      <c r="T17" s="1" t="s">
        <v>9</v>
      </c>
      <c r="U17" s="1" t="n">
        <v>1</v>
      </c>
      <c r="W17" s="1" t="n">
        <v>1</v>
      </c>
      <c r="X17" s="1" t="n">
        <v>1</v>
      </c>
      <c r="Y17" s="1" t="n">
        <v>1</v>
      </c>
      <c r="AA17" s="1" t="n">
        <v>0</v>
      </c>
      <c r="AB17" s="1" t="n">
        <f aca="false">Y17+AA17/2</f>
        <v>1</v>
      </c>
      <c r="AC17" s="1" t="n">
        <v>1</v>
      </c>
      <c r="AD17" s="6" t="n">
        <f aca="false">ROUND(AVERAGE(U17,W17,X17,AB17,AC17),0)</f>
        <v>1</v>
      </c>
      <c r="AE17" s="6" t="n">
        <f aca="false">ROUND(AVERAGE(S17,AD17),0)</f>
        <v>1</v>
      </c>
      <c r="AF17" s="6" t="n">
        <v>0</v>
      </c>
      <c r="AG17" s="6" t="n">
        <f aca="false">ROUND(AVERAGE(C17,E17,G17,I17,K17),0)</f>
        <v>1</v>
      </c>
      <c r="AH17" s="6" t="n">
        <f aca="false">ROUND(AVERAGE(U17,AF17),0)</f>
        <v>1</v>
      </c>
      <c r="AI17" s="6" t="n">
        <f aca="false">ROUND(AVERAGE(AG17,AH17),0)</f>
        <v>1</v>
      </c>
      <c r="AJ17" s="2" t="n">
        <v>1</v>
      </c>
      <c r="AK17" s="2" t="s">
        <v>111</v>
      </c>
    </row>
    <row r="18" customFormat="false" ht="15.65" hidden="true" customHeight="false" outlineLevel="0" collapsed="false">
      <c r="A18" s="1" t="n">
        <v>16</v>
      </c>
      <c r="B18" s="2" t="s">
        <v>54</v>
      </c>
      <c r="C18" s="1" t="n">
        <v>9</v>
      </c>
      <c r="E18" s="1" t="n">
        <v>9</v>
      </c>
      <c r="G18" s="1" t="n">
        <v>7</v>
      </c>
      <c r="I18" s="1" t="n">
        <v>6</v>
      </c>
      <c r="K18" s="1" t="n">
        <v>6</v>
      </c>
      <c r="M18" s="1" t="n">
        <v>2</v>
      </c>
      <c r="N18" s="1" t="n">
        <f aca="false">ROUND(K18+M18/2,0)</f>
        <v>7</v>
      </c>
      <c r="O18" s="1" t="n">
        <f aca="false">ROUND(AVERAGE(C18,E18,G18,I18,N18),0)</f>
        <v>8</v>
      </c>
      <c r="P18" s="1" t="str">
        <f aca="false">IF(O18&lt;7,"TEP","TEA")</f>
        <v>TEA</v>
      </c>
      <c r="Q18" s="1" t="n">
        <v>1.8</v>
      </c>
      <c r="R18" s="5" t="n">
        <v>10</v>
      </c>
      <c r="S18" s="6" t="n">
        <f aca="false">ROUND(AVERAGE(Q18:R18,O18),0)</f>
        <v>7</v>
      </c>
      <c r="U18" s="1" t="n">
        <v>4</v>
      </c>
      <c r="V18" s="1" t="s">
        <v>98</v>
      </c>
      <c r="W18" s="1" t="n">
        <v>10</v>
      </c>
      <c r="X18" s="1" t="n">
        <v>1</v>
      </c>
      <c r="Y18" s="1" t="n">
        <v>7</v>
      </c>
      <c r="Z18" s="1" t="s">
        <v>112</v>
      </c>
      <c r="AA18" s="1" t="n">
        <v>10</v>
      </c>
      <c r="AB18" s="1" t="n">
        <f aca="false">Y18+AA18/2</f>
        <v>12</v>
      </c>
      <c r="AC18" s="1" t="n">
        <v>10</v>
      </c>
      <c r="AD18" s="6" t="n">
        <f aca="false">ROUND(AVERAGE(U18,W18,X18,AB18,AC18),0)</f>
        <v>7</v>
      </c>
      <c r="AE18" s="6" t="n">
        <f aca="false">ROUND(AVERAGE(S18,AD18),0)</f>
        <v>7</v>
      </c>
      <c r="AF18" s="6"/>
      <c r="AH18" s="1" t="n">
        <f aca="false">ROUND(AVERAGE(U18,AF18),0)</f>
        <v>4</v>
      </c>
    </row>
  </sheetData>
  <conditionalFormatting sqref="AD5:AD18 AD3:AF3 AE4:AF1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S4">
    <cfRule type="cellIs" priority="5" operator="greaterThan" aboveAverage="0" equalAverage="0" bottom="0" percent="0" rank="0" text="" dxfId="3">
      <formula>6</formula>
    </cfRule>
    <cfRule type="cellIs" priority="6" operator="lessThan" aboveAverage="0" equalAverage="0" bottom="0" percent="0" rank="0" text="" dxfId="4">
      <formula>4</formula>
    </cfRule>
    <cfRule type="cellIs" priority="7" operator="between" aboveAverage="0" equalAverage="0" bottom="0" percent="0" rank="0" text="" dxfId="5">
      <formula>4</formula>
      <formula>6</formula>
    </cfRule>
  </conditionalFormatting>
  <conditionalFormatting sqref="AD4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S5:S18 S3">
    <cfRule type="cellIs" priority="11" operator="greaterThan" aboveAverage="0" equalAverage="0" bottom="0" percent="0" rank="0" text="" dxfId="3">
      <formula>6</formula>
    </cfRule>
    <cfRule type="cellIs" priority="12" operator="lessThan" aboveAverage="0" equalAverage="0" bottom="0" percent="0" rank="0" text="" dxfId="2">
      <formula>4</formula>
    </cfRule>
    <cfRule type="cellIs" priority="13" operator="between" aboveAverage="0" equalAverage="0" bottom="0" percent="0" rank="0" text="" dxfId="1">
      <formula>4</formula>
      <formula>6</formula>
    </cfRule>
  </conditionalFormatting>
  <conditionalFormatting sqref="C3:C17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conditionalFormatting sqref="E3:E17">
    <cfRule type="cellIs" priority="17" operator="greaterThan" aboveAverage="0" equalAverage="0" bottom="0" percent="0" rank="0" text="" dxfId="6">
      <formula>6</formula>
    </cfRule>
    <cfRule type="cellIs" priority="18" operator="between" aboveAverage="0" equalAverage="0" bottom="0" percent="0" rank="0" text="" dxfId="7">
      <formula>4</formula>
      <formula>6</formula>
    </cfRule>
    <cfRule type="cellIs" priority="19" operator="lessThan" aboveAverage="0" equalAverage="0" bottom="0" percent="0" rank="0" text="" dxfId="8">
      <formula>4</formula>
    </cfRule>
  </conditionalFormatting>
  <conditionalFormatting sqref="G3:G17">
    <cfRule type="cellIs" priority="20" operator="greaterThan" aboveAverage="0" equalAverage="0" bottom="0" percent="0" rank="0" text="" dxfId="6">
      <formula>6</formula>
    </cfRule>
    <cfRule type="cellIs" priority="21" operator="between" aboveAverage="0" equalAverage="0" bottom="0" percent="0" rank="0" text="" dxfId="7">
      <formula>4</formula>
      <formula>6</formula>
    </cfRule>
    <cfRule type="cellIs" priority="22" operator="lessThan" aboveAverage="0" equalAverage="0" bottom="0" percent="0" rank="0" text="" dxfId="8">
      <formula>4</formula>
    </cfRule>
  </conditionalFormatting>
  <conditionalFormatting sqref="I3:I17">
    <cfRule type="cellIs" priority="23" operator="greaterThan" aboveAverage="0" equalAverage="0" bottom="0" percent="0" rank="0" text="" dxfId="6">
      <formula>6</formula>
    </cfRule>
    <cfRule type="cellIs" priority="24" operator="between" aboveAverage="0" equalAverage="0" bottom="0" percent="0" rank="0" text="" dxfId="7">
      <formula>4</formula>
      <formula>6</formula>
    </cfRule>
    <cfRule type="cellIs" priority="25" operator="lessThan" aboveAverage="0" equalAverage="0" bottom="0" percent="0" rank="0" text="" dxfId="8">
      <formula>4</formula>
    </cfRule>
  </conditionalFormatting>
  <conditionalFormatting sqref="K3:K17">
    <cfRule type="cellIs" priority="26" operator="greaterThan" aboveAverage="0" equalAverage="0" bottom="0" percent="0" rank="0" text="" dxfId="6">
      <formula>6</formula>
    </cfRule>
    <cfRule type="cellIs" priority="27" operator="between" aboveAverage="0" equalAverage="0" bottom="0" percent="0" rank="0" text="" dxfId="7">
      <formula>4</formula>
      <formula>6</formula>
    </cfRule>
    <cfRule type="cellIs" priority="28" operator="lessThan" aboveAverage="0" equalAverage="0" bottom="0" percent="0" rank="0" text="" dxfId="8">
      <formula>4</formula>
    </cfRule>
  </conditionalFormatting>
  <conditionalFormatting sqref="U3:U17">
    <cfRule type="cellIs" priority="29" operator="greaterThan" aboveAverage="0" equalAverage="0" bottom="0" percent="0" rank="0" text="" dxfId="6">
      <formula>6</formula>
    </cfRule>
    <cfRule type="cellIs" priority="30" operator="between" aboveAverage="0" equalAverage="0" bottom="0" percent="0" rank="0" text="" dxfId="7">
      <formula>4</formula>
      <formula>6</formula>
    </cfRule>
    <cfRule type="cellIs" priority="31" operator="lessThan" aboveAverage="0" equalAverage="0" bottom="0" percent="0" rank="0" text="" dxfId="8">
      <formula>4</formula>
    </cfRule>
  </conditionalFormatting>
  <conditionalFormatting sqref="Y3:Y17">
    <cfRule type="cellIs" priority="32" operator="greaterThan" aboveAverage="0" equalAverage="0" bottom="0" percent="0" rank="0" text="" dxfId="6">
      <formula>6</formula>
    </cfRule>
    <cfRule type="cellIs" priority="33" operator="between" aboveAverage="0" equalAverage="0" bottom="0" percent="0" rank="0" text="" dxfId="7">
      <formula>4</formula>
      <formula>6</formula>
    </cfRule>
    <cfRule type="cellIs" priority="34" operator="lessThan" aboveAverage="0" equalAverage="0" bottom="0" percent="0" rank="0" text="" dxfId="8">
      <formula>4</formula>
    </cfRule>
  </conditionalFormatting>
  <conditionalFormatting sqref="AH3:AH17">
    <cfRule type="cellIs" priority="35" operator="greaterThan" aboveAverage="0" equalAverage="0" bottom="0" percent="0" rank="0" text="" dxfId="9">
      <formula>6</formula>
    </cfRule>
    <cfRule type="cellIs" priority="36" operator="between" aboveAverage="0" equalAverage="0" bottom="0" percent="0" rank="0" text="" dxfId="10">
      <formula>4</formula>
      <formula>6</formula>
    </cfRule>
    <cfRule type="cellIs" priority="37" operator="lessThan" aboveAverage="0" equalAverage="0" bottom="0" percent="0" rank="0" text="" dxfId="11">
      <formula>4</formula>
    </cfRule>
  </conditionalFormatting>
  <conditionalFormatting sqref="AG3:AG17">
    <cfRule type="cellIs" priority="38" operator="greaterThan" aboveAverage="0" equalAverage="0" bottom="0" percent="0" rank="0" text="" dxfId="9">
      <formula>6</formula>
    </cfRule>
    <cfRule type="cellIs" priority="39" operator="notBetween" aboveAverage="0" equalAverage="0" bottom="0" percent="0" rank="0" text="" dxfId="10">
      <formula>4</formula>
      <formula>6</formula>
    </cfRule>
    <cfRule type="cellIs" priority="40" operator="lessThan" aboveAverage="0" equalAverage="0" bottom="0" percent="0" rank="0" text="" dxfId="11">
      <formula>4</formula>
    </cfRule>
  </conditionalFormatting>
  <conditionalFormatting sqref="AI3:AI17">
    <cfRule type="cellIs" priority="41" operator="greaterThan" aboveAverage="0" equalAverage="0" bottom="0" percent="0" rank="0" text="" dxfId="9">
      <formula>6</formula>
    </cfRule>
    <cfRule type="cellIs" priority="42" operator="between" aboveAverage="0" equalAverage="0" bottom="0" percent="0" rank="0" text="" dxfId="10">
      <formula>4</formula>
      <formula>6</formula>
    </cfRule>
    <cfRule type="cellIs" priority="43" operator="lessThan" aboveAverage="0" equalAverage="0" bottom="0" percent="0" rank="0" text="" dxfId="11">
      <formula>4</formula>
    </cfRule>
  </conditionalFormatting>
  <conditionalFormatting sqref="AJ3:AJ17">
    <cfRule type="cellIs" priority="44" operator="greaterThan" aboveAverage="0" equalAverage="0" bottom="0" percent="0" rank="0" text="" dxfId="9">
      <formula>3</formula>
    </cfRule>
    <cfRule type="cellIs" priority="45" operator="lessThan" aboveAverage="0" equalAverage="0" bottom="0" percent="0" rank="0" text="" dxfId="10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false" hidden="true" outlineLevel="0" max="10" min="3" style="1" width="9.62"/>
    <col collapsed="false" customWidth="true" hidden="false" outlineLevel="0" max="16384" min="16320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45736</v>
      </c>
      <c r="D1" s="3" t="n">
        <v>45750</v>
      </c>
      <c r="E1" s="1" t="s">
        <v>75</v>
      </c>
      <c r="F1" s="3" t="n">
        <v>45799</v>
      </c>
      <c r="G1" s="3" t="n">
        <v>45813</v>
      </c>
      <c r="H1" s="3" t="n">
        <v>45841</v>
      </c>
      <c r="I1" s="3" t="n">
        <v>45932</v>
      </c>
      <c r="J1" s="1" t="s">
        <v>113</v>
      </c>
      <c r="K1" s="3" t="n">
        <v>45932</v>
      </c>
      <c r="L1" s="3" t="n">
        <v>45974</v>
      </c>
      <c r="M1" s="3" t="s">
        <v>75</v>
      </c>
      <c r="N1" s="3"/>
      <c r="O1" s="3"/>
      <c r="P1" s="3"/>
      <c r="Q1" s="3"/>
    </row>
    <row r="2" customFormat="false" ht="15" hidden="false" customHeight="false" outlineLevel="0" collapsed="false">
      <c r="A2" s="1" t="n">
        <v>1</v>
      </c>
      <c r="B2" s="2" t="s">
        <v>6</v>
      </c>
      <c r="C2" s="1" t="n">
        <v>1</v>
      </c>
      <c r="E2" s="1" t="n">
        <f aca="false">C2+D2</f>
        <v>1</v>
      </c>
      <c r="J2" s="1" t="n">
        <f aca="false">SUM(F2:I2)</f>
        <v>0</v>
      </c>
      <c r="L2" s="1" t="n">
        <v>10</v>
      </c>
      <c r="M2" s="2" t="n">
        <f aca="false">SUM(K2:L2)</f>
        <v>10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n">
        <v>1</v>
      </c>
      <c r="E3" s="1" t="n">
        <f aca="false">C3+D3</f>
        <v>1</v>
      </c>
      <c r="J3" s="1" t="n">
        <f aca="false">SUM(F3:I3)</f>
        <v>0</v>
      </c>
      <c r="L3" s="1" t="n">
        <v>10</v>
      </c>
      <c r="M3" s="2" t="n">
        <f aca="false">SUM(K3:L3)</f>
        <v>10</v>
      </c>
    </row>
    <row r="4" customFormat="false" ht="15" hidden="false" customHeight="false" outlineLevel="0" collapsed="false">
      <c r="A4" s="1" t="n">
        <v>3</v>
      </c>
      <c r="B4" s="2" t="s">
        <v>17</v>
      </c>
      <c r="C4" s="7" t="n">
        <v>8</v>
      </c>
      <c r="E4" s="1" t="n">
        <f aca="false">C4+D4</f>
        <v>8</v>
      </c>
      <c r="H4" s="1" t="n">
        <v>7</v>
      </c>
      <c r="I4" s="1" t="n">
        <v>1</v>
      </c>
      <c r="J4" s="1" t="n">
        <f aca="false">SUM(F4:I4)</f>
        <v>8</v>
      </c>
      <c r="K4" s="1" t="n">
        <v>1</v>
      </c>
      <c r="L4" s="1" t="n">
        <v>10</v>
      </c>
      <c r="M4" s="2" t="n">
        <f aca="false">SUM(K4:L4)</f>
        <v>11</v>
      </c>
    </row>
    <row r="5" customFormat="false" ht="15" hidden="false" customHeight="false" outlineLevel="0" collapsed="false">
      <c r="A5" s="1" t="n">
        <v>4</v>
      </c>
      <c r="B5" s="2" t="s">
        <v>20</v>
      </c>
      <c r="C5" s="1" t="n">
        <v>0</v>
      </c>
      <c r="E5" s="1" t="n">
        <f aca="false">C5+D5</f>
        <v>0</v>
      </c>
      <c r="F5" s="1" t="n">
        <v>3</v>
      </c>
      <c r="H5" s="1" t="n">
        <v>7</v>
      </c>
      <c r="J5" s="1" t="n">
        <f aca="false">SUM(F5:I5)</f>
        <v>10</v>
      </c>
      <c r="L5" s="1" t="n">
        <v>10</v>
      </c>
      <c r="M5" s="2" t="n">
        <f aca="false">SUM(K5:L5)</f>
        <v>10</v>
      </c>
    </row>
    <row r="6" customFormat="false" ht="15" hidden="false" customHeight="false" outlineLevel="0" collapsed="false">
      <c r="A6" s="1" t="n">
        <v>5</v>
      </c>
      <c r="B6" s="2" t="s">
        <v>23</v>
      </c>
      <c r="C6" s="7" t="n">
        <v>6</v>
      </c>
      <c r="E6" s="1" t="n">
        <f aca="false">C6+D6</f>
        <v>6</v>
      </c>
      <c r="H6" s="1" t="n">
        <v>4</v>
      </c>
      <c r="J6" s="1" t="n">
        <f aca="false">SUM(F6:I6)</f>
        <v>4</v>
      </c>
      <c r="L6" s="1" t="n">
        <v>10</v>
      </c>
      <c r="M6" s="2" t="n">
        <f aca="false">SUM(K6:L6)</f>
        <v>10</v>
      </c>
    </row>
    <row r="7" customFormat="false" ht="15" hidden="false" customHeight="false" outlineLevel="0" collapsed="false">
      <c r="A7" s="1" t="n">
        <v>6</v>
      </c>
      <c r="B7" s="2" t="s">
        <v>26</v>
      </c>
      <c r="C7" s="1" t="n">
        <v>0</v>
      </c>
      <c r="E7" s="1" t="n">
        <f aca="false">C7+D7</f>
        <v>0</v>
      </c>
      <c r="F7" s="1" t="n">
        <v>2</v>
      </c>
      <c r="I7" s="1" t="n">
        <v>1</v>
      </c>
      <c r="J7" s="1" t="n">
        <f aca="false">SUM(F7:I7)</f>
        <v>3</v>
      </c>
      <c r="K7" s="1" t="n">
        <v>1</v>
      </c>
      <c r="L7" s="1" t="n">
        <v>10</v>
      </c>
      <c r="M7" s="2" t="n">
        <f aca="false">SUM(K7:L7)</f>
        <v>11</v>
      </c>
    </row>
    <row r="8" customFormat="false" ht="15" hidden="false" customHeight="false" outlineLevel="0" collapsed="false">
      <c r="A8" s="1" t="n">
        <v>7</v>
      </c>
      <c r="B8" s="2" t="s">
        <v>29</v>
      </c>
      <c r="C8" s="1" t="n">
        <v>0</v>
      </c>
      <c r="E8" s="1" t="n">
        <f aca="false">C8+D8</f>
        <v>0</v>
      </c>
      <c r="J8" s="1" t="n">
        <f aca="false">SUM(F8:I8)</f>
        <v>0</v>
      </c>
      <c r="L8" s="1" t="n">
        <v>10</v>
      </c>
      <c r="M8" s="2" t="n">
        <f aca="false">SUM(K8:L8)</f>
        <v>10</v>
      </c>
    </row>
    <row r="9" customFormat="false" ht="15" hidden="false" customHeight="false" outlineLevel="0" collapsed="false">
      <c r="A9" s="1" t="n">
        <v>8</v>
      </c>
      <c r="B9" s="2" t="s">
        <v>32</v>
      </c>
      <c r="C9" s="1" t="n">
        <v>0</v>
      </c>
      <c r="E9" s="1" t="n">
        <f aca="false">C9+D9</f>
        <v>0</v>
      </c>
      <c r="J9" s="1" t="n">
        <f aca="false">SUM(F9:I9)</f>
        <v>0</v>
      </c>
      <c r="L9" s="1" t="n">
        <v>10</v>
      </c>
      <c r="M9" s="2" t="n">
        <f aca="false">SUM(K9:L9)</f>
        <v>10</v>
      </c>
    </row>
    <row r="10" customFormat="false" ht="15" hidden="false" customHeight="false" outlineLevel="0" collapsed="false">
      <c r="A10" s="1" t="n">
        <v>9</v>
      </c>
      <c r="B10" s="2" t="s">
        <v>35</v>
      </c>
      <c r="C10" s="1" t="n">
        <v>4</v>
      </c>
      <c r="E10" s="1" t="n">
        <f aca="false">C10+D10</f>
        <v>4</v>
      </c>
      <c r="H10" s="1" t="n">
        <v>7</v>
      </c>
      <c r="I10" s="1" t="n">
        <v>1</v>
      </c>
      <c r="J10" s="1" t="n">
        <f aca="false">SUM(F10:I10)</f>
        <v>8</v>
      </c>
      <c r="K10" s="1" t="n">
        <v>1</v>
      </c>
      <c r="L10" s="1" t="n">
        <v>10</v>
      </c>
      <c r="M10" s="2" t="n">
        <f aca="false">SUM(K10:L10)</f>
        <v>11</v>
      </c>
    </row>
    <row r="11" customFormat="false" ht="15" hidden="false" customHeight="false" outlineLevel="0" collapsed="false">
      <c r="A11" s="1" t="n">
        <v>10</v>
      </c>
      <c r="B11" s="2" t="s">
        <v>38</v>
      </c>
      <c r="C11" s="1" t="n">
        <v>1</v>
      </c>
      <c r="E11" s="1" t="n">
        <f aca="false">C11+D11</f>
        <v>1</v>
      </c>
      <c r="J11" s="1" t="n">
        <f aca="false">SUM(F11:I11)</f>
        <v>0</v>
      </c>
      <c r="L11" s="1" t="n">
        <v>10</v>
      </c>
      <c r="M11" s="2" t="n">
        <f aca="false">SUM(K11:L11)</f>
        <v>10</v>
      </c>
    </row>
    <row r="12" customFormat="false" ht="15" hidden="false" customHeight="false" outlineLevel="0" collapsed="false">
      <c r="A12" s="1" t="n">
        <v>11</v>
      </c>
      <c r="B12" s="2" t="s">
        <v>41</v>
      </c>
      <c r="C12" s="1" t="n">
        <v>0</v>
      </c>
      <c r="D12" s="1" t="n">
        <v>3</v>
      </c>
      <c r="E12" s="1" t="n">
        <f aca="false">C12+D12</f>
        <v>3</v>
      </c>
      <c r="F12" s="1" t="n">
        <v>4</v>
      </c>
      <c r="G12" s="1" t="n">
        <v>1</v>
      </c>
      <c r="J12" s="1" t="n">
        <f aca="false">SUM(F12:I12)</f>
        <v>5</v>
      </c>
      <c r="L12" s="1" t="n">
        <v>10</v>
      </c>
      <c r="M12" s="2" t="n">
        <f aca="false">SUM(K12:L12)</f>
        <v>10</v>
      </c>
    </row>
    <row r="13" customFormat="false" ht="15" hidden="false" customHeight="false" outlineLevel="0" collapsed="false">
      <c r="A13" s="1" t="n">
        <v>12</v>
      </c>
      <c r="B13" s="2" t="s">
        <v>44</v>
      </c>
      <c r="C13" s="1" t="n">
        <v>0</v>
      </c>
      <c r="E13" s="1" t="n">
        <f aca="false">C13+D13</f>
        <v>0</v>
      </c>
      <c r="J13" s="1" t="n">
        <f aca="false">SUM(F13:I13)</f>
        <v>0</v>
      </c>
      <c r="L13" s="1" t="n">
        <v>10</v>
      </c>
      <c r="M13" s="2" t="n">
        <f aca="false">SUM(K13:L13)</f>
        <v>10</v>
      </c>
    </row>
    <row r="14" customFormat="false" ht="15" hidden="false" customHeight="false" outlineLevel="0" collapsed="false">
      <c r="A14" s="1" t="n">
        <v>13</v>
      </c>
      <c r="B14" s="2" t="s">
        <v>47</v>
      </c>
      <c r="C14" s="1" t="n">
        <v>0</v>
      </c>
      <c r="E14" s="1" t="n">
        <f aca="false">C14+D14</f>
        <v>0</v>
      </c>
      <c r="F14" s="1" t="n">
        <v>4</v>
      </c>
      <c r="H14" s="1" t="n">
        <v>1</v>
      </c>
      <c r="J14" s="1" t="n">
        <f aca="false">SUM(F14:I14)</f>
        <v>5</v>
      </c>
      <c r="L14" s="1" t="n">
        <v>10</v>
      </c>
      <c r="M14" s="2" t="n">
        <f aca="false">SUM(K14:L14)</f>
        <v>10</v>
      </c>
    </row>
    <row r="15" customFormat="false" ht="15" hidden="false" customHeight="false" outlineLevel="0" collapsed="false">
      <c r="A15" s="1" t="n">
        <v>14</v>
      </c>
      <c r="B15" s="2" t="s">
        <v>50</v>
      </c>
      <c r="C15" s="1" t="n">
        <v>0</v>
      </c>
      <c r="E15" s="1" t="n">
        <f aca="false">C15+D15</f>
        <v>0</v>
      </c>
      <c r="F15" s="1" t="n">
        <v>2</v>
      </c>
      <c r="I15" s="1" t="n">
        <v>-1</v>
      </c>
      <c r="J15" s="1" t="n">
        <f aca="false">SUM(F15:I15)</f>
        <v>1</v>
      </c>
      <c r="K15" s="1" t="n">
        <v>-1</v>
      </c>
      <c r="M15" s="2" t="n">
        <f aca="false">SUM(K15:L15)</f>
        <v>-1</v>
      </c>
    </row>
    <row r="16" customFormat="false" ht="15" hidden="false" customHeight="false" outlineLevel="0" collapsed="false">
      <c r="A16" s="1" t="n">
        <v>15</v>
      </c>
      <c r="B16" s="2" t="s">
        <v>110</v>
      </c>
      <c r="C16" s="1" t="n">
        <v>2</v>
      </c>
      <c r="E16" s="1" t="n">
        <f aca="false">C16+D16</f>
        <v>2</v>
      </c>
      <c r="J16" s="1" t="n">
        <f aca="false">SUM(F16:I16)</f>
        <v>0</v>
      </c>
      <c r="M16" s="2" t="n">
        <f aca="false">SUM(K16:L16)</f>
        <v>0</v>
      </c>
    </row>
    <row r="17" customFormat="false" ht="15" hidden="false" customHeight="false" outlineLevel="0" collapsed="false">
      <c r="A17" s="1" t="n">
        <v>16</v>
      </c>
      <c r="B17" s="2" t="s">
        <v>54</v>
      </c>
      <c r="C17" s="1" t="n">
        <v>2</v>
      </c>
      <c r="E17" s="1" t="n">
        <f aca="false">C17+D17</f>
        <v>2</v>
      </c>
      <c r="J17" s="1" t="n">
        <f aca="false">SUM(F17:I17)</f>
        <v>0</v>
      </c>
      <c r="L17" s="1" t="n">
        <v>10</v>
      </c>
      <c r="M17" s="2" t="n">
        <f aca="false">SUM(K17:L17)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2.93"/>
  </cols>
  <sheetData>
    <row r="1" customFormat="false" ht="15" hidden="false" customHeight="false" outlineLevel="0" collapsed="false">
      <c r="A1" s="1" t="s">
        <v>0</v>
      </c>
      <c r="B1" s="2" t="s">
        <v>2</v>
      </c>
      <c r="C1" s="2" t="s">
        <v>2</v>
      </c>
      <c r="D1" s="1" t="s">
        <v>114</v>
      </c>
      <c r="E1" s="1" t="s">
        <v>115</v>
      </c>
      <c r="F1" s="1" t="s">
        <v>81</v>
      </c>
      <c r="G1" s="1" t="s">
        <v>116</v>
      </c>
      <c r="H1" s="1" t="s">
        <v>88</v>
      </c>
    </row>
    <row r="2" customFormat="false" ht="15" hidden="false" customHeight="false" outlineLevel="0" collapsed="false">
      <c r="A2" s="1" t="n">
        <v>1</v>
      </c>
      <c r="B2" s="2" t="s">
        <v>6</v>
      </c>
      <c r="C2" s="2" t="s">
        <v>6</v>
      </c>
      <c r="D2" s="1" t="s">
        <v>117</v>
      </c>
      <c r="E2" s="1" t="n">
        <v>2</v>
      </c>
      <c r="H2" s="1" t="n">
        <v>2</v>
      </c>
    </row>
    <row r="3" customFormat="false" ht="15" hidden="false" customHeight="false" outlineLevel="0" collapsed="false">
      <c r="A3" s="1" t="n">
        <v>2</v>
      </c>
      <c r="B3" s="2" t="s">
        <v>13</v>
      </c>
      <c r="C3" s="2" t="s">
        <v>13</v>
      </c>
      <c r="D3" s="1" t="s">
        <v>118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119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4</v>
      </c>
      <c r="B5" s="2" t="s">
        <v>20</v>
      </c>
      <c r="C5" s="1" t="s">
        <v>20</v>
      </c>
      <c r="D5" s="1" t="s">
        <v>120</v>
      </c>
      <c r="E5" s="1" t="n">
        <v>9</v>
      </c>
      <c r="F5" s="1" t="n">
        <f aca="false">ROUND(AVERAGE(E5:E10),0)</f>
        <v>6</v>
      </c>
      <c r="G5" s="1" t="n">
        <v>6</v>
      </c>
      <c r="H5" s="1" t="n">
        <f aca="false">MAX(G5,F5)</f>
        <v>6</v>
      </c>
    </row>
    <row r="6" customFormat="false" ht="15" hidden="false" customHeight="false" outlineLevel="0" collapsed="false">
      <c r="C6" s="2" t="s">
        <v>20</v>
      </c>
      <c r="D6" s="1" t="s">
        <v>121</v>
      </c>
      <c r="E6" s="1" t="n">
        <v>6</v>
      </c>
    </row>
    <row r="7" customFormat="false" ht="15" hidden="false" customHeight="false" outlineLevel="0" collapsed="false">
      <c r="C7" s="1" t="s">
        <v>20</v>
      </c>
      <c r="D7" s="1" t="s">
        <v>122</v>
      </c>
      <c r="E7" s="1" t="n">
        <v>6</v>
      </c>
    </row>
    <row r="8" customFormat="false" ht="15" hidden="false" customHeight="false" outlineLevel="0" collapsed="false">
      <c r="C8" s="1" t="s">
        <v>20</v>
      </c>
      <c r="D8" s="1" t="s">
        <v>123</v>
      </c>
      <c r="E8" s="1" t="n">
        <v>6</v>
      </c>
    </row>
    <row r="9" customFormat="false" ht="15" hidden="false" customHeight="false" outlineLevel="0" collapsed="false">
      <c r="C9" s="1" t="s">
        <v>20</v>
      </c>
      <c r="D9" s="1" t="s">
        <v>124</v>
      </c>
      <c r="E9" s="1" t="n">
        <v>4</v>
      </c>
    </row>
    <row r="10" customFormat="false" ht="15" hidden="false" customHeight="false" outlineLevel="0" collapsed="false">
      <c r="C10" s="1" t="s">
        <v>20</v>
      </c>
      <c r="D10" s="1" t="s">
        <v>125</v>
      </c>
      <c r="E10" s="1" t="n">
        <v>2</v>
      </c>
    </row>
    <row r="11" customFormat="false" ht="15" hidden="false" customHeight="false" outlineLevel="0" collapsed="false">
      <c r="A11" s="1" t="n">
        <v>5</v>
      </c>
      <c r="B11" s="2" t="s">
        <v>23</v>
      </c>
      <c r="C11" s="1" t="s">
        <v>23</v>
      </c>
      <c r="D11" s="1" t="s">
        <v>126</v>
      </c>
      <c r="E11" s="1" t="n">
        <v>7</v>
      </c>
      <c r="F11" s="1" t="n">
        <f aca="false">ROUND(AVERAGE(E11:E12),0)</f>
        <v>6</v>
      </c>
      <c r="G11" s="1" t="n">
        <v>5</v>
      </c>
      <c r="H11" s="1" t="n">
        <f aca="false">MAX(G11,F11)</f>
        <v>6</v>
      </c>
    </row>
    <row r="12" customFormat="false" ht="15" hidden="false" customHeight="false" outlineLevel="0" collapsed="false">
      <c r="C12" s="2" t="s">
        <v>23</v>
      </c>
      <c r="D12" s="1" t="s">
        <v>127</v>
      </c>
      <c r="E12" s="1" t="n">
        <v>5</v>
      </c>
    </row>
    <row r="13" customFormat="false" ht="15" hidden="false" customHeight="false" outlineLevel="0" collapsed="false">
      <c r="A13" s="1" t="n">
        <v>6</v>
      </c>
      <c r="B13" s="2" t="s">
        <v>26</v>
      </c>
      <c r="C13" s="2" t="s">
        <v>26</v>
      </c>
      <c r="D13" s="1" t="s">
        <v>128</v>
      </c>
      <c r="E13" s="1" t="n">
        <v>2</v>
      </c>
      <c r="H13" s="1" t="n">
        <v>2</v>
      </c>
    </row>
    <row r="14" customFormat="false" ht="15" hidden="false" customHeight="false" outlineLevel="0" collapsed="false">
      <c r="A14" s="1" t="n">
        <v>7</v>
      </c>
      <c r="B14" s="2" t="s">
        <v>29</v>
      </c>
      <c r="C14" s="2" t="s">
        <v>29</v>
      </c>
      <c r="D14" s="1" t="s">
        <v>129</v>
      </c>
      <c r="E14" s="1" t="n">
        <v>5</v>
      </c>
      <c r="H14" s="1" t="n">
        <v>5</v>
      </c>
    </row>
    <row r="15" customFormat="false" ht="15" hidden="false" customHeight="false" outlineLevel="0" collapsed="false">
      <c r="A15" s="1" t="n">
        <v>8</v>
      </c>
      <c r="B15" s="2" t="s">
        <v>32</v>
      </c>
      <c r="C15" s="2" t="s">
        <v>32</v>
      </c>
      <c r="D15" s="1" t="s">
        <v>130</v>
      </c>
      <c r="E15" s="1" t="n">
        <v>5</v>
      </c>
      <c r="H15" s="1" t="n">
        <v>5</v>
      </c>
    </row>
    <row r="16" customFormat="false" ht="15" hidden="false" customHeight="false" outlineLevel="0" collapsed="false">
      <c r="A16" s="1" t="n">
        <v>9</v>
      </c>
      <c r="B16" s="2" t="s">
        <v>35</v>
      </c>
      <c r="C16" s="2" t="s">
        <v>35</v>
      </c>
      <c r="D16" s="1" t="s">
        <v>131</v>
      </c>
      <c r="E16" s="1" t="n">
        <v>2</v>
      </c>
      <c r="H16" s="1" t="n">
        <v>2</v>
      </c>
    </row>
    <row r="17" customFormat="false" ht="15" hidden="false" customHeight="false" outlineLevel="0" collapsed="false">
      <c r="A17" s="1" t="n">
        <v>10</v>
      </c>
      <c r="B17" s="2" t="s">
        <v>38</v>
      </c>
      <c r="C17" s="2" t="s">
        <v>38</v>
      </c>
      <c r="D17" s="1" t="s">
        <v>132</v>
      </c>
      <c r="E17" s="1" t="n">
        <v>2</v>
      </c>
      <c r="H17" s="1" t="n">
        <v>2</v>
      </c>
    </row>
    <row r="18" customFormat="false" ht="15" hidden="false" customHeight="false" outlineLevel="0" collapsed="false">
      <c r="A18" s="1" t="n">
        <v>11</v>
      </c>
      <c r="B18" s="2" t="s">
        <v>41</v>
      </c>
      <c r="C18" s="2" t="s">
        <v>41</v>
      </c>
      <c r="D18" s="1" t="s">
        <v>132</v>
      </c>
      <c r="E18" s="1" t="n">
        <v>4</v>
      </c>
      <c r="H18" s="1" t="n">
        <v>4</v>
      </c>
    </row>
    <row r="19" customFormat="false" ht="15" hidden="false" customHeight="false" outlineLevel="0" collapsed="false">
      <c r="A19" s="1" t="n">
        <v>12</v>
      </c>
      <c r="B19" s="2" t="s">
        <v>44</v>
      </c>
      <c r="C19" s="2" t="s">
        <v>44</v>
      </c>
      <c r="D19" s="1" t="s">
        <v>131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13</v>
      </c>
      <c r="B20" s="2" t="s">
        <v>47</v>
      </c>
      <c r="C20" s="2" t="s">
        <v>47</v>
      </c>
      <c r="D20" s="1" t="s">
        <v>133</v>
      </c>
      <c r="E20" s="1" t="n">
        <v>0</v>
      </c>
      <c r="H20" s="1" t="n">
        <v>1</v>
      </c>
    </row>
    <row r="21" customFormat="false" ht="15" hidden="false" customHeight="false" outlineLevel="0" collapsed="false">
      <c r="A21" s="1" t="n">
        <v>14</v>
      </c>
      <c r="B21" s="2" t="s">
        <v>50</v>
      </c>
      <c r="C21" s="2" t="s">
        <v>50</v>
      </c>
      <c r="D21" s="1" t="s">
        <v>134</v>
      </c>
      <c r="E21" s="1" t="n">
        <v>4</v>
      </c>
      <c r="H21" s="1" t="n">
        <v>4</v>
      </c>
    </row>
    <row r="22" customFormat="false" ht="15" hidden="false" customHeight="false" outlineLevel="0" collapsed="false">
      <c r="A22" s="1" t="n">
        <v>15</v>
      </c>
      <c r="B22" s="2" t="s">
        <v>110</v>
      </c>
      <c r="C22" s="2" t="s">
        <v>110</v>
      </c>
      <c r="D22" s="1" t="s">
        <v>135</v>
      </c>
      <c r="E22" s="1" t="n">
        <v>0</v>
      </c>
      <c r="H22" s="1" t="n">
        <v>1</v>
      </c>
    </row>
    <row r="23" customFormat="false" ht="15" hidden="false" customHeight="false" outlineLevel="0" collapsed="false">
      <c r="A23" s="1" t="n">
        <v>16</v>
      </c>
      <c r="B23" s="2" t="s">
        <v>54</v>
      </c>
      <c r="C23" s="1" t="s">
        <v>54</v>
      </c>
      <c r="D23" s="1" t="s">
        <v>136</v>
      </c>
      <c r="E23" s="1" t="n">
        <v>8</v>
      </c>
      <c r="F23" s="1" t="n">
        <f aca="false">ROUND(AVERAGE(E23:E27),0)</f>
        <v>4</v>
      </c>
      <c r="G23" s="1" t="n">
        <v>4</v>
      </c>
      <c r="H23" s="1" t="n">
        <f aca="false">MAX(G23,F23)</f>
        <v>4</v>
      </c>
    </row>
    <row r="24" customFormat="false" ht="15" hidden="false" customHeight="false" outlineLevel="0" collapsed="false">
      <c r="C24" s="2" t="s">
        <v>54</v>
      </c>
      <c r="D24" s="1" t="s">
        <v>137</v>
      </c>
      <c r="E24" s="1" t="n">
        <v>4</v>
      </c>
    </row>
    <row r="25" customFormat="false" ht="15" hidden="false" customHeight="false" outlineLevel="0" collapsed="false">
      <c r="C25" s="1" t="s">
        <v>54</v>
      </c>
      <c r="D25" s="1" t="s">
        <v>138</v>
      </c>
      <c r="E25" s="1" t="n">
        <v>3</v>
      </c>
    </row>
    <row r="26" customFormat="false" ht="15" hidden="false" customHeight="false" outlineLevel="0" collapsed="false">
      <c r="C26" s="1" t="s">
        <v>54</v>
      </c>
      <c r="D26" s="1" t="s">
        <v>139</v>
      </c>
      <c r="E26" s="1" t="n">
        <v>2</v>
      </c>
    </row>
    <row r="27" customFormat="false" ht="15" hidden="false" customHeight="false" outlineLevel="0" collapsed="false">
      <c r="C27" s="1" t="s">
        <v>54</v>
      </c>
      <c r="D27" s="1" t="s">
        <v>140</v>
      </c>
      <c r="E27" s="1" t="n">
        <v>1</v>
      </c>
    </row>
    <row r="28" customFormat="false" ht="15" hidden="false" customHeight="false" outlineLevel="0" collapsed="false">
      <c r="G28" s="1" t="s">
        <v>61</v>
      </c>
      <c r="H28" s="1" t="n">
        <f aca="false">COUNTIF(H2:H23,"&gt;0")</f>
        <v>16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F14" activeCellId="0" sqref="F14"/>
    </sheetView>
  </sheetViews>
  <sheetFormatPr defaultColWidth="9.62109375" defaultRowHeight="15" zeroHeight="false" outlineLevelRow="0" outlineLevelCol="0"/>
  <cols>
    <col collapsed="false" customWidth="true" hidden="false" outlineLevel="0" max="3" min="2" style="1" width="18.21"/>
    <col collapsed="false" customWidth="true" hidden="false" outlineLevel="0" max="4" min="4" style="1" width="23.23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114</v>
      </c>
      <c r="F1" s="1" t="s">
        <v>115</v>
      </c>
      <c r="G1" s="1" t="s">
        <v>81</v>
      </c>
      <c r="H1" s="1" t="s">
        <v>116</v>
      </c>
      <c r="I1" s="1" t="s">
        <v>88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142</v>
      </c>
      <c r="E4" s="1" t="s">
        <v>143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20</v>
      </c>
      <c r="C5" s="1" t="s">
        <v>20</v>
      </c>
      <c r="D5" s="1" t="s">
        <v>144</v>
      </c>
      <c r="E5" s="1" t="s">
        <v>145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23</v>
      </c>
      <c r="C6" s="1" t="s">
        <v>23</v>
      </c>
      <c r="D6" s="1" t="s">
        <v>146</v>
      </c>
      <c r="E6" s="1" t="s">
        <v>147</v>
      </c>
      <c r="F6" s="1" t="n">
        <v>6</v>
      </c>
      <c r="G6" s="1" t="n">
        <f aca="false">AVERAGE(F6:F8)</f>
        <v>5.33333333333333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23</v>
      </c>
      <c r="D7" s="1" t="s">
        <v>148</v>
      </c>
      <c r="E7" s="1" t="s">
        <v>149</v>
      </c>
      <c r="F7" s="1" t="n">
        <v>6</v>
      </c>
    </row>
    <row r="8" customFormat="false" ht="15" hidden="false" customHeight="false" outlineLevel="0" collapsed="false">
      <c r="C8" s="1" t="s">
        <v>23</v>
      </c>
      <c r="D8" s="1" t="s">
        <v>150</v>
      </c>
      <c r="E8" s="1" t="s">
        <v>151</v>
      </c>
      <c r="F8" s="1" t="n">
        <v>4</v>
      </c>
    </row>
    <row r="9" customFormat="false" ht="15" hidden="false" customHeight="false" outlineLevel="0" collapsed="false">
      <c r="A9" s="1" t="n">
        <v>6</v>
      </c>
      <c r="B9" s="2" t="s">
        <v>26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29</v>
      </c>
      <c r="C10" s="1" t="s">
        <v>29</v>
      </c>
      <c r="D10" s="1" t="s">
        <v>152</v>
      </c>
      <c r="E10" s="1" t="s">
        <v>153</v>
      </c>
      <c r="F10" s="1" t="n">
        <v>6</v>
      </c>
      <c r="G10" s="1" t="n">
        <f aca="false">AVERAGE(F10:F11)</f>
        <v>5.5</v>
      </c>
      <c r="H10" s="1" t="n">
        <v>5</v>
      </c>
      <c r="I10" s="1" t="n">
        <f aca="false">ROUND(MAX(H10,G10),0)</f>
        <v>6</v>
      </c>
    </row>
    <row r="11" customFormat="false" ht="15" hidden="false" customHeight="false" outlineLevel="0" collapsed="false">
      <c r="C11" s="1" t="s">
        <v>29</v>
      </c>
      <c r="D11" s="1" t="s">
        <v>154</v>
      </c>
      <c r="E11" s="1" t="s">
        <v>155</v>
      </c>
      <c r="F11" s="1" t="n">
        <v>5</v>
      </c>
    </row>
    <row r="12" customFormat="false" ht="15" hidden="false" customHeight="false" outlineLevel="0" collapsed="false">
      <c r="A12" s="1" t="n">
        <v>8</v>
      </c>
      <c r="B12" s="2" t="s">
        <v>32</v>
      </c>
      <c r="C12" s="1" t="s">
        <v>32</v>
      </c>
      <c r="D12" s="1" t="s">
        <v>156</v>
      </c>
      <c r="E12" s="1" t="s">
        <v>157</v>
      </c>
      <c r="F12" s="1" t="n">
        <v>7</v>
      </c>
      <c r="G12" s="1" t="n">
        <f aca="false">AVERAGE(F12:F16)</f>
        <v>4.8</v>
      </c>
      <c r="H12" s="1" t="n">
        <v>4</v>
      </c>
      <c r="I12" s="1" t="n">
        <f aca="false">ROUND(MAX(H12,G12),0)</f>
        <v>5</v>
      </c>
    </row>
    <row r="13" customFormat="false" ht="15" hidden="false" customHeight="false" outlineLevel="0" collapsed="false">
      <c r="C13" s="1" t="s">
        <v>32</v>
      </c>
      <c r="D13" s="1" t="s">
        <v>158</v>
      </c>
      <c r="E13" s="1" t="s">
        <v>159</v>
      </c>
      <c r="F13" s="1" t="n">
        <v>7</v>
      </c>
    </row>
    <row r="14" customFormat="false" ht="15" hidden="false" customHeight="false" outlineLevel="0" collapsed="false">
      <c r="C14" s="1" t="s">
        <v>32</v>
      </c>
      <c r="D14" s="1" t="s">
        <v>160</v>
      </c>
      <c r="E14" s="1" t="s">
        <v>161</v>
      </c>
      <c r="F14" s="1" t="n">
        <v>4</v>
      </c>
    </row>
    <row r="15" customFormat="false" ht="15" hidden="false" customHeight="false" outlineLevel="0" collapsed="false">
      <c r="C15" s="1" t="s">
        <v>32</v>
      </c>
      <c r="D15" s="1" t="s">
        <v>162</v>
      </c>
      <c r="E15" s="1" t="s">
        <v>163</v>
      </c>
      <c r="F15" s="1" t="n">
        <v>4</v>
      </c>
    </row>
    <row r="16" customFormat="false" ht="15" hidden="false" customHeight="false" outlineLevel="0" collapsed="false">
      <c r="C16" s="1" t="s">
        <v>32</v>
      </c>
      <c r="D16" s="1" t="s">
        <v>164</v>
      </c>
      <c r="E16" s="1" t="s">
        <v>145</v>
      </c>
      <c r="F16" s="1" t="n">
        <v>2</v>
      </c>
    </row>
    <row r="17" customFormat="false" ht="15" hidden="false" customHeight="false" outlineLevel="0" collapsed="false">
      <c r="A17" s="1" t="n">
        <v>9</v>
      </c>
      <c r="B17" s="2" t="s">
        <v>35</v>
      </c>
      <c r="C17" s="1" t="s">
        <v>35</v>
      </c>
      <c r="D17" s="1" t="s">
        <v>165</v>
      </c>
      <c r="E17" s="1" t="s">
        <v>166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10</v>
      </c>
      <c r="B18" s="2" t="s">
        <v>38</v>
      </c>
      <c r="C18" s="1" t="s">
        <v>38</v>
      </c>
      <c r="D18" s="1" t="s">
        <v>167</v>
      </c>
      <c r="E18" s="1" t="s">
        <v>168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11</v>
      </c>
      <c r="B19" s="2" t="s">
        <v>41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2" t="s">
        <v>44</v>
      </c>
      <c r="C20" s="1" t="s">
        <v>44</v>
      </c>
      <c r="D20" s="1" t="s">
        <v>169</v>
      </c>
      <c r="E20" s="1" t="s">
        <v>170</v>
      </c>
      <c r="F20" s="1" t="n">
        <v>3</v>
      </c>
      <c r="I20" s="1" t="n">
        <v>3</v>
      </c>
    </row>
    <row r="21" customFormat="false" ht="15" hidden="false" customHeight="false" outlineLevel="0" collapsed="false">
      <c r="A21" s="1" t="n">
        <v>13</v>
      </c>
      <c r="B21" s="2" t="s">
        <v>47</v>
      </c>
      <c r="C21" s="1" t="s">
        <v>47</v>
      </c>
      <c r="D21" s="1" t="s">
        <v>171</v>
      </c>
      <c r="E21" s="1" t="s">
        <v>155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2" t="s">
        <v>50</v>
      </c>
      <c r="C22" s="1" t="s">
        <v>50</v>
      </c>
      <c r="D22" s="1" t="s">
        <v>172</v>
      </c>
      <c r="E22" s="1" t="s">
        <v>173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15</v>
      </c>
      <c r="B23" s="2" t="s">
        <v>110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2" t="s">
        <v>54</v>
      </c>
      <c r="C24" s="1" t="s">
        <v>54</v>
      </c>
      <c r="D24" s="1" t="s">
        <v>174</v>
      </c>
      <c r="E24" s="1" t="s">
        <v>175</v>
      </c>
      <c r="F24" s="1" t="n">
        <v>9</v>
      </c>
      <c r="G24" s="1" t="n">
        <f aca="false">AVERAGE(F24:F25)</f>
        <v>8.5</v>
      </c>
      <c r="H24" s="1" t="n">
        <v>8</v>
      </c>
      <c r="I24" s="1" t="n">
        <f aca="false">ROUND(MAX(H24,G24),0)</f>
        <v>9</v>
      </c>
    </row>
    <row r="25" customFormat="false" ht="15" hidden="false" customHeight="false" outlineLevel="0" collapsed="false">
      <c r="C25" s="1" t="s">
        <v>54</v>
      </c>
      <c r="D25" s="1" t="s">
        <v>176</v>
      </c>
      <c r="E25" s="1" t="s">
        <v>177</v>
      </c>
      <c r="F25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5" activeCellId="0" sqref="G5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1" width="18.21"/>
    <col collapsed="false" customWidth="true" hidden="false" outlineLevel="0" max="3" min="3" style="1" width="14.43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114</v>
      </c>
      <c r="F1" s="1" t="s">
        <v>115</v>
      </c>
      <c r="G1" s="1" t="s">
        <v>81</v>
      </c>
      <c r="H1" s="1" t="s">
        <v>116</v>
      </c>
      <c r="I1" s="1" t="s">
        <v>88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178</v>
      </c>
      <c r="E4" s="1" t="s">
        <v>179</v>
      </c>
      <c r="F4" s="1" t="n">
        <v>8.7</v>
      </c>
      <c r="I4" s="1" t="n">
        <v>8.7</v>
      </c>
    </row>
    <row r="5" customFormat="false" ht="15" hidden="false" customHeight="false" outlineLevel="0" collapsed="false">
      <c r="A5" s="1" t="n">
        <v>4</v>
      </c>
      <c r="B5" s="2" t="s">
        <v>20</v>
      </c>
      <c r="C5" s="1" t="s">
        <v>20</v>
      </c>
      <c r="D5" s="1" t="s">
        <v>180</v>
      </c>
      <c r="E5" s="1" t="s">
        <v>181</v>
      </c>
      <c r="F5" s="1" t="n">
        <v>5.8</v>
      </c>
      <c r="G5" s="1" t="n">
        <f aca="false">AVERAGE(F5:F6)</f>
        <v>4.35</v>
      </c>
      <c r="H5" s="1" t="n">
        <v>3</v>
      </c>
      <c r="I5" s="1" t="n">
        <f aca="false">ROUND(MAX(H5,G5),0)</f>
        <v>4</v>
      </c>
    </row>
    <row r="6" customFormat="false" ht="15" hidden="false" customHeight="false" outlineLevel="0" collapsed="false">
      <c r="C6" s="1" t="s">
        <v>20</v>
      </c>
      <c r="D6" s="1" t="s">
        <v>182</v>
      </c>
      <c r="E6" s="1" t="s">
        <v>183</v>
      </c>
      <c r="F6" s="1" t="n">
        <v>2.9</v>
      </c>
    </row>
    <row r="7" customFormat="false" ht="15" hidden="false" customHeight="false" outlineLevel="0" collapsed="false">
      <c r="A7" s="1" t="n">
        <v>5</v>
      </c>
      <c r="B7" s="2" t="s">
        <v>23</v>
      </c>
      <c r="C7" s="1" t="s">
        <v>23</v>
      </c>
      <c r="D7" s="1" t="s">
        <v>184</v>
      </c>
      <c r="E7" s="1" t="s">
        <v>185</v>
      </c>
      <c r="F7" s="1" t="n">
        <v>6.9</v>
      </c>
      <c r="I7" s="1" t="n">
        <v>7</v>
      </c>
    </row>
    <row r="8" customFormat="false" ht="15" hidden="false" customHeight="false" outlineLevel="0" collapsed="false">
      <c r="A8" s="1" t="n">
        <v>6</v>
      </c>
      <c r="B8" s="2" t="s">
        <v>26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2" t="s">
        <v>29</v>
      </c>
      <c r="C9" s="1" t="s">
        <v>29</v>
      </c>
      <c r="D9" s="1" t="s">
        <v>186</v>
      </c>
      <c r="E9" s="1" t="s">
        <v>187</v>
      </c>
      <c r="F9" s="1" t="n">
        <v>5.9</v>
      </c>
      <c r="G9" s="1" t="n">
        <f aca="false">AVERAGE(F9:F11)</f>
        <v>2.93333333333333</v>
      </c>
      <c r="H9" s="1" t="n">
        <v>2</v>
      </c>
      <c r="I9" s="1" t="n">
        <f aca="false">ROUND(MAX(H9,G9),0)</f>
        <v>3</v>
      </c>
    </row>
    <row r="10" customFormat="false" ht="15" hidden="false" customHeight="false" outlineLevel="0" collapsed="false">
      <c r="C10" s="1" t="s">
        <v>29</v>
      </c>
      <c r="D10" s="1" t="s">
        <v>188</v>
      </c>
      <c r="E10" s="1" t="s">
        <v>189</v>
      </c>
      <c r="F10" s="1" t="n">
        <v>2</v>
      </c>
    </row>
    <row r="11" customFormat="false" ht="15" hidden="false" customHeight="false" outlineLevel="0" collapsed="false">
      <c r="C11" s="1" t="s">
        <v>29</v>
      </c>
      <c r="D11" s="1" t="s">
        <v>190</v>
      </c>
      <c r="E11" s="1" t="s">
        <v>191</v>
      </c>
      <c r="F11" s="1" t="n">
        <v>0.9</v>
      </c>
    </row>
    <row r="12" customFormat="false" ht="15" hidden="false" customHeight="false" outlineLevel="0" collapsed="false">
      <c r="A12" s="1" t="n">
        <v>8</v>
      </c>
      <c r="B12" s="2" t="s">
        <v>32</v>
      </c>
      <c r="C12" s="1" t="s">
        <v>32</v>
      </c>
      <c r="D12" s="1" t="s">
        <v>192</v>
      </c>
      <c r="E12" s="1" t="s">
        <v>193</v>
      </c>
      <c r="F12" s="1" t="n">
        <v>2.8</v>
      </c>
      <c r="G12" s="1" t="n">
        <f aca="false">AVERAGE(F12:F13)</f>
        <v>1.85</v>
      </c>
      <c r="H12" s="1" t="n">
        <v>1</v>
      </c>
      <c r="I12" s="1" t="n">
        <f aca="false">ROUND(MAX(H12,G12),0)</f>
        <v>2</v>
      </c>
    </row>
    <row r="13" customFormat="false" ht="15" hidden="false" customHeight="false" outlineLevel="0" collapsed="false">
      <c r="C13" s="1" t="s">
        <v>32</v>
      </c>
      <c r="D13" s="1" t="s">
        <v>194</v>
      </c>
      <c r="E13" s="1" t="s">
        <v>195</v>
      </c>
      <c r="F13" s="1" t="n">
        <v>0.9</v>
      </c>
    </row>
    <row r="14" customFormat="false" ht="15" hidden="false" customHeight="false" outlineLevel="0" collapsed="false">
      <c r="A14" s="1" t="n">
        <v>9</v>
      </c>
      <c r="B14" s="2" t="s">
        <v>35</v>
      </c>
      <c r="C14" s="1" t="s">
        <v>35</v>
      </c>
      <c r="D14" s="1" t="s">
        <v>194</v>
      </c>
      <c r="E14" s="1" t="s">
        <v>196</v>
      </c>
      <c r="F14" s="1" t="n">
        <v>0.9</v>
      </c>
      <c r="I14" s="1" t="n">
        <v>1</v>
      </c>
    </row>
    <row r="15" customFormat="false" ht="15" hidden="false" customHeight="false" outlineLevel="0" collapsed="false">
      <c r="A15" s="1" t="n">
        <v>10</v>
      </c>
      <c r="B15" s="2" t="s">
        <v>38</v>
      </c>
      <c r="C15" s="1" t="s">
        <v>38</v>
      </c>
      <c r="D15" s="1" t="s">
        <v>197</v>
      </c>
      <c r="E15" s="1" t="s">
        <v>198</v>
      </c>
      <c r="F15" s="1" t="n">
        <v>7.8</v>
      </c>
      <c r="G15" s="1" t="n">
        <f aca="false">AVERAGE(F15:F16)</f>
        <v>6.75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38</v>
      </c>
      <c r="D16" s="1" t="s">
        <v>199</v>
      </c>
      <c r="E16" s="1" t="s">
        <v>200</v>
      </c>
      <c r="F16" s="1" t="n">
        <v>5.7</v>
      </c>
    </row>
    <row r="17" customFormat="false" ht="15" hidden="false" customHeight="false" outlineLevel="0" collapsed="false">
      <c r="A17" s="1" t="n">
        <v>11</v>
      </c>
      <c r="B17" s="2" t="s">
        <v>41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12</v>
      </c>
      <c r="B18" s="2" t="s">
        <v>44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2" t="s">
        <v>47</v>
      </c>
      <c r="C19" s="1" t="s">
        <v>47</v>
      </c>
      <c r="D19" s="1" t="s">
        <v>201</v>
      </c>
      <c r="E19" s="1" t="s">
        <v>202</v>
      </c>
      <c r="F19" s="1" t="n">
        <v>0</v>
      </c>
      <c r="I19" s="1" t="n">
        <v>1</v>
      </c>
    </row>
    <row r="20" customFormat="false" ht="15" hidden="false" customHeight="false" outlineLevel="0" collapsed="false">
      <c r="A20" s="1" t="n">
        <v>14</v>
      </c>
      <c r="B20" s="2" t="s">
        <v>50</v>
      </c>
      <c r="C20" s="1" t="s">
        <v>50</v>
      </c>
      <c r="D20" s="1" t="s">
        <v>203</v>
      </c>
      <c r="E20" s="1" t="s">
        <v>203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15</v>
      </c>
      <c r="B21" s="2" t="s">
        <v>110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2" t="s">
        <v>54</v>
      </c>
      <c r="C22" s="1" t="s">
        <v>54</v>
      </c>
      <c r="D22" s="1" t="s">
        <v>204</v>
      </c>
      <c r="E22" s="1" t="s">
        <v>205</v>
      </c>
      <c r="F22" s="1" t="n">
        <v>10</v>
      </c>
      <c r="G22" s="1" t="n">
        <f aca="false">AVERAGE(F22:F27)</f>
        <v>5.78333333333333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54</v>
      </c>
      <c r="D23" s="1" t="s">
        <v>174</v>
      </c>
      <c r="E23" s="1" t="s">
        <v>206</v>
      </c>
      <c r="F23" s="1" t="n">
        <v>9</v>
      </c>
    </row>
    <row r="24" customFormat="false" ht="15" hidden="false" customHeight="false" outlineLevel="0" collapsed="false">
      <c r="C24" s="1" t="s">
        <v>54</v>
      </c>
      <c r="D24" s="1" t="s">
        <v>207</v>
      </c>
      <c r="E24" s="1" t="s">
        <v>208</v>
      </c>
      <c r="F24" s="1" t="n">
        <v>6.9</v>
      </c>
    </row>
    <row r="25" customFormat="false" ht="15" hidden="false" customHeight="false" outlineLevel="0" collapsed="false">
      <c r="C25" s="1" t="s">
        <v>54</v>
      </c>
      <c r="D25" s="1" t="s">
        <v>209</v>
      </c>
      <c r="E25" s="1" t="s">
        <v>210</v>
      </c>
      <c r="F25" s="1" t="n">
        <v>4.9</v>
      </c>
    </row>
    <row r="26" customFormat="false" ht="15" hidden="false" customHeight="false" outlineLevel="0" collapsed="false">
      <c r="C26" s="1" t="s">
        <v>54</v>
      </c>
      <c r="D26" s="1" t="s">
        <v>211</v>
      </c>
      <c r="E26" s="1" t="s">
        <v>212</v>
      </c>
      <c r="F26" s="1" t="n">
        <v>3</v>
      </c>
    </row>
    <row r="27" customFormat="false" ht="15" hidden="false" customHeight="false" outlineLevel="0" collapsed="false">
      <c r="C27" s="1" t="s">
        <v>54</v>
      </c>
      <c r="D27" s="1" t="s">
        <v>213</v>
      </c>
      <c r="E27" s="1" t="s">
        <v>214</v>
      </c>
      <c r="F27" s="1" t="n">
        <v>0.9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114</v>
      </c>
      <c r="F1" s="1" t="s">
        <v>115</v>
      </c>
      <c r="G1" s="1" t="s">
        <v>81</v>
      </c>
      <c r="H1" s="1" t="s">
        <v>116</v>
      </c>
      <c r="I1" s="1" t="s">
        <v>88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215</v>
      </c>
      <c r="E4" s="1" t="s">
        <v>216</v>
      </c>
      <c r="F4" s="1" t="n">
        <v>10</v>
      </c>
      <c r="G4" s="1" t="n">
        <f aca="false">AVERAGE(F4:F5)</f>
        <v>9</v>
      </c>
      <c r="H4" s="1" t="n">
        <v>8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17</v>
      </c>
      <c r="D5" s="1" t="s">
        <v>217</v>
      </c>
      <c r="E5" s="1" t="s">
        <v>218</v>
      </c>
      <c r="F5" s="1" t="n">
        <v>8</v>
      </c>
    </row>
    <row r="6" customFormat="false" ht="15" hidden="false" customHeight="false" outlineLevel="0" collapsed="false">
      <c r="A6" s="1" t="n">
        <v>4</v>
      </c>
      <c r="B6" s="2" t="s">
        <v>20</v>
      </c>
      <c r="C6" s="1" t="s">
        <v>20</v>
      </c>
      <c r="D6" s="1" t="s">
        <v>219</v>
      </c>
      <c r="E6" s="1" t="s">
        <v>220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5</v>
      </c>
      <c r="B7" s="2" t="s">
        <v>23</v>
      </c>
      <c r="C7" s="1" t="s">
        <v>23</v>
      </c>
      <c r="D7" s="1" t="s">
        <v>221</v>
      </c>
      <c r="E7" s="1" t="s">
        <v>222</v>
      </c>
      <c r="F7" s="1" t="n">
        <v>10</v>
      </c>
      <c r="G7" s="1" t="n">
        <f aca="false">AVERAGE(F7:F8)</f>
        <v>7</v>
      </c>
      <c r="H7" s="1" t="n">
        <v>4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23</v>
      </c>
      <c r="D8" s="1" t="s">
        <v>223</v>
      </c>
      <c r="E8" s="1" t="s">
        <v>224</v>
      </c>
      <c r="F8" s="1" t="n">
        <v>4</v>
      </c>
    </row>
    <row r="9" customFormat="false" ht="15" hidden="false" customHeight="false" outlineLevel="0" collapsed="false">
      <c r="A9" s="1" t="n">
        <v>6</v>
      </c>
      <c r="B9" s="2" t="s">
        <v>26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29</v>
      </c>
      <c r="C10" s="1" t="s">
        <v>29</v>
      </c>
      <c r="D10" s="1" t="s">
        <v>225</v>
      </c>
      <c r="E10" s="1" t="s">
        <v>226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8</v>
      </c>
      <c r="B11" s="2" t="s">
        <v>32</v>
      </c>
      <c r="C11" s="1" t="s">
        <v>32</v>
      </c>
      <c r="D11" s="1" t="s">
        <v>227</v>
      </c>
      <c r="E11" s="1" t="s">
        <v>228</v>
      </c>
      <c r="F11" s="1" t="n">
        <v>10</v>
      </c>
      <c r="G11" s="1" t="n">
        <f aca="false">AVERAGE(F11:F12)</f>
        <v>9.5</v>
      </c>
      <c r="H11" s="1" t="n">
        <v>9</v>
      </c>
      <c r="I11" s="1" t="n">
        <f aca="false">ROUND(MAX(H11,G11),0)</f>
        <v>10</v>
      </c>
    </row>
    <row r="12" customFormat="false" ht="15" hidden="false" customHeight="false" outlineLevel="0" collapsed="false">
      <c r="C12" s="1" t="s">
        <v>32</v>
      </c>
      <c r="D12" s="1" t="s">
        <v>229</v>
      </c>
      <c r="E12" s="1" t="s">
        <v>230</v>
      </c>
      <c r="F12" s="1" t="n">
        <v>9</v>
      </c>
    </row>
    <row r="13" customFormat="false" ht="15" hidden="false" customHeight="false" outlineLevel="0" collapsed="false">
      <c r="A13" s="1" t="n">
        <v>9</v>
      </c>
      <c r="B13" s="2" t="s">
        <v>35</v>
      </c>
      <c r="C13" s="1" t="s">
        <v>35</v>
      </c>
      <c r="D13" s="1" t="s">
        <v>231</v>
      </c>
      <c r="E13" s="1" t="s">
        <v>232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2" t="s">
        <v>38</v>
      </c>
      <c r="C14" s="1" t="s">
        <v>38</v>
      </c>
      <c r="D14" s="1" t="s">
        <v>233</v>
      </c>
      <c r="E14" s="1" t="s">
        <v>234</v>
      </c>
      <c r="F14" s="1" t="n">
        <v>10</v>
      </c>
      <c r="G14" s="1" t="n">
        <f aca="false">AVERAGE(F14:F18)</f>
        <v>4</v>
      </c>
      <c r="H14" s="1" t="n">
        <v>3</v>
      </c>
      <c r="I14" s="1" t="n">
        <f aca="false">ROUND(MAX(H14,G14),0)</f>
        <v>4</v>
      </c>
    </row>
    <row r="15" customFormat="false" ht="15" hidden="false" customHeight="false" outlineLevel="0" collapsed="false">
      <c r="C15" s="1" t="s">
        <v>38</v>
      </c>
      <c r="D15" s="1" t="s">
        <v>235</v>
      </c>
      <c r="E15" s="1" t="s">
        <v>236</v>
      </c>
      <c r="F15" s="1" t="n">
        <v>3</v>
      </c>
    </row>
    <row r="16" customFormat="false" ht="15" hidden="false" customHeight="false" outlineLevel="0" collapsed="false">
      <c r="C16" s="1" t="s">
        <v>38</v>
      </c>
      <c r="D16" s="1" t="s">
        <v>237</v>
      </c>
      <c r="E16" s="1" t="s">
        <v>238</v>
      </c>
      <c r="F16" s="1" t="n">
        <v>3</v>
      </c>
    </row>
    <row r="17" customFormat="false" ht="15" hidden="false" customHeight="false" outlineLevel="0" collapsed="false">
      <c r="C17" s="1" t="s">
        <v>38</v>
      </c>
      <c r="D17" s="1" t="s">
        <v>239</v>
      </c>
      <c r="E17" s="1" t="s">
        <v>240</v>
      </c>
      <c r="F17" s="1" t="n">
        <v>2</v>
      </c>
    </row>
    <row r="18" customFormat="false" ht="15" hidden="false" customHeight="false" outlineLevel="0" collapsed="false">
      <c r="C18" s="1" t="s">
        <v>38</v>
      </c>
      <c r="D18" s="1" t="s">
        <v>241</v>
      </c>
      <c r="E18" s="1" t="s">
        <v>242</v>
      </c>
      <c r="F18" s="1" t="n">
        <v>2</v>
      </c>
    </row>
    <row r="19" customFormat="false" ht="15" hidden="false" customHeight="false" outlineLevel="0" collapsed="false">
      <c r="A19" s="1" t="n">
        <v>11</v>
      </c>
      <c r="B19" s="2" t="s">
        <v>41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2" t="s">
        <v>44</v>
      </c>
      <c r="C20" s="1" t="s">
        <v>44</v>
      </c>
      <c r="D20" s="1" t="s">
        <v>243</v>
      </c>
      <c r="E20" s="1" t="s">
        <v>244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13</v>
      </c>
      <c r="B21" s="2" t="s">
        <v>47</v>
      </c>
      <c r="C21" s="1" t="s">
        <v>47</v>
      </c>
      <c r="D21" s="1" t="s">
        <v>245</v>
      </c>
      <c r="E21" s="1" t="s">
        <v>246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2" t="s">
        <v>50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15</v>
      </c>
      <c r="B23" s="2" t="s">
        <v>110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2" t="s">
        <v>54</v>
      </c>
      <c r="C24" s="1" t="s">
        <v>54</v>
      </c>
      <c r="D24" s="1" t="s">
        <v>247</v>
      </c>
      <c r="E24" s="1" t="s">
        <v>248</v>
      </c>
      <c r="F24" s="1" t="n">
        <v>7</v>
      </c>
      <c r="I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  <col collapsed="false" customWidth="true" hidden="false" outlineLevel="0" max="6" min="6" style="1" width="7.67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114</v>
      </c>
      <c r="F1" s="1" t="s">
        <v>115</v>
      </c>
      <c r="G1" s="1" t="s">
        <v>81</v>
      </c>
      <c r="H1" s="1" t="s">
        <v>116</v>
      </c>
      <c r="I1" s="1" t="s">
        <v>88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227</v>
      </c>
      <c r="E4" s="1" t="s">
        <v>249</v>
      </c>
      <c r="F4" s="1" t="n">
        <v>10</v>
      </c>
      <c r="G4" s="1" t="n">
        <f aca="false">AVERAGE(F4:F5)</f>
        <v>8.5</v>
      </c>
      <c r="H4" s="1" t="n">
        <v>7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17</v>
      </c>
      <c r="D5" s="1" t="s">
        <v>250</v>
      </c>
      <c r="E5" s="1" t="s">
        <v>251</v>
      </c>
      <c r="F5" s="1" t="n">
        <v>7</v>
      </c>
    </row>
    <row r="6" customFormat="false" ht="15" hidden="false" customHeight="false" outlineLevel="0" collapsed="false">
      <c r="A6" s="1" t="n">
        <v>4</v>
      </c>
      <c r="B6" s="2" t="s">
        <v>20</v>
      </c>
      <c r="C6" s="1" t="s">
        <v>20</v>
      </c>
      <c r="D6" s="1" t="s">
        <v>252</v>
      </c>
      <c r="E6" s="1" t="s">
        <v>253</v>
      </c>
      <c r="F6" s="1" t="n">
        <v>5</v>
      </c>
      <c r="I6" s="1" t="n">
        <v>5</v>
      </c>
    </row>
    <row r="7" customFormat="false" ht="15" hidden="false" customHeight="false" outlineLevel="0" collapsed="false">
      <c r="A7" s="1" t="n">
        <v>5</v>
      </c>
      <c r="B7" s="2" t="s">
        <v>23</v>
      </c>
      <c r="C7" s="1" t="s">
        <v>23</v>
      </c>
      <c r="D7" s="1" t="s">
        <v>254</v>
      </c>
      <c r="E7" s="1" t="s">
        <v>255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6</v>
      </c>
      <c r="B8" s="2" t="s">
        <v>26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2" t="s">
        <v>29</v>
      </c>
      <c r="C9" s="1" t="s">
        <v>29</v>
      </c>
      <c r="D9" s="1" t="s">
        <v>256</v>
      </c>
      <c r="E9" s="1" t="s">
        <v>257</v>
      </c>
      <c r="F9" s="1" t="n">
        <v>3</v>
      </c>
      <c r="I9" s="1" t="n">
        <v>3</v>
      </c>
    </row>
    <row r="10" customFormat="false" ht="15" hidden="false" customHeight="false" outlineLevel="0" collapsed="false">
      <c r="A10" s="1" t="n">
        <v>8</v>
      </c>
      <c r="B10" s="2" t="s">
        <v>32</v>
      </c>
      <c r="C10" s="1" t="s">
        <v>32</v>
      </c>
      <c r="D10" s="1" t="s">
        <v>258</v>
      </c>
      <c r="E10" s="1" t="s">
        <v>259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9</v>
      </c>
      <c r="B11" s="2" t="s">
        <v>35</v>
      </c>
      <c r="C11" s="1" t="s">
        <v>35</v>
      </c>
      <c r="D11" s="1" t="s">
        <v>194</v>
      </c>
      <c r="E11" s="1" t="s">
        <v>260</v>
      </c>
      <c r="F11" s="1" t="n">
        <v>0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38</v>
      </c>
      <c r="C12" s="1" t="s">
        <v>38</v>
      </c>
      <c r="D12" s="1" t="s">
        <v>261</v>
      </c>
      <c r="E12" s="1" t="s">
        <v>149</v>
      </c>
      <c r="F12" s="1" t="n">
        <v>8</v>
      </c>
      <c r="G12" s="1" t="n">
        <f aca="false">AVERAGE(F12:F15)</f>
        <v>4</v>
      </c>
      <c r="H12" s="1" t="n">
        <v>3</v>
      </c>
      <c r="I12" s="1" t="n">
        <f aca="false">ROUND(MAX(H12,G12),0)</f>
        <v>4</v>
      </c>
    </row>
    <row r="13" customFormat="false" ht="15" hidden="false" customHeight="false" outlineLevel="0" collapsed="false">
      <c r="C13" s="1" t="s">
        <v>38</v>
      </c>
      <c r="D13" s="1" t="s">
        <v>262</v>
      </c>
      <c r="E13" s="1" t="s">
        <v>263</v>
      </c>
      <c r="F13" s="1" t="n">
        <v>3</v>
      </c>
    </row>
    <row r="14" customFormat="false" ht="15" hidden="false" customHeight="false" outlineLevel="0" collapsed="false">
      <c r="C14" s="1" t="s">
        <v>38</v>
      </c>
      <c r="D14" s="1" t="s">
        <v>264</v>
      </c>
      <c r="E14" s="1" t="s">
        <v>265</v>
      </c>
      <c r="F14" s="1" t="n">
        <v>3</v>
      </c>
    </row>
    <row r="15" customFormat="false" ht="15" hidden="false" customHeight="false" outlineLevel="0" collapsed="false">
      <c r="C15" s="1" t="s">
        <v>38</v>
      </c>
      <c r="D15" s="1" t="s">
        <v>266</v>
      </c>
      <c r="E15" s="1" t="s">
        <v>267</v>
      </c>
      <c r="F15" s="1" t="n">
        <v>2</v>
      </c>
    </row>
    <row r="16" customFormat="false" ht="15" hidden="false" customHeight="false" outlineLevel="0" collapsed="false">
      <c r="A16" s="1" t="n">
        <v>11</v>
      </c>
      <c r="B16" s="2" t="s">
        <v>41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2" t="s">
        <v>44</v>
      </c>
      <c r="C17" s="1" t="s">
        <v>44</v>
      </c>
      <c r="D17" s="1" t="s">
        <v>268</v>
      </c>
      <c r="E17" s="1" t="s">
        <v>269</v>
      </c>
      <c r="F17" s="1" t="n">
        <v>7</v>
      </c>
      <c r="I17" s="1" t="n">
        <v>7</v>
      </c>
    </row>
    <row r="18" customFormat="false" ht="15" hidden="false" customHeight="false" outlineLevel="0" collapsed="false">
      <c r="A18" s="1" t="n">
        <v>13</v>
      </c>
      <c r="B18" s="2" t="s">
        <v>47</v>
      </c>
      <c r="C18" s="1" t="s">
        <v>47</v>
      </c>
      <c r="D18" s="1" t="s">
        <v>203</v>
      </c>
      <c r="E18" s="1" t="s">
        <v>203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2" t="s">
        <v>50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2" t="s">
        <v>110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2" t="s">
        <v>54</v>
      </c>
      <c r="C21" s="1" t="s">
        <v>54</v>
      </c>
      <c r="D21" s="1" t="s">
        <v>270</v>
      </c>
      <c r="E21" s="1" t="s">
        <v>271</v>
      </c>
      <c r="F21" s="1" t="n">
        <v>6</v>
      </c>
      <c r="I21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114</v>
      </c>
      <c r="F1" s="1" t="s">
        <v>115</v>
      </c>
      <c r="G1" s="1" t="s">
        <v>81</v>
      </c>
      <c r="H1" s="1" t="s">
        <v>116</v>
      </c>
      <c r="I1" s="1" t="s">
        <v>88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272</v>
      </c>
      <c r="E4" s="1" t="s">
        <v>273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20</v>
      </c>
      <c r="C5" s="1" t="s">
        <v>20</v>
      </c>
      <c r="D5" s="1" t="s">
        <v>274</v>
      </c>
      <c r="E5" s="1" t="s">
        <v>275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2" t="s">
        <v>23</v>
      </c>
      <c r="C6" s="1" t="s">
        <v>20</v>
      </c>
      <c r="D6" s="1" t="s">
        <v>276</v>
      </c>
      <c r="E6" s="1" t="s">
        <v>277</v>
      </c>
      <c r="F6" s="1" t="n">
        <v>4</v>
      </c>
      <c r="I6" s="1" t="n">
        <v>4</v>
      </c>
    </row>
    <row r="7" customFormat="false" ht="15" hidden="false" customHeight="false" outlineLevel="0" collapsed="false">
      <c r="A7" s="1" t="n">
        <v>6</v>
      </c>
      <c r="B7" s="2" t="s">
        <v>26</v>
      </c>
      <c r="C7" s="1" t="s">
        <v>20</v>
      </c>
      <c r="D7" s="1" t="s">
        <v>278</v>
      </c>
      <c r="E7" s="1" t="s">
        <v>279</v>
      </c>
      <c r="F7" s="1" t="n">
        <v>2</v>
      </c>
      <c r="I7" s="1" t="n">
        <v>2</v>
      </c>
    </row>
    <row r="8" customFormat="false" ht="15" hidden="false" customHeight="false" outlineLevel="0" collapsed="false">
      <c r="A8" s="1" t="n">
        <v>7</v>
      </c>
      <c r="B8" s="2" t="s">
        <v>29</v>
      </c>
      <c r="C8" s="1" t="s">
        <v>29</v>
      </c>
      <c r="D8" s="1" t="s">
        <v>280</v>
      </c>
      <c r="E8" s="1" t="s">
        <v>281</v>
      </c>
      <c r="F8" s="1" t="n">
        <v>4</v>
      </c>
      <c r="I8" s="1" t="n">
        <v>4</v>
      </c>
    </row>
    <row r="9" customFormat="false" ht="15" hidden="false" customHeight="false" outlineLevel="0" collapsed="false">
      <c r="A9" s="1" t="n">
        <v>8</v>
      </c>
      <c r="B9" s="2" t="s">
        <v>32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35</v>
      </c>
      <c r="C10" s="1" t="s">
        <v>35</v>
      </c>
      <c r="D10" s="1" t="s">
        <v>282</v>
      </c>
      <c r="E10" s="1" t="s">
        <v>279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10</v>
      </c>
      <c r="B11" s="2" t="s">
        <v>38</v>
      </c>
      <c r="C11" s="1" t="s">
        <v>38</v>
      </c>
      <c r="D11" s="1" t="s">
        <v>283</v>
      </c>
      <c r="E11" s="1" t="s">
        <v>284</v>
      </c>
      <c r="F11" s="1" t="n">
        <v>4</v>
      </c>
      <c r="G11" s="1" t="n">
        <f aca="false">AVERAGE(F11:F12)</f>
        <v>3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38</v>
      </c>
      <c r="D12" s="1" t="s">
        <v>285</v>
      </c>
      <c r="E12" s="1" t="s">
        <v>286</v>
      </c>
      <c r="F12" s="1" t="n">
        <v>2</v>
      </c>
    </row>
    <row r="13" customFormat="false" ht="15" hidden="false" customHeight="false" outlineLevel="0" collapsed="false">
      <c r="A13" s="1" t="n">
        <v>11</v>
      </c>
      <c r="B13" s="2" t="s">
        <v>41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2" t="s">
        <v>44</v>
      </c>
      <c r="C14" s="1" t="s">
        <v>44</v>
      </c>
      <c r="D14" s="1" t="s">
        <v>287</v>
      </c>
      <c r="E14" s="1" t="s">
        <v>288</v>
      </c>
      <c r="F14" s="1" t="n">
        <v>6</v>
      </c>
      <c r="I14" s="1" t="n">
        <v>6</v>
      </c>
    </row>
    <row r="15" customFormat="false" ht="15" hidden="false" customHeight="false" outlineLevel="0" collapsed="false">
      <c r="A15" s="1" t="n">
        <v>13</v>
      </c>
      <c r="B15" s="2" t="s">
        <v>47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2" t="s">
        <v>50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2" t="s">
        <v>110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2" t="s">
        <v>54</v>
      </c>
      <c r="C18" s="1" t="s">
        <v>54</v>
      </c>
      <c r="D18" s="1" t="s">
        <v>289</v>
      </c>
      <c r="E18" s="1" t="s">
        <v>290</v>
      </c>
      <c r="F18" s="1" t="n">
        <v>6</v>
      </c>
      <c r="I18" s="1" t="n">
        <v>6</v>
      </c>
    </row>
    <row r="25" customFormat="false" ht="15" hidden="false" customHeight="false" outlineLevel="0" collapsed="false">
      <c r="B25" s="2"/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47"/>
    <col collapsed="false" customWidth="true" hidden="false" outlineLevel="0" max="4" min="4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114</v>
      </c>
      <c r="F1" s="1" t="s">
        <v>115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5</v>
      </c>
      <c r="E2" s="1" t="s">
        <v>291</v>
      </c>
      <c r="F2" s="1" t="n">
        <v>1.4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12</v>
      </c>
      <c r="E3" s="1" t="s">
        <v>292</v>
      </c>
      <c r="F3" s="1" t="n">
        <v>3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17</v>
      </c>
      <c r="D4" s="1" t="s">
        <v>16</v>
      </c>
      <c r="E4" s="1" t="s">
        <v>293</v>
      </c>
      <c r="F4" s="1" t="n">
        <v>9.3</v>
      </c>
    </row>
    <row r="5" customFormat="false" ht="15" hidden="false" customHeight="false" outlineLevel="0" collapsed="false">
      <c r="A5" s="1" t="n">
        <v>4</v>
      </c>
      <c r="B5" s="2" t="s">
        <v>20</v>
      </c>
      <c r="C5" s="1" t="s">
        <v>20</v>
      </c>
      <c r="D5" s="1" t="s">
        <v>19</v>
      </c>
      <c r="E5" s="1" t="s">
        <v>294</v>
      </c>
      <c r="F5" s="1" t="n">
        <v>4.4</v>
      </c>
    </row>
    <row r="6" customFormat="false" ht="15" hidden="false" customHeight="false" outlineLevel="0" collapsed="false">
      <c r="A6" s="1" t="n">
        <v>5</v>
      </c>
      <c r="B6" s="2" t="s">
        <v>23</v>
      </c>
      <c r="C6" s="1" t="s">
        <v>23</v>
      </c>
      <c r="D6" s="1" t="s">
        <v>22</v>
      </c>
      <c r="E6" s="1" t="s">
        <v>295</v>
      </c>
      <c r="F6" s="1" t="n">
        <v>4.2</v>
      </c>
    </row>
    <row r="7" customFormat="false" ht="15" hidden="false" customHeight="false" outlineLevel="0" collapsed="false">
      <c r="A7" s="1" t="n">
        <v>6</v>
      </c>
      <c r="B7" s="2" t="s">
        <v>26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29</v>
      </c>
      <c r="C8" s="1" t="s">
        <v>29</v>
      </c>
      <c r="D8" s="1" t="s">
        <v>28</v>
      </c>
      <c r="E8" s="1" t="s">
        <v>296</v>
      </c>
      <c r="F8" s="1" t="n">
        <v>0.8</v>
      </c>
    </row>
    <row r="9" customFormat="false" ht="15" hidden="false" customHeight="false" outlineLevel="0" collapsed="false">
      <c r="A9" s="1" t="n">
        <v>8</v>
      </c>
      <c r="B9" s="2" t="s">
        <v>32</v>
      </c>
      <c r="C9" s="1" t="s">
        <v>32</v>
      </c>
      <c r="D9" s="1" t="s">
        <v>31</v>
      </c>
      <c r="E9" s="1" t="s">
        <v>297</v>
      </c>
      <c r="F9" s="1" t="n">
        <v>1.6</v>
      </c>
    </row>
    <row r="10" customFormat="false" ht="15" hidden="false" customHeight="false" outlineLevel="0" collapsed="false">
      <c r="A10" s="1" t="n">
        <v>9</v>
      </c>
      <c r="B10" s="2" t="s">
        <v>35</v>
      </c>
      <c r="C10" s="1" t="s">
        <v>35</v>
      </c>
      <c r="D10" s="1" t="s">
        <v>34</v>
      </c>
      <c r="E10" s="1" t="s">
        <v>293</v>
      </c>
      <c r="F10" s="1" t="n">
        <v>8.6</v>
      </c>
    </row>
    <row r="11" customFormat="false" ht="15" hidden="false" customHeight="false" outlineLevel="0" collapsed="false">
      <c r="A11" s="1" t="n">
        <v>10</v>
      </c>
      <c r="B11" s="2" t="s">
        <v>38</v>
      </c>
      <c r="C11" s="1" t="s">
        <v>38</v>
      </c>
      <c r="D11" s="1" t="s">
        <v>37</v>
      </c>
      <c r="E11" s="1" t="s">
        <v>298</v>
      </c>
      <c r="F11" s="1" t="n">
        <v>2.1</v>
      </c>
    </row>
    <row r="12" customFormat="false" ht="15" hidden="false" customHeight="false" outlineLevel="0" collapsed="false">
      <c r="A12" s="1" t="n">
        <v>11</v>
      </c>
      <c r="B12" s="2" t="s">
        <v>41</v>
      </c>
      <c r="C12" s="1" t="s">
        <v>41</v>
      </c>
      <c r="D12" s="1" t="s">
        <v>40</v>
      </c>
      <c r="E12" s="1" t="s">
        <v>299</v>
      </c>
      <c r="F12" s="1" t="n">
        <v>2.8</v>
      </c>
    </row>
    <row r="13" customFormat="false" ht="15" hidden="false" customHeight="false" outlineLevel="0" collapsed="false">
      <c r="A13" s="1" t="n">
        <v>12</v>
      </c>
      <c r="B13" s="2" t="s">
        <v>44</v>
      </c>
      <c r="C13" s="1" t="s">
        <v>44</v>
      </c>
      <c r="D13" s="1" t="s">
        <v>43</v>
      </c>
      <c r="E13" s="1" t="s">
        <v>300</v>
      </c>
      <c r="F13" s="1" t="n">
        <v>2.4</v>
      </c>
    </row>
    <row r="14" customFormat="false" ht="15" hidden="false" customHeight="false" outlineLevel="0" collapsed="false">
      <c r="A14" s="1" t="n">
        <v>13</v>
      </c>
      <c r="B14" s="2" t="s">
        <v>47</v>
      </c>
      <c r="C14" s="1" t="s">
        <v>47</v>
      </c>
      <c r="D14" s="1" t="s">
        <v>46</v>
      </c>
      <c r="E14" s="1" t="s">
        <v>294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50</v>
      </c>
      <c r="F15" s="1" t="n">
        <v>1</v>
      </c>
    </row>
    <row r="16" customFormat="false" ht="15" hidden="false" customHeight="false" outlineLevel="0" collapsed="false">
      <c r="A16" s="1" t="n">
        <v>15</v>
      </c>
      <c r="B16" s="2" t="s">
        <v>110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54</v>
      </c>
      <c r="C17" s="1" t="s">
        <v>54</v>
      </c>
      <c r="D17" s="1" t="s">
        <v>53</v>
      </c>
      <c r="E17" s="1" t="s">
        <v>301</v>
      </c>
      <c r="F17" s="1" t="n">
        <v>1.8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2026-05-08T16:56:23Z</dcterms:modified>
  <cp:revision>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