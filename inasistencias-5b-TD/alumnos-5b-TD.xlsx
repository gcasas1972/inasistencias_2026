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" sheetId="1" state="visible" r:id="rId3"/>
    <sheet name="notas" sheetId="2" state="visible" r:id="rId4"/>
    <sheet name="1-codigo" sheetId="3" state="visible" r:id="rId5"/>
    <sheet name="11-gray-aiken" sheetId="4" state="visible" r:id="rId6"/>
    <sheet name="2-algBoole" sheetId="5" state="visible" r:id="rId7"/>
    <sheet name="3-compuertas" sheetId="6" state="visible" r:id="rId8"/>
    <sheet name="Evaluacion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<sst xmlns="http://schemas.openxmlformats.org/spreadsheetml/2006/main" count="616" uniqueCount="81">
  <si>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</si>
  <si>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</si>
  <si>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</si>
  <si>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</si>
  <si>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</si>
  <si>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presentes</t>
  </si>
  <si>
    <t xml:space="preserve">media</t>
  </si>
  <si>
    <t xml:space="preserve">tarde</t>
  </si>
  <si>
    <t xml:space="preserve">ausentes</t>
  </si>
  <si>
    <t xml:space="preserve">total</t>
  </si>
  <si>
    <t xml:space="preserve">nota</t>
  </si>
  <si>
    <t xml:space="preserve">19/</t>
  </si>
  <si>
    <t xml:space="preserve">Ivan</t>
  </si>
  <si>
    <t xml:space="preserve">ACUÑA</t>
  </si>
  <si>
    <t xml:space="preserve">50030377@gmail.com</t>
  </si>
  <si>
    <t xml:space="preserve">P</t>
  </si>
  <si>
    <t xml:space="preserve">A</t>
  </si>
  <si>
    <t xml:space="preserve">recursante</t>
  </si>
  <si>
    <t xml:space="preserve">M</t>
  </si>
  <si>
    <t xml:space="preserve">Ivan Benjamín</t>
  </si>
  <si>
    <t xml:space="preserve">AGUERRE</t>
  </si>
  <si>
    <t xml:space="preserve">49627703@gmail.com</t>
  </si>
  <si>
    <t xml:space="preserve">Recursa</t>
  </si>
  <si>
    <t xml:space="preserve">Matías Andrés</t>
  </si>
  <si>
    <t xml:space="preserve">ALTAMIRANO</t>
  </si>
  <si>
    <t xml:space="preserve">matias2511.altamirano@gmail.com</t>
  </si>
  <si>
    <t xml:space="preserve">Asai Nitzana</t>
  </si>
  <si>
    <t xml:space="preserve">CABALLERO</t>
  </si>
  <si>
    <t xml:space="preserve">49898249@gmail.com</t>
  </si>
  <si>
    <t xml:space="preserve">Ulises Nicolas</t>
  </si>
  <si>
    <t xml:space="preserve">CETERA</t>
  </si>
  <si>
    <t xml:space="preserve">50276187@gmail.com</t>
  </si>
  <si>
    <t xml:space="preserve">robotica</t>
  </si>
  <si>
    <t xml:space="preserve">Thiago Benjamín</t>
  </si>
  <si>
    <t xml:space="preserve">CHIAPPARO</t>
  </si>
  <si>
    <t xml:space="preserve">49419297@gmail.com</t>
  </si>
  <si>
    <t xml:space="preserve">Nazarena Valentina</t>
  </si>
  <si>
    <t xml:space="preserve">Corbera</t>
  </si>
  <si>
    <t xml:space="preserve">50066744@gmail.com</t>
  </si>
  <si>
    <t xml:space="preserve">Rafael Bautista</t>
  </si>
  <si>
    <t xml:space="preserve">GIMÉNEZ</t>
  </si>
  <si>
    <t xml:space="preserve">50156642@gmail.com</t>
  </si>
  <si>
    <t xml:space="preserve">Kevin Nahuel</t>
  </si>
  <si>
    <t xml:space="preserve">MAIDANA</t>
  </si>
  <si>
    <t xml:space="preserve">49735065@gmail.com</t>
  </si>
  <si>
    <t xml:space="preserve">Tiago Elian</t>
  </si>
  <si>
    <t xml:space="preserve">NUÑEZ</t>
  </si>
  <si>
    <t xml:space="preserve">49589492@gmail.com</t>
  </si>
  <si>
    <t xml:space="preserve">Venus Yazmin</t>
  </si>
  <si>
    <t xml:space="preserve">RODRÍGUEZ</t>
  </si>
  <si>
    <t xml:space="preserve">49626775@gmail.com</t>
  </si>
  <si>
    <t xml:space="preserve">Grecia De Los Angeles</t>
  </si>
  <si>
    <t xml:space="preserve">ROSALES BASTIDAS</t>
  </si>
  <si>
    <t xml:space="preserve">95429143@gmail.com</t>
  </si>
  <si>
    <t xml:space="preserve">Enzo Agustín</t>
  </si>
  <si>
    <t xml:space="preserve">TASSARA SOTO</t>
  </si>
  <si>
    <t xml:space="preserve">49837749@gmail.com</t>
  </si>
  <si>
    <t xml:space="preserve">Ramiro Ezequiel</t>
  </si>
  <si>
    <t xml:space="preserve">TELLO</t>
  </si>
  <si>
    <t xml:space="preserve">49676837@gmail.com</t>
  </si>
  <si>
    <t xml:space="preserve">Recursante 17:05</t>
  </si>
  <si>
    <t xml:space="preserve">Matias</t>
  </si>
  <si>
    <t xml:space="preserve">Trinidad</t>
  </si>
  <si>
    <t xml:space="preserve">matruia81@gmail.com</t>
  </si>
  <si>
    <t xml:space="preserve">presente</t>
  </si>
  <si>
    <t xml:space="preserve">media falta</t>
  </si>
  <si>
    <t xml:space="preserve">Tarde</t>
  </si>
  <si>
    <t xml:space="preserve">1-codigo</t>
  </si>
  <si>
    <t xml:space="preserve">11-gray aiken</t>
  </si>
  <si>
    <t xml:space="preserve">2-alg Boole</t>
  </si>
  <si>
    <t xml:space="preserve">3-compuer</t>
  </si>
  <si>
    <t xml:space="preserve">Asisencia</t>
  </si>
  <si>
    <t xml:space="preserve">Evaluacion</t>
  </si>
  <si>
    <t xml:space="preserve">valoracion</t>
  </si>
  <si>
    <t xml:space="preserve">Recursante</t>
  </si>
  <si>
    <t xml:space="preserve">Calificación/10,00</t>
  </si>
  <si>
    <t xml:space="preserve">promedio</t>
  </si>
  <si>
    <t xml:space="preserve">segundo</t>
  </si>
  <si>
    <t xml:space="preserve">final</t>
  </si>
  <si>
    <t xml:space="preserve">finalk</t>
  </si>
  <si>
    <t xml:space="preserve">segunda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</si>
</sst>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hh:mm:ss"/>
    <numFmt numFmtId="167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2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K18" activeCellId="0" sqref="AK18:AK21"/>
    </sheetView>
  </sheetViews>
  <sheetFormatPr defaultColWidth="8.78906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17.47"/>
    <col collapsed="false" customWidth="true" hidden="true" outlineLevel="0" max="4" min="4" style="1" width="31.19"/>
    <col collapsed="false" customWidth="false" hidden="true" outlineLevel="0" max="8" min="5" style="1" width="8.79"/>
    <col collapsed="false" customWidth="true" hidden="true" outlineLevel="0" max="9" min="9" style="1" width="15.86"/>
    <col collapsed="false" customWidth="false" hidden="true" outlineLevel="0" max="25" min="10" style="1" width="8.79"/>
    <col collapsed="false" customWidth="true" hidden="false" outlineLevel="0" max="16384" min="16336" style="1" width="10.58"/>
  </cols>
  <sheetData>
    <row r="1" customFormat="false" ht="15" hidden="false" customHeight="false" outlineLevel="0" collapsed="false">
      <c r="B1" s="2"/>
      <c r="C1" s="2"/>
      <c r="D1" s="2"/>
    </row>
    <row r="2" customFormat="false" ht="1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3" t="n">
        <v>46092</v>
      </c>
      <c r="F2" s="3" t="n">
        <v>46094</v>
      </c>
      <c r="G2" s="3" t="n">
        <v>46099</v>
      </c>
      <c r="H2" s="3" t="n">
        <v>46108</v>
      </c>
      <c r="I2" s="3" t="s">
        <v>4</v>
      </c>
      <c r="J2" s="3" t="n">
        <v>46113</v>
      </c>
      <c r="K2" s="3" t="n">
        <v>46120</v>
      </c>
      <c r="L2" s="3" t="n">
        <v>46122</v>
      </c>
      <c r="M2" s="3" t="n">
        <v>46127</v>
      </c>
      <c r="N2" s="3" t="n">
        <v>46129</v>
      </c>
      <c r="O2" s="3" t="n">
        <v>46134</v>
      </c>
      <c r="P2" s="3" t="n">
        <v>46136</v>
      </c>
      <c r="Q2" s="3" t="n">
        <v>46141</v>
      </c>
      <c r="R2" s="3" t="s">
        <v>4</v>
      </c>
      <c r="S2" s="3" t="n">
        <v>46148</v>
      </c>
      <c r="T2" s="3" t="n">
        <v>46150</v>
      </c>
      <c r="U2" s="3" t="s">
        <v>4</v>
      </c>
      <c r="V2" s="3" t="n">
        <v>46155</v>
      </c>
      <c r="W2" s="3" t="n">
        <v>46170</v>
      </c>
      <c r="X2" s="3" t="s">
        <v>4</v>
      </c>
      <c r="Y2" s="3" t="n">
        <v>46164</v>
      </c>
      <c r="Z2" s="3" t="n">
        <v>46171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n">
        <v>46176</v>
      </c>
      <c r="AH2" s="3" t="n">
        <v>46178</v>
      </c>
      <c r="AI2" s="3" t="n">
        <v>46185</v>
      </c>
      <c r="AJ2" s="3" t="n">
        <v>46190</v>
      </c>
      <c r="AK2" s="3" t="s">
        <v>11</v>
      </c>
      <c r="AL2" s="3" t="n">
        <v>46210</v>
      </c>
      <c r="AM2" s="3" t="n">
        <v>46215</v>
      </c>
      <c r="AN2" s="3" t="n">
        <v>46220</v>
      </c>
      <c r="AO2" s="3" t="n">
        <v>46225</v>
      </c>
      <c r="AP2" s="3" t="n">
        <v>46230</v>
      </c>
      <c r="AQ2" s="3" t="n">
        <v>46235</v>
      </c>
      <c r="AR2" s="3" t="n">
        <v>46240</v>
      </c>
      <c r="AS2" s="3" t="n">
        <v>46245</v>
      </c>
      <c r="AT2" s="3" t="n">
        <v>46250</v>
      </c>
      <c r="AU2" s="3" t="n">
        <v>46255</v>
      </c>
      <c r="AV2" s="3" t="n">
        <v>46260</v>
      </c>
      <c r="AW2" s="3" t="n">
        <v>46265</v>
      </c>
      <c r="AX2" s="3" t="n">
        <v>46270</v>
      </c>
      <c r="AY2" s="3" t="n">
        <v>46275</v>
      </c>
      <c r="AZ2" s="3" t="n">
        <v>46280</v>
      </c>
      <c r="BA2" s="3" t="n">
        <v>46285</v>
      </c>
      <c r="BB2" s="3" t="n">
        <v>46290</v>
      </c>
      <c r="BC2" s="3" t="n">
        <v>46295</v>
      </c>
      <c r="BD2" s="3" t="n">
        <v>46300</v>
      </c>
      <c r="BE2" s="3" t="n">
        <v>46305</v>
      </c>
      <c r="BF2" s="3" t="n">
        <v>46310</v>
      </c>
      <c r="BG2" s="3" t="n">
        <v>46315</v>
      </c>
      <c r="BH2" s="3" t="n">
        <v>46320</v>
      </c>
      <c r="BI2" s="3" t="n">
        <v>46325</v>
      </c>
      <c r="BJ2" s="3" t="n">
        <v>46330</v>
      </c>
      <c r="BK2" s="3" t="n">
        <v>46335</v>
      </c>
      <c r="BL2" s="3" t="n">
        <v>46340</v>
      </c>
      <c r="BM2" s="3" t="n">
        <v>46345</v>
      </c>
      <c r="BN2" s="3" t="n">
        <v>46350</v>
      </c>
      <c r="BO2" s="3" t="n">
        <v>46355</v>
      </c>
      <c r="BP2" s="3" t="n">
        <v>46360</v>
      </c>
      <c r="BQ2" s="3" t="n">
        <v>46365</v>
      </c>
      <c r="BR2" s="3" t="n">
        <v>46370</v>
      </c>
      <c r="BS2" s="3" t="n">
        <v>46375</v>
      </c>
      <c r="BT2" s="3" t="n">
        <v>46380</v>
      </c>
      <c r="BU2" s="3" t="n">
        <v>46385</v>
      </c>
      <c r="BV2" s="3" t="n">
        <v>46390</v>
      </c>
      <c r="BW2" s="3" t="n">
        <v>46395</v>
      </c>
      <c r="BX2" s="3" t="n">
        <v>46400</v>
      </c>
      <c r="BY2" s="3" t="n">
        <v>46405</v>
      </c>
      <c r="BZ2" s="3" t="n">
        <v>46410</v>
      </c>
      <c r="CA2" s="3" t="n">
        <v>46415</v>
      </c>
      <c r="CB2" s="3" t="n">
        <v>46420</v>
      </c>
    </row>
    <row r="3" s="2" customFormat="true" ht="15" hidden="false" customHeight="false" outlineLevel="0" collapsed="false">
      <c r="A3" s="1" t="n">
        <v>1</v>
      </c>
      <c r="B3" s="2" t="s">
        <v>12</v>
      </c>
      <c r="C3" s="2" t="s">
        <v>13</v>
      </c>
      <c r="D3" s="2" t="s">
        <v>14</v>
      </c>
      <c r="E3" s="1" t="s">
        <v>15</v>
      </c>
      <c r="F3" s="1" t="s">
        <v>16</v>
      </c>
      <c r="G3" s="1" t="s">
        <v>15</v>
      </c>
      <c r="H3" s="1" t="s">
        <v>16</v>
      </c>
      <c r="I3" s="1" t="s">
        <v>17</v>
      </c>
      <c r="J3" s="1" t="s">
        <v>15</v>
      </c>
      <c r="K3" s="1" t="s">
        <v>15</v>
      </c>
      <c r="L3" s="1" t="s">
        <v>15</v>
      </c>
      <c r="M3" s="1" t="s">
        <v>15</v>
      </c>
      <c r="N3" s="1" t="s">
        <v>15</v>
      </c>
      <c r="O3" s="1" t="s">
        <v>15</v>
      </c>
      <c r="P3" s="1" t="s">
        <v>15</v>
      </c>
      <c r="Q3" s="1" t="s">
        <v>18</v>
      </c>
      <c r="R3" s="4" t="n">
        <v>0.538194444444444</v>
      </c>
      <c r="S3" s="1" t="s">
        <v>15</v>
      </c>
      <c r="T3" s="1" t="s">
        <v>15</v>
      </c>
      <c r="U3" s="1"/>
      <c r="V3" s="1" t="s">
        <v>15</v>
      </c>
      <c r="W3" s="1" t="s">
        <v>15</v>
      </c>
      <c r="X3" s="1"/>
      <c r="Y3" s="1" t="s">
        <v>15</v>
      </c>
      <c r="Z3" s="1" t="s">
        <v>16</v>
      </c>
      <c r="AA3" s="1" t="n">
        <f aca="false">COUNTIF(E3:Z3,"P")</f>
        <v>14</v>
      </c>
      <c r="AB3" s="2" t="n">
        <f aca="false">COUNTIF(E3:Z3,"M")</f>
        <v>1</v>
      </c>
      <c r="AC3" s="2" t="n">
        <f aca="false">COUNTIF(E3:Z3,"T")</f>
        <v>0</v>
      </c>
      <c r="AD3" s="2" t="n">
        <f aca="false">COUNTIF(E3:Z3,"A")</f>
        <v>3</v>
      </c>
      <c r="AE3" s="1" t="n">
        <f aca="false">SUM(AA3:AD3)</f>
        <v>18</v>
      </c>
      <c r="AF3" s="5" t="n">
        <f aca="false">ROUND((AA3+AB3/2+AC3/4)*10/AE3,0)</f>
        <v>8</v>
      </c>
      <c r="AG3" s="1" t="s">
        <v>16</v>
      </c>
      <c r="AH3" s="1" t="s">
        <v>15</v>
      </c>
      <c r="AI3" s="1" t="s">
        <v>15</v>
      </c>
      <c r="AJ3" s="1" t="s">
        <v>16</v>
      </c>
      <c r="AK3" s="1" t="s">
        <v>15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="7" customFormat="true" ht="15" hidden="false" customHeight="false" outlineLevel="0" collapsed="false">
      <c r="A4" s="6" t="n">
        <v>2</v>
      </c>
      <c r="B4" s="7" t="s">
        <v>19</v>
      </c>
      <c r="C4" s="7" t="s">
        <v>20</v>
      </c>
      <c r="D4" s="7" t="s">
        <v>21</v>
      </c>
      <c r="E4" s="6" t="s">
        <v>15</v>
      </c>
      <c r="F4" s="6" t="s">
        <v>15</v>
      </c>
      <c r="G4" s="6" t="s">
        <v>15</v>
      </c>
      <c r="H4" s="6" t="s">
        <v>16</v>
      </c>
      <c r="I4" s="6" t="s">
        <v>17</v>
      </c>
      <c r="J4" s="6" t="s">
        <v>16</v>
      </c>
      <c r="K4" s="6" t="s">
        <v>16</v>
      </c>
      <c r="L4" s="6" t="s">
        <v>16</v>
      </c>
      <c r="M4" s="6" t="s">
        <v>16</v>
      </c>
      <c r="N4" s="6" t="s">
        <v>15</v>
      </c>
      <c r="O4" s="6" t="s">
        <v>16</v>
      </c>
      <c r="P4" s="6" t="s">
        <v>15</v>
      </c>
      <c r="Q4" s="6" t="s">
        <v>16</v>
      </c>
      <c r="R4" s="6"/>
      <c r="S4" s="6" t="s">
        <v>16</v>
      </c>
      <c r="T4" s="6" t="s">
        <v>16</v>
      </c>
      <c r="U4" s="6" t="s">
        <v>22</v>
      </c>
      <c r="V4" s="6" t="s">
        <v>16</v>
      </c>
      <c r="W4" s="6" t="s">
        <v>16</v>
      </c>
      <c r="X4" s="6"/>
      <c r="Y4" s="6" t="s">
        <v>16</v>
      </c>
      <c r="Z4" s="6" t="s">
        <v>16</v>
      </c>
      <c r="AA4" s="6" t="n">
        <f aca="false">COUNTIF(E4:Z4,"P")</f>
        <v>5</v>
      </c>
      <c r="AB4" s="7" t="n">
        <f aca="false">COUNTIF(E4:Z4,"M")</f>
        <v>0</v>
      </c>
      <c r="AC4" s="7" t="n">
        <f aca="false">COUNTIF(E4:Z4,"T")</f>
        <v>0</v>
      </c>
      <c r="AD4" s="7" t="n">
        <f aca="false">COUNTIF(E4:Z4,"A")</f>
        <v>13</v>
      </c>
      <c r="AE4" s="6" t="n">
        <f aca="false">SUM(AA4:AD4)</f>
        <v>18</v>
      </c>
      <c r="AF4" s="8" t="n">
        <f aca="false">ROUND((AA4+AB4/2+AC4/4)*10/AE4,0)</f>
        <v>3</v>
      </c>
      <c r="AG4" s="6" t="s">
        <v>16</v>
      </c>
      <c r="AH4" s="6" t="s">
        <v>16</v>
      </c>
      <c r="AI4" s="6" t="s">
        <v>16</v>
      </c>
      <c r="AJ4" s="1" t="s">
        <v>16</v>
      </c>
      <c r="AK4" s="6" t="s">
        <v>16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</row>
    <row r="5" s="1" customFormat="true" ht="15" hidden="false" customHeight="false" outlineLevel="0" collapsed="false">
      <c r="A5" s="1" t="n">
        <v>3</v>
      </c>
      <c r="B5" s="2" t="s">
        <v>23</v>
      </c>
      <c r="C5" s="2" t="s">
        <v>24</v>
      </c>
      <c r="D5" s="2" t="s">
        <v>25</v>
      </c>
      <c r="E5" s="1" t="s">
        <v>15</v>
      </c>
      <c r="F5" s="1" t="s">
        <v>15</v>
      </c>
      <c r="G5" s="1" t="s">
        <v>15</v>
      </c>
      <c r="H5" s="1" t="s">
        <v>15</v>
      </c>
      <c r="J5" s="1" t="s">
        <v>15</v>
      </c>
      <c r="K5" s="1" t="s">
        <v>15</v>
      </c>
      <c r="L5" s="1" t="s">
        <v>15</v>
      </c>
      <c r="M5" s="1" t="s">
        <v>15</v>
      </c>
      <c r="N5" s="1" t="s">
        <v>16</v>
      </c>
      <c r="O5" s="1" t="s">
        <v>15</v>
      </c>
      <c r="P5" s="1" t="s">
        <v>15</v>
      </c>
      <c r="Q5" s="1" t="s">
        <v>15</v>
      </c>
      <c r="S5" s="1" t="s">
        <v>15</v>
      </c>
      <c r="T5" s="1" t="s">
        <v>15</v>
      </c>
      <c r="V5" s="1" t="s">
        <v>15</v>
      </c>
      <c r="W5" s="1" t="s">
        <v>15</v>
      </c>
      <c r="Y5" s="1" t="s">
        <v>15</v>
      </c>
      <c r="Z5" s="1" t="s">
        <v>15</v>
      </c>
      <c r="AA5" s="1" t="n">
        <f aca="false">COUNTIF(E5:Z5,"P")</f>
        <v>17</v>
      </c>
      <c r="AB5" s="2" t="n">
        <f aca="false">COUNTIF(E5:Z5,"M")</f>
        <v>0</v>
      </c>
      <c r="AC5" s="2" t="n">
        <f aca="false">COUNTIF(E5:Z5,"T")</f>
        <v>0</v>
      </c>
      <c r="AD5" s="2" t="n">
        <f aca="false">COUNTIF(E5:Z5,"A")</f>
        <v>1</v>
      </c>
      <c r="AE5" s="1" t="n">
        <f aca="false">SUM(AA5:AD5)</f>
        <v>18</v>
      </c>
      <c r="AF5" s="5" t="n">
        <f aca="false">ROUND((AA5+AB5/2+AC5/4)*10/AE5,0)</f>
        <v>9</v>
      </c>
      <c r="AG5" s="1" t="s">
        <v>15</v>
      </c>
      <c r="AH5" s="1" t="s">
        <v>15</v>
      </c>
      <c r="AI5" s="1" t="s">
        <v>15</v>
      </c>
      <c r="AJ5" s="1" t="s">
        <v>15</v>
      </c>
      <c r="AK5" s="1" t="s">
        <v>15</v>
      </c>
    </row>
    <row r="6" s="1" customFormat="true" ht="15" hidden="false" customHeight="false" outlineLevel="0" collapsed="false">
      <c r="A6" s="1" t="n">
        <v>4</v>
      </c>
      <c r="B6" s="2" t="s">
        <v>26</v>
      </c>
      <c r="C6" s="2" t="s">
        <v>27</v>
      </c>
      <c r="D6" s="2" t="s">
        <v>28</v>
      </c>
      <c r="E6" s="1" t="s">
        <v>15</v>
      </c>
      <c r="F6" s="1" t="s">
        <v>15</v>
      </c>
      <c r="G6" s="1" t="s">
        <v>15</v>
      </c>
      <c r="H6" s="1" t="s">
        <v>15</v>
      </c>
      <c r="J6" s="1" t="s">
        <v>16</v>
      </c>
      <c r="K6" s="1" t="s">
        <v>16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S6" s="1" t="s">
        <v>16</v>
      </c>
      <c r="T6" s="1" t="s">
        <v>15</v>
      </c>
      <c r="V6" s="1" t="s">
        <v>15</v>
      </c>
      <c r="W6" s="1" t="s">
        <v>15</v>
      </c>
      <c r="Y6" s="1" t="s">
        <v>15</v>
      </c>
      <c r="Z6" s="1" t="s">
        <v>16</v>
      </c>
      <c r="AA6" s="1" t="n">
        <f aca="false">COUNTIF(E6:Z6,"P")</f>
        <v>14</v>
      </c>
      <c r="AB6" s="2" t="n">
        <f aca="false">COUNTIF(E6:Z6,"M")</f>
        <v>0</v>
      </c>
      <c r="AC6" s="2" t="n">
        <f aca="false">COUNTIF(E6:Z6,"T")</f>
        <v>0</v>
      </c>
      <c r="AD6" s="2" t="n">
        <f aca="false">COUNTIF(E6:Z6,"A")</f>
        <v>4</v>
      </c>
      <c r="AE6" s="1" t="n">
        <f aca="false">SUM(AA6:AD6)</f>
        <v>18</v>
      </c>
      <c r="AF6" s="5" t="n">
        <f aca="false">ROUND((AA6+AB6/2+AC6/4)*10/AE6,0)</f>
        <v>8</v>
      </c>
      <c r="AG6" s="1" t="s">
        <v>16</v>
      </c>
      <c r="AH6" s="1" t="s">
        <v>16</v>
      </c>
      <c r="AI6" s="1" t="s">
        <v>15</v>
      </c>
      <c r="AJ6" s="1" t="s">
        <v>15</v>
      </c>
      <c r="AK6" s="1" t="s">
        <v>15</v>
      </c>
    </row>
    <row r="7" s="1" customFormat="true" ht="15" hidden="false" customHeight="false" outlineLevel="0" collapsed="false">
      <c r="A7" s="1" t="n">
        <v>5</v>
      </c>
      <c r="B7" s="2" t="s">
        <v>29</v>
      </c>
      <c r="C7" s="2" t="s">
        <v>30</v>
      </c>
      <c r="D7" s="2" t="s">
        <v>31</v>
      </c>
      <c r="E7" s="1" t="s">
        <v>15</v>
      </c>
      <c r="F7" s="1" t="s">
        <v>15</v>
      </c>
      <c r="G7" s="1" t="s">
        <v>15</v>
      </c>
      <c r="H7" s="1" t="s">
        <v>15</v>
      </c>
      <c r="J7" s="1" t="s">
        <v>16</v>
      </c>
      <c r="K7" s="1" t="s">
        <v>15</v>
      </c>
      <c r="L7" s="1" t="s">
        <v>15</v>
      </c>
      <c r="M7" s="1" t="s">
        <v>15</v>
      </c>
      <c r="N7" s="1" t="s">
        <v>15</v>
      </c>
      <c r="O7" s="1" t="s">
        <v>15</v>
      </c>
      <c r="P7" s="1" t="s">
        <v>15</v>
      </c>
      <c r="Q7" s="1" t="s">
        <v>15</v>
      </c>
      <c r="S7" s="1" t="s">
        <v>15</v>
      </c>
      <c r="T7" s="1" t="s">
        <v>15</v>
      </c>
      <c r="V7" s="1" t="s">
        <v>15</v>
      </c>
      <c r="W7" s="1" t="s">
        <v>15</v>
      </c>
      <c r="X7" s="1" t="s">
        <v>32</v>
      </c>
      <c r="Y7" s="1" t="s">
        <v>15</v>
      </c>
      <c r="Z7" s="1" t="s">
        <v>15</v>
      </c>
      <c r="AA7" s="1" t="n">
        <f aca="false">COUNTIF(E7:Z7,"P")</f>
        <v>17</v>
      </c>
      <c r="AB7" s="2" t="n">
        <f aca="false">COUNTIF(E7:Z7,"M")</f>
        <v>0</v>
      </c>
      <c r="AC7" s="2" t="n">
        <f aca="false">COUNTIF(E7:Z7,"T")</f>
        <v>0</v>
      </c>
      <c r="AD7" s="2" t="n">
        <f aca="false">COUNTIF(E7:Z7,"A")</f>
        <v>1</v>
      </c>
      <c r="AE7" s="1" t="n">
        <f aca="false">SUM(AA7:AD7)</f>
        <v>18</v>
      </c>
      <c r="AF7" s="5" t="n">
        <f aca="false">ROUND((AA7+AB7/2+AC7/4)*10/AE7,0)</f>
        <v>9</v>
      </c>
      <c r="AG7" s="1" t="s">
        <v>15</v>
      </c>
      <c r="AH7" s="1" t="s">
        <v>16</v>
      </c>
      <c r="AI7" s="1" t="s">
        <v>15</v>
      </c>
      <c r="AJ7" s="1" t="s">
        <v>15</v>
      </c>
      <c r="AK7" s="1" t="s">
        <v>15</v>
      </c>
    </row>
    <row r="8" s="2" customFormat="true" ht="15" hidden="false" customHeight="false" outlineLevel="0" collapsed="false">
      <c r="A8" s="1" t="n">
        <v>6</v>
      </c>
      <c r="B8" s="2" t="s">
        <v>33</v>
      </c>
      <c r="C8" s="2" t="s">
        <v>34</v>
      </c>
      <c r="D8" s="2" t="s">
        <v>35</v>
      </c>
      <c r="E8" s="1" t="s">
        <v>15</v>
      </c>
      <c r="F8" s="1" t="s">
        <v>15</v>
      </c>
      <c r="G8" s="1" t="s">
        <v>15</v>
      </c>
      <c r="H8" s="1" t="s">
        <v>15</v>
      </c>
      <c r="I8" s="1"/>
      <c r="J8" s="1" t="s">
        <v>15</v>
      </c>
      <c r="K8" s="1" t="s">
        <v>16</v>
      </c>
      <c r="L8" s="1" t="s">
        <v>15</v>
      </c>
      <c r="M8" s="1" t="s">
        <v>15</v>
      </c>
      <c r="N8" s="1" t="s">
        <v>15</v>
      </c>
      <c r="O8" s="1" t="s">
        <v>15</v>
      </c>
      <c r="P8" s="1" t="s">
        <v>15</v>
      </c>
      <c r="Q8" s="1" t="s">
        <v>15</v>
      </c>
      <c r="R8" s="1"/>
      <c r="S8" s="1" t="s">
        <v>16</v>
      </c>
      <c r="T8" s="1" t="s">
        <v>15</v>
      </c>
      <c r="U8" s="1"/>
      <c r="V8" s="1" t="s">
        <v>16</v>
      </c>
      <c r="W8" s="1" t="s">
        <v>15</v>
      </c>
      <c r="X8" s="1" t="s">
        <v>32</v>
      </c>
      <c r="Y8" s="1" t="s">
        <v>15</v>
      </c>
      <c r="Z8" s="1" t="s">
        <v>15</v>
      </c>
      <c r="AA8" s="1" t="n">
        <f aca="false">COUNTIF(E8:Z8,"P")</f>
        <v>15</v>
      </c>
      <c r="AB8" s="2" t="n">
        <f aca="false">COUNTIF(E8:Z8,"M")</f>
        <v>0</v>
      </c>
      <c r="AC8" s="2" t="n">
        <f aca="false">COUNTIF(E8:Z8,"T")</f>
        <v>0</v>
      </c>
      <c r="AD8" s="2" t="n">
        <f aca="false">COUNTIF(E8:Z8,"A")</f>
        <v>3</v>
      </c>
      <c r="AE8" s="1" t="n">
        <f aca="false">SUM(AA8:AD8)</f>
        <v>18</v>
      </c>
      <c r="AF8" s="5" t="n">
        <f aca="false">ROUND((AA8+AB8/2+AC8/4)*10/AE8,0)</f>
        <v>8</v>
      </c>
      <c r="AG8" s="1" t="s">
        <v>16</v>
      </c>
      <c r="AH8" s="1" t="s">
        <v>16</v>
      </c>
      <c r="AI8" s="1" t="s">
        <v>15</v>
      </c>
      <c r="AJ8" s="1" t="s">
        <v>16</v>
      </c>
      <c r="AK8" s="1" t="s">
        <v>15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="2" customFormat="true" ht="15" hidden="false" customHeight="false" outlineLevel="0" collapsed="false">
      <c r="A9" s="1" t="n">
        <v>7</v>
      </c>
      <c r="B9" s="2" t="s">
        <v>36</v>
      </c>
      <c r="C9" s="2" t="s">
        <v>37</v>
      </c>
      <c r="D9" s="2" t="s">
        <v>38</v>
      </c>
      <c r="E9" s="1" t="s">
        <v>15</v>
      </c>
      <c r="F9" s="1" t="s">
        <v>15</v>
      </c>
      <c r="G9" s="1" t="s">
        <v>15</v>
      </c>
      <c r="H9" s="1" t="s">
        <v>15</v>
      </c>
      <c r="I9" s="1"/>
      <c r="J9" s="1" t="s">
        <v>15</v>
      </c>
      <c r="K9" s="1" t="s">
        <v>15</v>
      </c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1"/>
      <c r="S9" s="1" t="s">
        <v>16</v>
      </c>
      <c r="T9" s="1" t="s">
        <v>15</v>
      </c>
      <c r="U9" s="1"/>
      <c r="V9" s="1" t="s">
        <v>15</v>
      </c>
      <c r="W9" s="1" t="s">
        <v>16</v>
      </c>
      <c r="X9" s="1"/>
      <c r="Y9" s="1" t="s">
        <v>16</v>
      </c>
      <c r="Z9" s="1" t="s">
        <v>15</v>
      </c>
      <c r="AA9" s="1" t="n">
        <f aca="false">COUNTIF(E9:Z9,"P")</f>
        <v>15</v>
      </c>
      <c r="AB9" s="2" t="n">
        <f aca="false">COUNTIF(E9:Z9,"M")</f>
        <v>0</v>
      </c>
      <c r="AC9" s="2" t="n">
        <f aca="false">COUNTIF(E9:Z9,"T")</f>
        <v>0</v>
      </c>
      <c r="AD9" s="2" t="n">
        <f aca="false">COUNTIF(E9:Z9,"A")</f>
        <v>3</v>
      </c>
      <c r="AE9" s="1" t="n">
        <f aca="false">SUM(AA9:AD9)</f>
        <v>18</v>
      </c>
      <c r="AF9" s="5" t="n">
        <f aca="false">ROUND((AA9+AB9/2+AC9/4)*10/AE9,0)</f>
        <v>8</v>
      </c>
      <c r="AG9" s="1" t="s">
        <v>15</v>
      </c>
      <c r="AH9" s="1" t="s">
        <v>15</v>
      </c>
      <c r="AI9" s="1" t="s">
        <v>15</v>
      </c>
      <c r="AJ9" s="1" t="s">
        <v>15</v>
      </c>
      <c r="AK9" s="1" t="s">
        <v>15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="2" customFormat="true" ht="15" hidden="false" customHeight="false" outlineLevel="0" collapsed="false">
      <c r="A10" s="1" t="n">
        <v>8</v>
      </c>
      <c r="B10" s="2" t="s">
        <v>39</v>
      </c>
      <c r="C10" s="2" t="s">
        <v>40</v>
      </c>
      <c r="D10" s="2" t="s">
        <v>41</v>
      </c>
      <c r="E10" s="1" t="s">
        <v>15</v>
      </c>
      <c r="F10" s="1" t="s">
        <v>15</v>
      </c>
      <c r="G10" s="1" t="s">
        <v>15</v>
      </c>
      <c r="H10" s="1" t="s">
        <v>15</v>
      </c>
      <c r="I10" s="1"/>
      <c r="J10" s="1" t="s">
        <v>15</v>
      </c>
      <c r="K10" s="1" t="s">
        <v>15</v>
      </c>
      <c r="L10" s="1" t="s">
        <v>16</v>
      </c>
      <c r="M10" s="1" t="s">
        <v>15</v>
      </c>
      <c r="N10" s="1" t="s">
        <v>15</v>
      </c>
      <c r="O10" s="1" t="s">
        <v>15</v>
      </c>
      <c r="P10" s="1" t="s">
        <v>16</v>
      </c>
      <c r="Q10" s="1" t="s">
        <v>15</v>
      </c>
      <c r="R10" s="1"/>
      <c r="S10" s="1" t="s">
        <v>15</v>
      </c>
      <c r="T10" s="1" t="s">
        <v>15</v>
      </c>
      <c r="U10" s="1"/>
      <c r="V10" s="1" t="s">
        <v>15</v>
      </c>
      <c r="W10" s="1" t="s">
        <v>15</v>
      </c>
      <c r="X10" s="1"/>
      <c r="Y10" s="1" t="s">
        <v>15</v>
      </c>
      <c r="Z10" s="1" t="s">
        <v>15</v>
      </c>
      <c r="AA10" s="1" t="n">
        <f aca="false">COUNTIF(E10:Z10,"P")</f>
        <v>16</v>
      </c>
      <c r="AB10" s="2" t="n">
        <f aca="false">COUNTIF(E10:Z10,"M")</f>
        <v>0</v>
      </c>
      <c r="AC10" s="2" t="n">
        <f aca="false">COUNTIF(E10:Z10,"T")</f>
        <v>0</v>
      </c>
      <c r="AD10" s="2" t="n">
        <f aca="false">COUNTIF(E10:Z10,"A")</f>
        <v>2</v>
      </c>
      <c r="AE10" s="1" t="n">
        <f aca="false">SUM(AA10:AD10)</f>
        <v>18</v>
      </c>
      <c r="AF10" s="5" t="n">
        <f aca="false">ROUND((AA10+AB10/2+AC10/4)*10/AE10,0)</f>
        <v>9</v>
      </c>
      <c r="AG10" s="1" t="s">
        <v>15</v>
      </c>
      <c r="AH10" s="1" t="s">
        <v>15</v>
      </c>
      <c r="AI10" s="1" t="s">
        <v>15</v>
      </c>
      <c r="AJ10" s="1" t="s">
        <v>15</v>
      </c>
      <c r="AK10" s="1" t="s">
        <v>15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="1" customFormat="true" ht="15" hidden="false" customHeight="false" outlineLevel="0" collapsed="false">
      <c r="A11" s="1" t="n">
        <v>9</v>
      </c>
      <c r="B11" s="2" t="s">
        <v>42</v>
      </c>
      <c r="C11" s="2" t="s">
        <v>43</v>
      </c>
      <c r="D11" s="2" t="s">
        <v>44</v>
      </c>
      <c r="E11" s="1" t="s">
        <v>15</v>
      </c>
      <c r="F11" s="1" t="s">
        <v>15</v>
      </c>
      <c r="G11" s="1" t="s">
        <v>15</v>
      </c>
      <c r="H11" s="1" t="s">
        <v>15</v>
      </c>
      <c r="J11" s="1" t="s">
        <v>15</v>
      </c>
      <c r="K11" s="1" t="s">
        <v>15</v>
      </c>
      <c r="L11" s="1" t="s">
        <v>15</v>
      </c>
      <c r="M11" s="1" t="s">
        <v>15</v>
      </c>
      <c r="N11" s="1" t="s">
        <v>15</v>
      </c>
      <c r="O11" s="1" t="s">
        <v>15</v>
      </c>
      <c r="P11" s="1" t="s">
        <v>15</v>
      </c>
      <c r="Q11" s="1" t="s">
        <v>15</v>
      </c>
      <c r="S11" s="1" t="s">
        <v>15</v>
      </c>
      <c r="T11" s="1" t="s">
        <v>15</v>
      </c>
      <c r="V11" s="1" t="s">
        <v>15</v>
      </c>
      <c r="W11" s="1" t="s">
        <v>15</v>
      </c>
      <c r="X11" s="1" t="s">
        <v>32</v>
      </c>
      <c r="Y11" s="1" t="s">
        <v>15</v>
      </c>
      <c r="Z11" s="1" t="s">
        <v>15</v>
      </c>
      <c r="AA11" s="1" t="n">
        <f aca="false">COUNTIF(E11:Z11,"P")</f>
        <v>18</v>
      </c>
      <c r="AB11" s="2" t="n">
        <f aca="false">COUNTIF(E11:Z11,"M")</f>
        <v>0</v>
      </c>
      <c r="AC11" s="2" t="n">
        <f aca="false">COUNTIF(E11:Z11,"T")</f>
        <v>0</v>
      </c>
      <c r="AD11" s="2" t="n">
        <f aca="false">COUNTIF(E11:Z11,"A")</f>
        <v>0</v>
      </c>
      <c r="AE11" s="1" t="n">
        <f aca="false">SUM(AA11:AD11)</f>
        <v>18</v>
      </c>
      <c r="AF11" s="5" t="n">
        <f aca="false">ROUND((AA11+AB11/2+AC11/4)*10/AE11,0)</f>
        <v>10</v>
      </c>
      <c r="AG11" s="1" t="s">
        <v>15</v>
      </c>
      <c r="AH11" s="1" t="s">
        <v>15</v>
      </c>
      <c r="AI11" s="1" t="s">
        <v>15</v>
      </c>
      <c r="AJ11" s="1" t="s">
        <v>15</v>
      </c>
      <c r="AK11" s="1" t="s">
        <v>16</v>
      </c>
    </row>
    <row r="12" s="1" customFormat="true" ht="15" hidden="false" customHeight="false" outlineLevel="0" collapsed="false">
      <c r="A12" s="1" t="n">
        <v>10</v>
      </c>
      <c r="B12" s="2" t="s">
        <v>45</v>
      </c>
      <c r="C12" s="2" t="s">
        <v>46</v>
      </c>
      <c r="D12" s="2" t="s">
        <v>47</v>
      </c>
      <c r="E12" s="1" t="s">
        <v>15</v>
      </c>
      <c r="F12" s="1" t="s">
        <v>15</v>
      </c>
      <c r="G12" s="1" t="s">
        <v>15</v>
      </c>
      <c r="H12" s="1" t="s">
        <v>15</v>
      </c>
      <c r="J12" s="1" t="s">
        <v>15</v>
      </c>
      <c r="K12" s="1" t="s">
        <v>15</v>
      </c>
      <c r="L12" s="1" t="s">
        <v>15</v>
      </c>
      <c r="M12" s="1" t="s">
        <v>15</v>
      </c>
      <c r="N12" s="1" t="s">
        <v>15</v>
      </c>
      <c r="O12" s="1" t="s">
        <v>15</v>
      </c>
      <c r="P12" s="1" t="s">
        <v>15</v>
      </c>
      <c r="Q12" s="1" t="s">
        <v>15</v>
      </c>
      <c r="S12" s="1" t="s">
        <v>15</v>
      </c>
      <c r="T12" s="1" t="s">
        <v>15</v>
      </c>
      <c r="V12" s="1" t="s">
        <v>15</v>
      </c>
      <c r="W12" s="1" t="s">
        <v>15</v>
      </c>
      <c r="Y12" s="1" t="s">
        <v>15</v>
      </c>
      <c r="Z12" s="1" t="s">
        <v>15</v>
      </c>
      <c r="AA12" s="1" t="n">
        <f aca="false">COUNTIF(E12:Z12,"P")</f>
        <v>18</v>
      </c>
      <c r="AB12" s="2" t="n">
        <f aca="false">COUNTIF(E12:Z12,"M")</f>
        <v>0</v>
      </c>
      <c r="AC12" s="2" t="n">
        <f aca="false">COUNTIF(E12:Z12,"T")</f>
        <v>0</v>
      </c>
      <c r="AD12" s="2" t="n">
        <f aca="false">COUNTIF(E12:Z12,"A")</f>
        <v>0</v>
      </c>
      <c r="AE12" s="1" t="n">
        <f aca="false">SUM(AA12:AD12)</f>
        <v>18</v>
      </c>
      <c r="AF12" s="5" t="n">
        <f aca="false">ROUND((AA12+AB12/2+AC12/4)*10/AE12,0)</f>
        <v>10</v>
      </c>
      <c r="AG12" s="1" t="s">
        <v>15</v>
      </c>
      <c r="AH12" s="1" t="s">
        <v>15</v>
      </c>
      <c r="AI12" s="1" t="s">
        <v>15</v>
      </c>
      <c r="AJ12" s="1" t="s">
        <v>15</v>
      </c>
      <c r="AK12" s="1" t="s">
        <v>15</v>
      </c>
    </row>
    <row r="13" s="1" customFormat="true" ht="15" hidden="false" customHeight="false" outlineLevel="0" collapsed="false">
      <c r="A13" s="1" t="n">
        <v>11</v>
      </c>
      <c r="B13" s="2" t="s">
        <v>48</v>
      </c>
      <c r="C13" s="2" t="s">
        <v>49</v>
      </c>
      <c r="D13" s="2" t="s">
        <v>50</v>
      </c>
      <c r="E13" s="1" t="s">
        <v>15</v>
      </c>
      <c r="F13" s="1" t="s">
        <v>15</v>
      </c>
      <c r="G13" s="1" t="s">
        <v>15</v>
      </c>
      <c r="H13" s="1" t="s">
        <v>15</v>
      </c>
      <c r="J13" s="1" t="s">
        <v>15</v>
      </c>
      <c r="K13" s="1" t="s">
        <v>15</v>
      </c>
      <c r="L13" s="1" t="s">
        <v>15</v>
      </c>
      <c r="M13" s="1" t="s">
        <v>15</v>
      </c>
      <c r="N13" s="1" t="s">
        <v>15</v>
      </c>
      <c r="O13" s="1" t="s">
        <v>15</v>
      </c>
      <c r="P13" s="1" t="s">
        <v>16</v>
      </c>
      <c r="Q13" s="1" t="s">
        <v>15</v>
      </c>
      <c r="S13" s="1" t="s">
        <v>16</v>
      </c>
      <c r="T13" s="1" t="s">
        <v>15</v>
      </c>
      <c r="V13" s="1" t="s">
        <v>15</v>
      </c>
      <c r="W13" s="1" t="s">
        <v>15</v>
      </c>
      <c r="X13" s="1" t="s">
        <v>32</v>
      </c>
      <c r="Y13" s="1" t="s">
        <v>15</v>
      </c>
      <c r="Z13" s="1" t="s">
        <v>16</v>
      </c>
      <c r="AA13" s="1" t="n">
        <f aca="false">COUNTIF(E13:Z13,"P")</f>
        <v>15</v>
      </c>
      <c r="AB13" s="2" t="n">
        <f aca="false">COUNTIF(E13:Z13,"M")</f>
        <v>0</v>
      </c>
      <c r="AC13" s="2" t="n">
        <f aca="false">COUNTIF(E13:Z13,"T")</f>
        <v>0</v>
      </c>
      <c r="AD13" s="2" t="n">
        <f aca="false">COUNTIF(E13:Z13,"A")</f>
        <v>3</v>
      </c>
      <c r="AE13" s="1" t="n">
        <f aca="false">SUM(AA13:AD13)</f>
        <v>18</v>
      </c>
      <c r="AF13" s="5" t="n">
        <f aca="false">ROUND((AA13+AB13/2+AC13/4)*10/AE13,0)</f>
        <v>8</v>
      </c>
      <c r="AG13" s="1" t="s">
        <v>15</v>
      </c>
      <c r="AH13" s="1" t="s">
        <v>15</v>
      </c>
      <c r="AI13" s="1" t="s">
        <v>15</v>
      </c>
      <c r="AJ13" s="1" t="s">
        <v>16</v>
      </c>
      <c r="AK13" s="1" t="s">
        <v>15</v>
      </c>
    </row>
    <row r="14" s="2" customFormat="true" ht="15" hidden="false" customHeight="false" outlineLevel="0" collapsed="false">
      <c r="A14" s="1" t="n">
        <v>12</v>
      </c>
      <c r="B14" s="2" t="s">
        <v>51</v>
      </c>
      <c r="C14" s="2" t="s">
        <v>52</v>
      </c>
      <c r="D14" s="2" t="s">
        <v>53</v>
      </c>
      <c r="E14" s="1" t="s">
        <v>15</v>
      </c>
      <c r="F14" s="1" t="s">
        <v>15</v>
      </c>
      <c r="G14" s="1" t="s">
        <v>15</v>
      </c>
      <c r="H14" s="1" t="s">
        <v>15</v>
      </c>
      <c r="I14" s="1"/>
      <c r="J14" s="1" t="s">
        <v>15</v>
      </c>
      <c r="K14" s="1" t="s">
        <v>15</v>
      </c>
      <c r="L14" s="1" t="s">
        <v>15</v>
      </c>
      <c r="M14" s="1" t="s">
        <v>15</v>
      </c>
      <c r="N14" s="1" t="s">
        <v>15</v>
      </c>
      <c r="O14" s="1" t="s">
        <v>15</v>
      </c>
      <c r="P14" s="1" t="s">
        <v>15</v>
      </c>
      <c r="Q14" s="1" t="s">
        <v>15</v>
      </c>
      <c r="R14" s="1"/>
      <c r="S14" s="1" t="s">
        <v>15</v>
      </c>
      <c r="T14" s="1" t="s">
        <v>15</v>
      </c>
      <c r="U14" s="1"/>
      <c r="V14" s="1" t="s">
        <v>15</v>
      </c>
      <c r="W14" s="1" t="s">
        <v>16</v>
      </c>
      <c r="X14" s="1"/>
      <c r="Y14" s="1" t="s">
        <v>16</v>
      </c>
      <c r="Z14" s="1" t="s">
        <v>15</v>
      </c>
      <c r="AA14" s="1" t="n">
        <f aca="false">COUNTIF(E14:Z14,"P")</f>
        <v>16</v>
      </c>
      <c r="AB14" s="2" t="n">
        <f aca="false">COUNTIF(E14:Z14,"M")</f>
        <v>0</v>
      </c>
      <c r="AC14" s="2" t="n">
        <f aca="false">COUNTIF(E14:Z14,"T")</f>
        <v>0</v>
      </c>
      <c r="AD14" s="2" t="n">
        <f aca="false">COUNTIF(E14:Z14,"A")</f>
        <v>2</v>
      </c>
      <c r="AE14" s="1" t="n">
        <f aca="false">SUM(AA14:AD14)</f>
        <v>18</v>
      </c>
      <c r="AF14" s="5" t="n">
        <f aca="false">ROUND((AA14+AB14/2+AC14/4)*10/AE14,0)</f>
        <v>9</v>
      </c>
      <c r="AG14" s="1" t="s">
        <v>15</v>
      </c>
      <c r="AH14" s="1" t="s">
        <v>15</v>
      </c>
      <c r="AI14" s="1" t="s">
        <v>15</v>
      </c>
      <c r="AJ14" s="1" t="s">
        <v>15</v>
      </c>
      <c r="AK14" s="1" t="s">
        <v>15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="2" customFormat="true" ht="15" hidden="false" customHeight="false" outlineLevel="0" collapsed="false">
      <c r="A15" s="1" t="n">
        <v>13</v>
      </c>
      <c r="B15" s="2" t="s">
        <v>54</v>
      </c>
      <c r="C15" s="2" t="s">
        <v>55</v>
      </c>
      <c r="D15" s="2" t="s">
        <v>56</v>
      </c>
      <c r="E15" s="1" t="s">
        <v>15</v>
      </c>
      <c r="F15" s="1" t="s">
        <v>15</v>
      </c>
      <c r="G15" s="1" t="s">
        <v>15</v>
      </c>
      <c r="H15" s="1" t="s">
        <v>15</v>
      </c>
      <c r="I15" s="1"/>
      <c r="J15" s="1" t="s">
        <v>15</v>
      </c>
      <c r="K15" s="1" t="s">
        <v>15</v>
      </c>
      <c r="L15" s="1" t="s">
        <v>15</v>
      </c>
      <c r="M15" s="1" t="s">
        <v>15</v>
      </c>
      <c r="N15" s="1" t="s">
        <v>15</v>
      </c>
      <c r="O15" s="1" t="s">
        <v>15</v>
      </c>
      <c r="P15" s="1" t="s">
        <v>15</v>
      </c>
      <c r="Q15" s="1" t="s">
        <v>15</v>
      </c>
      <c r="R15" s="1"/>
      <c r="S15" s="1" t="s">
        <v>15</v>
      </c>
      <c r="T15" s="1" t="s">
        <v>15</v>
      </c>
      <c r="U15" s="1"/>
      <c r="V15" s="1" t="s">
        <v>15</v>
      </c>
      <c r="W15" s="1" t="s">
        <v>15</v>
      </c>
      <c r="X15" s="1"/>
      <c r="Y15" s="1" t="s">
        <v>15</v>
      </c>
      <c r="Z15" s="1" t="s">
        <v>15</v>
      </c>
      <c r="AA15" s="1" t="n">
        <f aca="false">COUNTIF(E15:Z15,"P")</f>
        <v>18</v>
      </c>
      <c r="AB15" s="2" t="n">
        <f aca="false">COUNTIF(E15:Z15,"M")</f>
        <v>0</v>
      </c>
      <c r="AC15" s="2" t="n">
        <f aca="false">COUNTIF(E15:Z15,"T")</f>
        <v>0</v>
      </c>
      <c r="AD15" s="2" t="n">
        <f aca="false">COUNTIF(E15:Z15,"A")</f>
        <v>0</v>
      </c>
      <c r="AE15" s="1" t="n">
        <f aca="false">SUM(AA15:AD15)</f>
        <v>18</v>
      </c>
      <c r="AF15" s="5" t="n">
        <f aca="false">ROUND((AA15+AB15/2+AC15/4)*10/AE15,0)</f>
        <v>10</v>
      </c>
      <c r="AG15" s="1" t="s">
        <v>15</v>
      </c>
      <c r="AH15" s="1" t="s">
        <v>15</v>
      </c>
      <c r="AI15" s="1" t="s">
        <v>15</v>
      </c>
      <c r="AJ15" s="1" t="s">
        <v>15</v>
      </c>
      <c r="AK15" s="1" t="s">
        <v>15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="7" customFormat="true" ht="15" hidden="false" customHeight="false" outlineLevel="0" collapsed="false">
      <c r="A16" s="6" t="n">
        <v>14</v>
      </c>
      <c r="B16" s="7" t="s">
        <v>57</v>
      </c>
      <c r="C16" s="7" t="s">
        <v>58</v>
      </c>
      <c r="D16" s="7" t="s">
        <v>59</v>
      </c>
      <c r="E16" s="6" t="s">
        <v>15</v>
      </c>
      <c r="F16" s="6" t="s">
        <v>15</v>
      </c>
      <c r="G16" s="6" t="s">
        <v>15</v>
      </c>
      <c r="H16" s="6" t="s">
        <v>16</v>
      </c>
      <c r="I16" s="6" t="s">
        <v>60</v>
      </c>
      <c r="J16" s="6" t="s">
        <v>16</v>
      </c>
      <c r="K16" s="6" t="s">
        <v>16</v>
      </c>
      <c r="L16" s="6" t="s">
        <v>16</v>
      </c>
      <c r="M16" s="6" t="s">
        <v>16</v>
      </c>
      <c r="N16" s="6" t="s">
        <v>16</v>
      </c>
      <c r="O16" s="6" t="s">
        <v>16</v>
      </c>
      <c r="P16" s="6" t="s">
        <v>16</v>
      </c>
      <c r="Q16" s="6" t="s">
        <v>16</v>
      </c>
      <c r="R16" s="6"/>
      <c r="S16" s="6" t="s">
        <v>16</v>
      </c>
      <c r="T16" s="6" t="s">
        <v>16</v>
      </c>
      <c r="U16" s="6" t="s">
        <v>22</v>
      </c>
      <c r="V16" s="6" t="s">
        <v>16</v>
      </c>
      <c r="W16" s="6" t="s">
        <v>16</v>
      </c>
      <c r="X16" s="6"/>
      <c r="Y16" s="6" t="s">
        <v>16</v>
      </c>
      <c r="Z16" s="6" t="s">
        <v>16</v>
      </c>
      <c r="AA16" s="6" t="n">
        <f aca="false">COUNTIF(E16:Z16,"P")</f>
        <v>3</v>
      </c>
      <c r="AB16" s="7" t="n">
        <f aca="false">COUNTIF(E16:Z16,"M")</f>
        <v>0</v>
      </c>
      <c r="AC16" s="7" t="n">
        <f aca="false">COUNTIF(E16:Z16,"T")</f>
        <v>0</v>
      </c>
      <c r="AD16" s="7" t="n">
        <f aca="false">COUNTIF(E16:Z16,"A")</f>
        <v>15</v>
      </c>
      <c r="AE16" s="6" t="n">
        <f aca="false">SUM(AA16:AD16)</f>
        <v>18</v>
      </c>
      <c r="AF16" s="8" t="n">
        <f aca="false">ROUND((AA16+AB16/2+AC16/4)*10/AE16,0)</f>
        <v>2</v>
      </c>
      <c r="AG16" s="6" t="s">
        <v>16</v>
      </c>
      <c r="AH16" s="6" t="s">
        <v>16</v>
      </c>
      <c r="AI16" s="6" t="s">
        <v>16</v>
      </c>
      <c r="AJ16" s="1" t="s">
        <v>16</v>
      </c>
      <c r="AK16" s="6" t="s">
        <v>16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</row>
    <row r="17" s="1" customFormat="true" ht="15" hidden="false" customHeight="false" outlineLevel="0" collapsed="false">
      <c r="A17" s="1" t="n">
        <v>15</v>
      </c>
      <c r="B17" s="2" t="s">
        <v>61</v>
      </c>
      <c r="C17" s="2" t="s">
        <v>62</v>
      </c>
      <c r="D17" s="2" t="s">
        <v>63</v>
      </c>
      <c r="E17" s="1" t="s">
        <v>15</v>
      </c>
      <c r="F17" s="1" t="s">
        <v>15</v>
      </c>
      <c r="G17" s="1" t="s">
        <v>16</v>
      </c>
      <c r="H17" s="1" t="s">
        <v>15</v>
      </c>
      <c r="J17" s="1" t="s">
        <v>15</v>
      </c>
      <c r="K17" s="1" t="s">
        <v>15</v>
      </c>
      <c r="L17" s="1" t="s">
        <v>15</v>
      </c>
      <c r="M17" s="1" t="s">
        <v>15</v>
      </c>
      <c r="N17" s="1" t="s">
        <v>15</v>
      </c>
      <c r="O17" s="1" t="s">
        <v>15</v>
      </c>
      <c r="P17" s="1" t="s">
        <v>15</v>
      </c>
      <c r="Q17" s="1" t="s">
        <v>15</v>
      </c>
      <c r="S17" s="1" t="s">
        <v>15</v>
      </c>
      <c r="T17" s="1" t="s">
        <v>15</v>
      </c>
      <c r="V17" s="1" t="s">
        <v>15</v>
      </c>
      <c r="W17" s="1" t="s">
        <v>15</v>
      </c>
      <c r="X17" s="1" t="s">
        <v>32</v>
      </c>
      <c r="Y17" s="1" t="s">
        <v>15</v>
      </c>
      <c r="Z17" s="1" t="s">
        <v>16</v>
      </c>
      <c r="AA17" s="1" t="n">
        <f aca="false">COUNTIF(E17:Z17,"P")</f>
        <v>16</v>
      </c>
      <c r="AB17" s="2" t="n">
        <f aca="false">COUNTIF(E17:Z17,"M")</f>
        <v>0</v>
      </c>
      <c r="AC17" s="2" t="n">
        <f aca="false">COUNTIF(E17:Z17,"T")</f>
        <v>0</v>
      </c>
      <c r="AD17" s="2" t="n">
        <f aca="false">COUNTIF(E17:Z17,"A")</f>
        <v>2</v>
      </c>
      <c r="AE17" s="1" t="n">
        <f aca="false">SUM(AA17:AD17)</f>
        <v>18</v>
      </c>
      <c r="AF17" s="5" t="n">
        <f aca="false">ROUND((AA17+AB17/2+AC17/4)*10/AE17,0)</f>
        <v>9</v>
      </c>
      <c r="AG17" s="1" t="s">
        <v>15</v>
      </c>
      <c r="AH17" s="1" t="s">
        <v>15</v>
      </c>
      <c r="AI17" s="1" t="s">
        <v>15</v>
      </c>
      <c r="AJ17" s="1" t="s">
        <v>16</v>
      </c>
      <c r="AK17" s="1" t="s">
        <v>15</v>
      </c>
    </row>
    <row r="18" customFormat="false" ht="15" hidden="false" customHeight="false" outlineLevel="0" collapsed="false">
      <c r="C18" s="1" t="s">
        <v>64</v>
      </c>
      <c r="D18" s="1" t="s">
        <v>5</v>
      </c>
      <c r="E18" s="1" t="n">
        <f aca="false">COUNTIF(E3:E17,"P")</f>
        <v>15</v>
      </c>
      <c r="F18" s="1" t="n">
        <f aca="false">COUNTIF(F3:F17,"P")</f>
        <v>14</v>
      </c>
      <c r="G18" s="1" t="n">
        <f aca="false">COUNTIF(G3:G17,"P")</f>
        <v>14</v>
      </c>
      <c r="H18" s="1" t="n">
        <f aca="false">COUNTIF(H3:H17,"P")</f>
        <v>12</v>
      </c>
      <c r="J18" s="1" t="n">
        <f aca="false">COUNTIF(J3:J17,"P")</f>
        <v>11</v>
      </c>
      <c r="K18" s="1" t="n">
        <f aca="false">COUNTIF(K3:K17,"P")</f>
        <v>11</v>
      </c>
      <c r="L18" s="1" t="n">
        <f aca="false">COUNTIF(L3:L17,"P")</f>
        <v>12</v>
      </c>
      <c r="M18" s="1" t="n">
        <f aca="false">COUNTIF(M3:M17,"P")</f>
        <v>13</v>
      </c>
      <c r="N18" s="1" t="n">
        <f aca="false">COUNTIF(N3:N17,"P")</f>
        <v>13</v>
      </c>
      <c r="O18" s="1" t="n">
        <f aca="false">COUNTIF(O3:O17,"P")</f>
        <v>13</v>
      </c>
      <c r="P18" s="1" t="n">
        <f aca="false">COUNTIF(P3:P17,"P")</f>
        <v>12</v>
      </c>
      <c r="Q18" s="1" t="n">
        <f aca="false">COUNTIF(Q3:Q17,"P")</f>
        <v>12</v>
      </c>
      <c r="S18" s="1" t="n">
        <f aca="false">COUNTIF(S3:S17,"P")</f>
        <v>9</v>
      </c>
      <c r="T18" s="1" t="n">
        <f aca="false">COUNTIF(T3:T17,"P")</f>
        <v>13</v>
      </c>
      <c r="V18" s="1" t="n">
        <f aca="false">COUNTIF(V3:V17,"P")</f>
        <v>12</v>
      </c>
      <c r="W18" s="1" t="n">
        <f aca="false">COUNTIF(W3:W17,"P")</f>
        <v>11</v>
      </c>
      <c r="Y18" s="1" t="n">
        <f aca="false">COUNTIF(Y3:Y17,"P")</f>
        <v>11</v>
      </c>
      <c r="Z18" s="1" t="n">
        <f aca="false">COUNTIF(Z3:Z17,"P")</f>
        <v>9</v>
      </c>
      <c r="AA18" s="1"/>
      <c r="AB18" s="1"/>
      <c r="AC18" s="1"/>
      <c r="AD18" s="1"/>
      <c r="AE18" s="1"/>
      <c r="AF18" s="1"/>
      <c r="AG18" s="1" t="n">
        <f aca="false">COUNTIF(AG3:AG17,"P")</f>
        <v>10</v>
      </c>
      <c r="AH18" s="1" t="n">
        <f aca="false">COUNTIF(AH3:AH17,"P")</f>
        <v>10</v>
      </c>
      <c r="AI18" s="1" t="n">
        <f aca="false">COUNTIF(AI3:AI17,"P")</f>
        <v>13</v>
      </c>
      <c r="AJ18" s="1" t="n">
        <f aca="false">COUNTIF(AJ3:AJ17,"P")</f>
        <v>9</v>
      </c>
      <c r="AK18" s="1" t="n">
        <f aca="false">COUNTIF(AK3:AK17,"P")</f>
        <v>12</v>
      </c>
    </row>
    <row r="19" customFormat="false" ht="15" hidden="false" customHeight="false" outlineLevel="0" collapsed="false">
      <c r="C19" s="1" t="s">
        <v>65</v>
      </c>
      <c r="D19" s="1" t="s">
        <v>65</v>
      </c>
      <c r="E19" s="1" t="n">
        <f aca="false">COUNTIF(E3:E17,"M")</f>
        <v>0</v>
      </c>
      <c r="F19" s="1" t="n">
        <f aca="false">COUNTIF(F3:F17,"M")</f>
        <v>0</v>
      </c>
      <c r="G19" s="1" t="n">
        <f aca="false">COUNTIF(G3:G17,"M")</f>
        <v>0</v>
      </c>
      <c r="H19" s="1" t="n">
        <f aca="false">COUNTIF(H3:H17,"M")</f>
        <v>0</v>
      </c>
      <c r="J19" s="1" t="n">
        <f aca="false">COUNTIF(J3:J17,"M")</f>
        <v>0</v>
      </c>
      <c r="K19" s="1" t="n">
        <f aca="false">COUNTIF(K3:K17,"M")</f>
        <v>0</v>
      </c>
      <c r="L19" s="1" t="n">
        <f aca="false">COUNTIF(L3:L17,"M")</f>
        <v>0</v>
      </c>
      <c r="M19" s="1" t="n">
        <f aca="false">COUNTIF(M3:M17,"M")</f>
        <v>0</v>
      </c>
      <c r="N19" s="1" t="n">
        <f aca="false">COUNTIF(N3:N17,"M")</f>
        <v>0</v>
      </c>
      <c r="O19" s="1" t="n">
        <f aca="false">COUNTIF(O3:O17,"M")</f>
        <v>0</v>
      </c>
      <c r="P19" s="1" t="n">
        <f aca="false">COUNTIF(P3:P17,"M")</f>
        <v>0</v>
      </c>
      <c r="Q19" s="1" t="n">
        <f aca="false">COUNTIF(Q3:Q17,"M")</f>
        <v>1</v>
      </c>
      <c r="S19" s="1" t="n">
        <f aca="false">COUNTIF(S3:S17,"M")</f>
        <v>0</v>
      </c>
      <c r="T19" s="1" t="n">
        <f aca="false">COUNTIF(T3:T17,"M")</f>
        <v>0</v>
      </c>
      <c r="V19" s="1" t="n">
        <f aca="false">COUNTIF(V3:V17,"M")</f>
        <v>0</v>
      </c>
      <c r="W19" s="1" t="n">
        <f aca="false">COUNTIF(W3:W17,"M")</f>
        <v>0</v>
      </c>
      <c r="Y19" s="1" t="n">
        <f aca="false">COUNTIF(Y3:Y17,"M")</f>
        <v>0</v>
      </c>
      <c r="Z19" s="1" t="n">
        <f aca="false">COUNTIF(Z3:Z17,"M")</f>
        <v>0</v>
      </c>
      <c r="AA19" s="1"/>
      <c r="AB19" s="1"/>
      <c r="AC19" s="1"/>
      <c r="AD19" s="1"/>
      <c r="AE19" s="1"/>
      <c r="AF19" s="1"/>
      <c r="AG19" s="1" t="n">
        <f aca="false">COUNTIF(AG3:AG17,"M")</f>
        <v>0</v>
      </c>
      <c r="AH19" s="1" t="n">
        <f aca="false">COUNTIF(AH3:AH17,"M")</f>
        <v>0</v>
      </c>
      <c r="AI19" s="1" t="n">
        <f aca="false">COUNTIF(AI3:AI17,"M")</f>
        <v>0</v>
      </c>
      <c r="AJ19" s="1" t="n">
        <f aca="false">COUNTIF(AJ3:AJ17,"M")</f>
        <v>0</v>
      </c>
      <c r="AK19" s="1" t="n">
        <f aca="false">COUNTIF(AK3:AK17,"M")</f>
        <v>0</v>
      </c>
    </row>
    <row r="20" customFormat="false" ht="15" hidden="false" customHeight="false" outlineLevel="0" collapsed="false">
      <c r="C20" s="1" t="s">
        <v>7</v>
      </c>
      <c r="D20" s="1" t="s">
        <v>66</v>
      </c>
      <c r="E20" s="1" t="n">
        <f aca="false">COUNTIF(E3:E17,"T")</f>
        <v>0</v>
      </c>
      <c r="F20" s="1" t="n">
        <f aca="false">COUNTIF(F3:F17,"T")</f>
        <v>0</v>
      </c>
      <c r="G20" s="1" t="n">
        <f aca="false">COUNTIF(G3:G17,"T")</f>
        <v>0</v>
      </c>
      <c r="H20" s="1" t="n">
        <f aca="false">COUNTIF(H3:H17,"T")</f>
        <v>0</v>
      </c>
      <c r="J20" s="1" t="n">
        <f aca="false">COUNTIF(J3:J17,"T")</f>
        <v>0</v>
      </c>
      <c r="K20" s="1" t="n">
        <f aca="false">COUNTIF(K3:K17,"T")</f>
        <v>0</v>
      </c>
      <c r="L20" s="1" t="n">
        <f aca="false">COUNTIF(L3:L17,"T")</f>
        <v>0</v>
      </c>
      <c r="M20" s="1" t="n">
        <f aca="false">COUNTIF(M3:M17,"T")</f>
        <v>0</v>
      </c>
      <c r="N20" s="1" t="n">
        <f aca="false">COUNTIF(N3:N17,"T")</f>
        <v>0</v>
      </c>
      <c r="O20" s="1" t="n">
        <f aca="false">COUNTIF(O3:O17,"T")</f>
        <v>0</v>
      </c>
      <c r="P20" s="1" t="n">
        <f aca="false">COUNTIF(P3:P17,"T")</f>
        <v>0</v>
      </c>
      <c r="Q20" s="1" t="n">
        <f aca="false">COUNTIF(Q3:Q17,"T")</f>
        <v>0</v>
      </c>
      <c r="S20" s="1" t="n">
        <f aca="false">COUNTIF(S3:S17,"T")</f>
        <v>0</v>
      </c>
      <c r="T20" s="1" t="n">
        <f aca="false">COUNTIF(T3:T17,"T")</f>
        <v>0</v>
      </c>
      <c r="V20" s="1" t="n">
        <f aca="false">COUNTIF(V3:V17,"T")</f>
        <v>0</v>
      </c>
      <c r="W20" s="1" t="n">
        <f aca="false">COUNTIF(W3:W17,"T")</f>
        <v>0</v>
      </c>
      <c r="Y20" s="1" t="n">
        <f aca="false">COUNTIF(Y3:Y17,"T")</f>
        <v>0</v>
      </c>
      <c r="Z20" s="1" t="n">
        <f aca="false">COUNTIF(Z3:Z17,"T")</f>
        <v>0</v>
      </c>
      <c r="AA20" s="1"/>
      <c r="AB20" s="1"/>
      <c r="AC20" s="1"/>
      <c r="AD20" s="1"/>
      <c r="AE20" s="1"/>
      <c r="AF20" s="1"/>
      <c r="AG20" s="1" t="n">
        <f aca="false">COUNTIF(AG3:AG17,"T")</f>
        <v>0</v>
      </c>
      <c r="AH20" s="1" t="n">
        <f aca="false">COUNTIF(AH3:AH17,"T")</f>
        <v>0</v>
      </c>
      <c r="AI20" s="1" t="n">
        <f aca="false">COUNTIF(AI3:AI17,"T")</f>
        <v>0</v>
      </c>
      <c r="AJ20" s="1" t="n">
        <f aca="false">COUNTIF(AJ3:AJ17,"T")</f>
        <v>0</v>
      </c>
      <c r="AK20" s="1" t="n">
        <f aca="false">COUNTIF(AK3:AK17,"T")</f>
        <v>0</v>
      </c>
    </row>
    <row r="21" customFormat="false" ht="15" hidden="false" customHeight="false" outlineLevel="0" collapsed="false">
      <c r="C21" s="1" t="s">
        <v>9</v>
      </c>
      <c r="E21" s="1" t="n">
        <f aca="false">SUM(E18:E20)</f>
        <v>15</v>
      </c>
      <c r="F21" s="1" t="n">
        <f aca="false">SUM(F18:F20)</f>
        <v>14</v>
      </c>
      <c r="G21" s="1" t="n">
        <f aca="false">SUM(G18:G20)</f>
        <v>14</v>
      </c>
      <c r="H21" s="1" t="n">
        <f aca="false">SUM(H18:H20)</f>
        <v>12</v>
      </c>
      <c r="J21" s="1" t="n">
        <f aca="false">SUM(J18:J20)</f>
        <v>11</v>
      </c>
      <c r="K21" s="1" t="n">
        <f aca="false">SUM(K18:K20)</f>
        <v>11</v>
      </c>
      <c r="L21" s="1" t="n">
        <f aca="false">SUM(L18:L20)</f>
        <v>12</v>
      </c>
      <c r="M21" s="1" t="n">
        <f aca="false">SUM(M18:M20)</f>
        <v>13</v>
      </c>
      <c r="N21" s="1" t="n">
        <f aca="false">SUM(N18:N20)</f>
        <v>13</v>
      </c>
      <c r="O21" s="1" t="n">
        <f aca="false">SUM(O18:O20)</f>
        <v>13</v>
      </c>
      <c r="P21" s="1" t="n">
        <f aca="false">SUM(P18:P20)</f>
        <v>12</v>
      </c>
      <c r="Q21" s="1" t="n">
        <f aca="false">SUM(Q18:Q20)</f>
        <v>13</v>
      </c>
      <c r="S21" s="1" t="n">
        <f aca="false">SUM(S18:S20)</f>
        <v>9</v>
      </c>
      <c r="T21" s="1" t="n">
        <f aca="false">SUM(T18:T20)</f>
        <v>13</v>
      </c>
      <c r="V21" s="1" t="n">
        <f aca="false">SUM(V18:V20)</f>
        <v>12</v>
      </c>
      <c r="W21" s="1" t="n">
        <f aca="false">SUM(W18:W20)</f>
        <v>11</v>
      </c>
      <c r="Y21" s="1" t="n">
        <f aca="false">SUM(Y18:Y20)</f>
        <v>11</v>
      </c>
      <c r="Z21" s="1" t="n">
        <f aca="false">SUM(Z18:Z20)</f>
        <v>9</v>
      </c>
      <c r="AA21" s="1"/>
      <c r="AB21" s="1"/>
      <c r="AC21" s="1"/>
      <c r="AD21" s="1"/>
      <c r="AE21" s="1"/>
      <c r="AF21" s="1"/>
      <c r="AG21" s="1" t="n">
        <f aca="false">SUM(AG18:AG20)</f>
        <v>10</v>
      </c>
      <c r="AH21" s="1" t="n">
        <f aca="false">SUM(AH18:AH20)</f>
        <v>10</v>
      </c>
      <c r="AI21" s="1" t="n">
        <f aca="false">SUM(AI18:AI20)</f>
        <v>13</v>
      </c>
      <c r="AJ21" s="1" t="n">
        <f aca="false">SUM(AJ18:AJ20)</f>
        <v>9</v>
      </c>
      <c r="AK21" s="1" t="n">
        <f aca="false">SUM(AK18:AK20)</f>
        <v>12</v>
      </c>
    </row>
  </sheetData>
  <conditionalFormatting sqref="AF3:AF17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6" activeCellId="1" sqref="AK18:AK21 K16"/>
    </sheetView>
  </sheetViews>
  <sheetFormatPr defaultColWidth="9.6210937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7.89"/>
    <col collapsed="false" customWidth="true" hidden="false" outlineLevel="0" max="4" min="4" style="1" width="12.8"/>
    <col collapsed="false" customWidth="true" hidden="false" outlineLevel="0" max="16384" min="16334" style="1" width="10.58"/>
  </cols>
  <sheetData>
    <row r="1" customFormat="false" ht="15" hidden="false" customHeight="false" outlineLevel="0" collapsed="false">
      <c r="A1" s="1" t="s">
        <v>0</v>
      </c>
      <c r="B1" s="2" t="s">
        <v>2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10</v>
      </c>
      <c r="J1" s="2" t="s">
        <v>73</v>
      </c>
    </row>
    <row r="2" customFormat="false" ht="15" hidden="false" customHeight="false" outlineLevel="0" collapsed="false">
      <c r="A2" s="1" t="n">
        <v>1</v>
      </c>
      <c r="B2" s="2" t="s">
        <v>13</v>
      </c>
      <c r="C2" s="5" t="n">
        <v>1</v>
      </c>
      <c r="D2" s="5" t="n">
        <v>8</v>
      </c>
      <c r="E2" s="1" t="n">
        <v>1</v>
      </c>
      <c r="F2" s="1" t="n">
        <v>1</v>
      </c>
      <c r="G2" s="1" t="n">
        <v>8</v>
      </c>
      <c r="H2" s="1" t="n">
        <v>1</v>
      </c>
      <c r="I2" s="1" t="n">
        <f aca="false">ROUND(AVERAGE(C2,D2,E2,F2,G2,H2),0)</f>
        <v>3</v>
      </c>
      <c r="J2" s="1" t="str">
        <f aca="false">IF(I2&gt;6,"TEA",IF(I2&gt;3,"TEP","TED"))</f>
        <v>TED</v>
      </c>
    </row>
    <row r="3" s="6" customFormat="true" ht="15.65" hidden="false" customHeight="false" outlineLevel="0" collapsed="false">
      <c r="A3" s="6" t="n">
        <v>2</v>
      </c>
      <c r="B3" s="7" t="s">
        <v>20</v>
      </c>
      <c r="C3" s="8" t="n">
        <v>1</v>
      </c>
      <c r="D3" s="8" t="n">
        <v>1</v>
      </c>
      <c r="E3" s="6" t="n">
        <v>1</v>
      </c>
      <c r="F3" s="6" t="n">
        <v>1</v>
      </c>
      <c r="G3" s="6" t="n">
        <v>3</v>
      </c>
      <c r="H3" s="6" t="n">
        <v>1</v>
      </c>
      <c r="I3" s="6" t="n">
        <f aca="false">ROUND(AVERAGE(C3,D3,E3,F3,G3,H3),0)</f>
        <v>1</v>
      </c>
      <c r="J3" s="6" t="str">
        <f aca="false">IF(I3&gt;6,"TEA",IF(I3&gt;3,"TEP","TED"))</f>
        <v>TED</v>
      </c>
      <c r="K3" s="6" t="s">
        <v>74</v>
      </c>
    </row>
    <row r="4" s="1" customFormat="true" ht="15.65" hidden="false" customHeight="false" outlineLevel="0" collapsed="false">
      <c r="A4" s="1" t="n">
        <v>3</v>
      </c>
      <c r="B4" s="2" t="s">
        <v>24</v>
      </c>
      <c r="C4" s="5" t="n">
        <v>10</v>
      </c>
      <c r="D4" s="5" t="n">
        <v>8</v>
      </c>
      <c r="E4" s="1" t="n">
        <v>9</v>
      </c>
      <c r="F4" s="1" t="n">
        <v>10</v>
      </c>
      <c r="G4" s="1" t="n">
        <v>9</v>
      </c>
      <c r="H4" s="1" t="n">
        <v>8.5</v>
      </c>
      <c r="I4" s="1" t="n">
        <f aca="false">ROUND(AVERAGE(C4,D4,E4,F4,G4,H4),0)</f>
        <v>9</v>
      </c>
      <c r="J4" s="1" t="str">
        <f aca="false">IF(I4&gt;6,"TEA",IF(I4&gt;3,"TEP","TED"))</f>
        <v>TEA</v>
      </c>
    </row>
    <row r="5" s="1" customFormat="true" ht="15.65" hidden="false" customHeight="false" outlineLevel="0" collapsed="false">
      <c r="A5" s="1" t="n">
        <v>4</v>
      </c>
      <c r="B5" s="2" t="s">
        <v>27</v>
      </c>
      <c r="C5" s="5" t="n">
        <v>1</v>
      </c>
      <c r="D5" s="5" t="n">
        <v>8</v>
      </c>
      <c r="E5" s="1" t="n">
        <v>9</v>
      </c>
      <c r="F5" s="1" t="n">
        <v>10</v>
      </c>
      <c r="G5" s="1" t="n">
        <v>8</v>
      </c>
      <c r="H5" s="1" t="n">
        <v>1</v>
      </c>
      <c r="I5" s="1" t="n">
        <f aca="false">ROUND(AVERAGE(C5,D5,E5,F5,G5,H5),0)</f>
        <v>6</v>
      </c>
      <c r="J5" s="1" t="str">
        <f aca="false">IF(I5&gt;6,"TEA",IF(I5&gt;3,"TEP","TED"))</f>
        <v>TEP</v>
      </c>
    </row>
    <row r="6" s="1" customFormat="true" ht="15.65" hidden="false" customHeight="false" outlineLevel="0" collapsed="false">
      <c r="A6" s="1" t="n">
        <v>5</v>
      </c>
      <c r="B6" s="2" t="s">
        <v>30</v>
      </c>
      <c r="C6" s="5" t="n">
        <v>7</v>
      </c>
      <c r="D6" s="5" t="n">
        <v>10</v>
      </c>
      <c r="E6" s="1" t="n">
        <v>7</v>
      </c>
      <c r="F6" s="1" t="n">
        <v>8</v>
      </c>
      <c r="G6" s="1" t="n">
        <v>9</v>
      </c>
      <c r="H6" s="1" t="n">
        <v>7</v>
      </c>
      <c r="I6" s="1" t="n">
        <f aca="false">ROUND(AVERAGE(C6,D6,E6,F6,G6,H6),0)</f>
        <v>8</v>
      </c>
      <c r="J6" s="1" t="str">
        <f aca="false">IF(I6&gt;6,"TEA",IF(I6&gt;3,"TEP","TED"))</f>
        <v>TEA</v>
      </c>
    </row>
    <row r="7" s="1" customFormat="true" ht="15.65" hidden="false" customHeight="false" outlineLevel="0" collapsed="false">
      <c r="A7" s="1" t="n">
        <v>6</v>
      </c>
      <c r="B7" s="2" t="s">
        <v>34</v>
      </c>
      <c r="C7" s="5" t="n">
        <v>1</v>
      </c>
      <c r="D7" s="5" t="n">
        <v>10</v>
      </c>
      <c r="E7" s="1" t="n">
        <v>9</v>
      </c>
      <c r="F7" s="1" t="n">
        <v>1</v>
      </c>
      <c r="G7" s="1" t="n">
        <v>8</v>
      </c>
      <c r="H7" s="1" t="n">
        <v>9.25</v>
      </c>
      <c r="I7" s="1" t="n">
        <f aca="false">ROUND(AVERAGE(C7,D7,E7,F7,G7,H7),0)</f>
        <v>6</v>
      </c>
      <c r="J7" s="1" t="str">
        <f aca="false">IF(I7&gt;6,"TEA",IF(I7&gt;3,"TEP","TED"))</f>
        <v>TEP</v>
      </c>
    </row>
    <row r="8" s="1" customFormat="true" ht="15.65" hidden="false" customHeight="false" outlineLevel="0" collapsed="false">
      <c r="A8" s="1" t="n">
        <v>7</v>
      </c>
      <c r="B8" s="2" t="s">
        <v>37</v>
      </c>
      <c r="C8" s="5" t="n">
        <v>10</v>
      </c>
      <c r="D8" s="5" t="n">
        <v>8</v>
      </c>
      <c r="E8" s="1" t="n">
        <v>7</v>
      </c>
      <c r="F8" s="1" t="n">
        <v>1</v>
      </c>
      <c r="G8" s="1" t="n">
        <v>8</v>
      </c>
      <c r="H8" s="1" t="n">
        <v>8.75</v>
      </c>
      <c r="I8" s="1" t="n">
        <f aca="false">ROUND(AVERAGE(C8,D8,E8,F8,G8,H8),0)</f>
        <v>7</v>
      </c>
      <c r="J8" s="1" t="str">
        <f aca="false">IF(I8&gt;6,"TEA",IF(I8&gt;3,"TEP","TED"))</f>
        <v>TEA</v>
      </c>
    </row>
    <row r="9" s="1" customFormat="true" ht="15.65" hidden="false" customHeight="false" outlineLevel="0" collapsed="false">
      <c r="A9" s="1" t="n">
        <v>8</v>
      </c>
      <c r="B9" s="2" t="s">
        <v>40</v>
      </c>
      <c r="C9" s="5" t="n">
        <v>1</v>
      </c>
      <c r="D9" s="5" t="n">
        <v>1</v>
      </c>
      <c r="E9" s="1" t="n">
        <v>1</v>
      </c>
      <c r="F9" s="1" t="n">
        <v>1</v>
      </c>
      <c r="G9" s="1" t="n">
        <v>9</v>
      </c>
      <c r="H9" s="1" t="n">
        <v>4.5</v>
      </c>
      <c r="I9" s="1" t="n">
        <f aca="false">ROUND(AVERAGE(C9,D9,E9,F9,G9,H9),0)</f>
        <v>3</v>
      </c>
      <c r="J9" s="1" t="str">
        <f aca="false">IF(I9&gt;6,"TEA",IF(I9&gt;3,"TEP","TED"))</f>
        <v>TED</v>
      </c>
    </row>
    <row r="10" s="1" customFormat="true" ht="15.65" hidden="false" customHeight="false" outlineLevel="0" collapsed="false">
      <c r="A10" s="1" t="n">
        <v>9</v>
      </c>
      <c r="B10" s="2" t="s">
        <v>43</v>
      </c>
      <c r="C10" s="5" t="n">
        <v>4</v>
      </c>
      <c r="D10" s="5" t="n">
        <v>10</v>
      </c>
      <c r="E10" s="1" t="n">
        <v>9</v>
      </c>
      <c r="F10" s="1" t="n">
        <v>9</v>
      </c>
      <c r="G10" s="1" t="n">
        <v>10</v>
      </c>
      <c r="H10" s="1" t="n">
        <v>8.75</v>
      </c>
      <c r="I10" s="1" t="n">
        <f aca="false">ROUND(AVERAGE(C10,D10,E10,F10,G10,H10),0)</f>
        <v>8</v>
      </c>
      <c r="J10" s="1" t="str">
        <f aca="false">IF(I10&gt;6,"TEA",IF(I10&gt;3,"TEP","TED"))</f>
        <v>TEA</v>
      </c>
    </row>
    <row r="11" s="1" customFormat="true" ht="15.65" hidden="false" customHeight="false" outlineLevel="0" collapsed="false">
      <c r="A11" s="1" t="n">
        <v>10</v>
      </c>
      <c r="B11" s="2" t="s">
        <v>46</v>
      </c>
      <c r="C11" s="5" t="n">
        <v>9</v>
      </c>
      <c r="D11" s="5" t="n">
        <v>10</v>
      </c>
      <c r="E11" s="1" t="n">
        <v>10</v>
      </c>
      <c r="F11" s="1" t="n">
        <v>1</v>
      </c>
      <c r="G11" s="1" t="n">
        <v>10</v>
      </c>
      <c r="H11" s="1" t="n">
        <v>8.5</v>
      </c>
      <c r="I11" s="1" t="n">
        <f aca="false">ROUND(AVERAGE(C11,D11,E11,F11,G11,H11),0)</f>
        <v>8</v>
      </c>
      <c r="J11" s="1" t="str">
        <f aca="false">IF(I11&gt;6,"TEA",IF(I11&gt;3,"TEP","TED"))</f>
        <v>TEA</v>
      </c>
    </row>
    <row r="12" s="1" customFormat="true" ht="15.65" hidden="false" customHeight="false" outlineLevel="0" collapsed="false">
      <c r="A12" s="1" t="n">
        <v>11</v>
      </c>
      <c r="B12" s="2" t="s">
        <v>49</v>
      </c>
      <c r="C12" s="5" t="n">
        <v>1</v>
      </c>
      <c r="D12" s="5" t="n">
        <v>10</v>
      </c>
      <c r="E12" s="1" t="n">
        <v>10</v>
      </c>
      <c r="F12" s="1" t="n">
        <v>1</v>
      </c>
      <c r="G12" s="1" t="n">
        <v>8</v>
      </c>
      <c r="H12" s="1" t="n">
        <v>1</v>
      </c>
      <c r="I12" s="1" t="n">
        <f aca="false">ROUND(AVERAGE(C12,D12,E12,F12,G12,H12),0)</f>
        <v>5</v>
      </c>
      <c r="J12" s="1" t="str">
        <f aca="false">IF(I12&gt;6,"TEA",IF(I12&gt;3,"TEP","TED"))</f>
        <v>TEP</v>
      </c>
    </row>
    <row r="13" s="1" customFormat="true" ht="15.65" hidden="false" customHeight="false" outlineLevel="0" collapsed="false">
      <c r="A13" s="1" t="n">
        <v>12</v>
      </c>
      <c r="B13" s="2" t="s">
        <v>52</v>
      </c>
      <c r="C13" s="5" t="n">
        <v>7</v>
      </c>
      <c r="D13" s="5" t="n">
        <v>7</v>
      </c>
      <c r="E13" s="1" t="n">
        <v>10</v>
      </c>
      <c r="F13" s="2" t="n">
        <v>1</v>
      </c>
      <c r="G13" s="1" t="n">
        <v>9</v>
      </c>
      <c r="H13" s="1" t="n">
        <v>9</v>
      </c>
      <c r="I13" s="1" t="n">
        <f aca="false">ROUND(AVERAGE(C13,D13,E13,F13,G13,H13),0)</f>
        <v>7</v>
      </c>
      <c r="J13" s="1" t="str">
        <f aca="false">IF(I13&gt;6,"TEA",IF(I13&gt;3,"TEP","TED"))</f>
        <v>TEA</v>
      </c>
    </row>
    <row r="14" s="1" customFormat="true" ht="15.65" hidden="false" customHeight="false" outlineLevel="0" collapsed="false">
      <c r="A14" s="1" t="n">
        <v>13</v>
      </c>
      <c r="B14" s="2" t="s">
        <v>55</v>
      </c>
      <c r="C14" s="5" t="n">
        <v>1</v>
      </c>
      <c r="D14" s="5" t="n">
        <v>7</v>
      </c>
      <c r="E14" s="2" t="n">
        <v>2</v>
      </c>
      <c r="F14" s="1" t="n">
        <v>2</v>
      </c>
      <c r="G14" s="1" t="n">
        <v>10</v>
      </c>
      <c r="H14" s="1" t="n">
        <v>3</v>
      </c>
      <c r="I14" s="1" t="n">
        <f aca="false">ROUND(AVERAGE(C14,D14,E14,F14,G14,H14),0)</f>
        <v>4</v>
      </c>
      <c r="J14" s="1" t="str">
        <f aca="false">IF(I14&gt;6,"TEA",IF(I14&gt;3,"TEP","TED"))</f>
        <v>TEP</v>
      </c>
    </row>
    <row r="15" s="6" customFormat="true" ht="15.65" hidden="false" customHeight="false" outlineLevel="0" collapsed="false">
      <c r="A15" s="6" t="n">
        <v>14</v>
      </c>
      <c r="B15" s="7" t="s">
        <v>58</v>
      </c>
      <c r="C15" s="8" t="n">
        <v>1</v>
      </c>
      <c r="D15" s="8" t="n">
        <v>1</v>
      </c>
      <c r="E15" s="6" t="n">
        <v>1</v>
      </c>
      <c r="F15" s="6" t="n">
        <v>1</v>
      </c>
      <c r="G15" s="6" t="n">
        <v>2</v>
      </c>
      <c r="H15" s="6" t="n">
        <v>1</v>
      </c>
      <c r="I15" s="6" t="n">
        <f aca="false">ROUND(AVERAGE(C15,D15,E15,F15,G15,H15),0)</f>
        <v>1</v>
      </c>
      <c r="J15" s="6" t="str">
        <f aca="false">IF(I15&gt;6,"TEA",IF(I15&gt;3,"TEP","TED"))</f>
        <v>TED</v>
      </c>
      <c r="K15" s="6" t="s">
        <v>74</v>
      </c>
    </row>
    <row r="16" s="2" customFormat="true" ht="15.65" hidden="false" customHeight="false" outlineLevel="0" collapsed="false">
      <c r="A16" s="1" t="n">
        <v>15</v>
      </c>
      <c r="B16" s="2" t="s">
        <v>62</v>
      </c>
      <c r="C16" s="5" t="n">
        <v>10</v>
      </c>
      <c r="D16" s="5" t="n">
        <v>10</v>
      </c>
      <c r="E16" s="1" t="n">
        <v>9</v>
      </c>
      <c r="F16" s="1" t="n">
        <v>6</v>
      </c>
      <c r="G16" s="2" t="n">
        <v>9</v>
      </c>
      <c r="H16" s="1" t="n">
        <v>1</v>
      </c>
      <c r="I16" s="1" t="n">
        <f aca="false">ROUND(AVERAGE(C16,D16,E16,F16,G16,H16),0)</f>
        <v>8</v>
      </c>
      <c r="J16" s="1" t="str">
        <f aca="false">IF(I16&gt;6,"TEA",IF(I16&gt;3,"TEP","TED"))</f>
        <v>TEA</v>
      </c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customFormat="false" ht="15.65" hidden="false" customHeight="false" outlineLevel="0" collapsed="false"/>
    <row r="18" customFormat="false" ht="15.65" hidden="false" customHeight="false" outlineLevel="0" collapsed="false"/>
  </sheetData>
  <conditionalFormatting sqref="C2:D16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conditionalFormatting sqref="E2:J16">
    <cfRule type="cellIs" priority="5" operator="greaterThan" aboveAverage="0" equalAverage="0" bottom="0" percent="0" rank="0" text="" dxfId="0">
      <formula>6</formula>
    </cfRule>
    <cfRule type="cellIs" priority="6" operator="between" aboveAverage="0" equalAverage="0" bottom="0" percent="0" rank="0" text="" dxfId="1">
      <formula>4</formula>
      <formula>6</formula>
    </cfRule>
    <cfRule type="cellIs" priority="7" operator="lessThan" aboveAverage="0" equalAverage="0" bottom="0" percent="0" rank="0" text="" dxfId="2">
      <formula>4</formula>
    </cfRule>
    <cfRule type="cellIs" priority="8" operator="equal" aboveAverage="0" equalAverage="0" bottom="0" percent="0" rank="0" text="" dxfId="3">
      <formula>"TEA"</formula>
    </cfRule>
    <cfRule type="cellIs" priority="9" operator="equal" aboveAverage="0" equalAverage="0" bottom="0" percent="0" rank="0" text="" dxfId="1">
      <formula>"TEP"</formula>
    </cfRule>
    <cfRule type="cellIs" priority="10" operator="equal" aboveAverage="0" equalAverage="0" bottom="0" percent="0" rank="0" text="" dxfId="2">
      <formula>"TED"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1" sqref="AK18:AK21 G6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38"/>
    <col collapsed="false" customWidth="true" hidden="false" outlineLevel="0" max="3" min="2" style="1" width="17.89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75</v>
      </c>
      <c r="E1" s="1" t="s">
        <v>76</v>
      </c>
      <c r="F1" s="1" t="s">
        <v>77</v>
      </c>
      <c r="G1" s="1" t="s">
        <v>78</v>
      </c>
    </row>
    <row r="2" customFormat="false" ht="15" hidden="false" customHeight="false" outlineLevel="0" collapsed="false">
      <c r="A2" s="1" t="n">
        <v>1</v>
      </c>
      <c r="B2" s="2" t="s">
        <v>13</v>
      </c>
      <c r="D2" s="1" t="n">
        <v>1</v>
      </c>
      <c r="G2" s="1" t="n">
        <v>1</v>
      </c>
    </row>
    <row r="3" customFormat="false" ht="15" hidden="false" customHeight="false" outlineLevel="0" collapsed="false">
      <c r="A3" s="6" t="n">
        <v>2</v>
      </c>
      <c r="B3" s="7" t="s">
        <v>20</v>
      </c>
      <c r="D3" s="1" t="n">
        <v>1</v>
      </c>
      <c r="G3" s="1" t="n">
        <v>1</v>
      </c>
    </row>
    <row r="4" customFormat="false" ht="15" hidden="false" customHeight="false" outlineLevel="0" collapsed="false">
      <c r="A4" s="1" t="n">
        <v>3</v>
      </c>
      <c r="B4" s="2" t="s">
        <v>24</v>
      </c>
      <c r="C4" s="1" t="s">
        <v>24</v>
      </c>
      <c r="D4" s="1" t="n">
        <v>10</v>
      </c>
      <c r="G4" s="1" t="n">
        <v>10</v>
      </c>
    </row>
    <row r="5" customFormat="false" ht="15" hidden="false" customHeight="false" outlineLevel="0" collapsed="false">
      <c r="A5" s="1" t="n">
        <v>4</v>
      </c>
      <c r="B5" s="2" t="s">
        <v>27</v>
      </c>
      <c r="C5" s="1" t="s">
        <v>27</v>
      </c>
      <c r="D5" s="1" t="n">
        <v>1</v>
      </c>
      <c r="G5" s="1" t="n">
        <v>1</v>
      </c>
    </row>
    <row r="6" customFormat="false" ht="15" hidden="false" customHeight="false" outlineLevel="0" collapsed="false">
      <c r="A6" s="1" t="n">
        <v>5</v>
      </c>
      <c r="B6" s="2" t="s">
        <v>30</v>
      </c>
      <c r="C6" s="1" t="s">
        <v>30</v>
      </c>
      <c r="D6" s="1" t="n">
        <v>7</v>
      </c>
      <c r="E6" s="1" t="n">
        <f aca="false">ROUND(AVERAGE(D6:D7),0)</f>
        <v>7</v>
      </c>
      <c r="F6" s="1" t="n">
        <v>6</v>
      </c>
      <c r="G6" s="1" t="n">
        <f aca="false">MAX(F6,E6)</f>
        <v>7</v>
      </c>
    </row>
    <row r="7" customFormat="false" ht="15" hidden="false" customHeight="false" outlineLevel="0" collapsed="false">
      <c r="C7" s="1" t="s">
        <v>30</v>
      </c>
      <c r="D7" s="1" t="n">
        <v>6</v>
      </c>
    </row>
    <row r="8" customFormat="false" ht="15" hidden="false" customHeight="false" outlineLevel="0" collapsed="false">
      <c r="A8" s="1" t="n">
        <v>6</v>
      </c>
      <c r="B8" s="2" t="s">
        <v>34</v>
      </c>
      <c r="D8" s="1" t="n">
        <v>1</v>
      </c>
      <c r="G8" s="1" t="n">
        <v>1</v>
      </c>
    </row>
    <row r="9" customFormat="false" ht="15" hidden="false" customHeight="false" outlineLevel="0" collapsed="false">
      <c r="A9" s="1" t="n">
        <v>7</v>
      </c>
      <c r="B9" s="2" t="s">
        <v>37</v>
      </c>
      <c r="C9" s="1" t="s">
        <v>37</v>
      </c>
      <c r="D9" s="1" t="n">
        <v>10</v>
      </c>
      <c r="G9" s="1" t="n">
        <v>10</v>
      </c>
    </row>
    <row r="10" customFormat="false" ht="15" hidden="false" customHeight="false" outlineLevel="0" collapsed="false">
      <c r="A10" s="1" t="n">
        <v>8</v>
      </c>
      <c r="B10" s="2" t="s">
        <v>40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9</v>
      </c>
      <c r="B11" s="2" t="s">
        <v>43</v>
      </c>
      <c r="C11" s="1" t="s">
        <v>43</v>
      </c>
      <c r="D11" s="1" t="n">
        <v>4</v>
      </c>
      <c r="G11" s="1" t="n">
        <v>4</v>
      </c>
    </row>
    <row r="12" customFormat="false" ht="15" hidden="false" customHeight="false" outlineLevel="0" collapsed="false">
      <c r="A12" s="1" t="n">
        <v>10</v>
      </c>
      <c r="B12" s="2" t="s">
        <v>46</v>
      </c>
      <c r="C12" s="1" t="s">
        <v>46</v>
      </c>
      <c r="D12" s="1" t="n">
        <v>9</v>
      </c>
      <c r="G12" s="1" t="n">
        <v>9</v>
      </c>
    </row>
    <row r="13" customFormat="false" ht="15" hidden="false" customHeight="false" outlineLevel="0" collapsed="false">
      <c r="A13" s="1" t="n">
        <v>11</v>
      </c>
      <c r="B13" s="2" t="s">
        <v>49</v>
      </c>
      <c r="D13" s="1" t="n">
        <v>1</v>
      </c>
      <c r="G13" s="1" t="n">
        <v>1</v>
      </c>
    </row>
    <row r="14" customFormat="false" ht="15" hidden="false" customHeight="false" outlineLevel="0" collapsed="false">
      <c r="A14" s="1" t="n">
        <v>12</v>
      </c>
      <c r="B14" s="2" t="s">
        <v>52</v>
      </c>
      <c r="C14" s="1" t="s">
        <v>52</v>
      </c>
      <c r="D14" s="1" t="n">
        <v>7</v>
      </c>
      <c r="G14" s="1" t="n">
        <v>7</v>
      </c>
    </row>
    <row r="15" customFormat="false" ht="15" hidden="false" customHeight="false" outlineLevel="0" collapsed="false">
      <c r="A15" s="1" t="n">
        <v>13</v>
      </c>
      <c r="B15" s="2" t="s">
        <v>55</v>
      </c>
      <c r="C15" s="1" t="s">
        <v>55</v>
      </c>
      <c r="D15" s="1" t="n">
        <v>1</v>
      </c>
      <c r="G15" s="1" t="n">
        <v>1</v>
      </c>
    </row>
    <row r="16" customFormat="false" ht="15" hidden="false" customHeight="false" outlineLevel="0" collapsed="false">
      <c r="A16" s="6" t="n">
        <v>14</v>
      </c>
      <c r="B16" s="7" t="s">
        <v>58</v>
      </c>
      <c r="D16" s="1" t="n">
        <v>1</v>
      </c>
      <c r="G16" s="1" t="n">
        <v>1</v>
      </c>
    </row>
    <row r="17" customFormat="false" ht="15" hidden="false" customHeight="false" outlineLevel="0" collapsed="false">
      <c r="A17" s="1" t="n">
        <v>15</v>
      </c>
      <c r="B17" s="2" t="s">
        <v>62</v>
      </c>
      <c r="C17" s="1" t="s">
        <v>62</v>
      </c>
      <c r="D17" s="1" t="n">
        <v>10</v>
      </c>
      <c r="G17" s="1" t="n">
        <v>10</v>
      </c>
    </row>
    <row r="18" customFormat="false" ht="15" hidden="false" customHeight="false" outlineLevel="0" collapsed="false">
      <c r="F18" s="1" t="s">
        <v>9</v>
      </c>
      <c r="G18" s="1" t="n">
        <f aca="false">COUNTIF(G2:G17,"&gt;0")</f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1" sqref="AK18:AK21 G19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3" min="2" style="1" width="17.4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75</v>
      </c>
      <c r="E1" s="1" t="s">
        <v>76</v>
      </c>
      <c r="F1" s="1" t="s">
        <v>77</v>
      </c>
      <c r="G1" s="1" t="s">
        <v>79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n">
        <v>8</v>
      </c>
      <c r="G2" s="1" t="n">
        <v>8</v>
      </c>
    </row>
    <row r="3" customFormat="false" ht="15" hidden="false" customHeight="false" outlineLevel="0" collapsed="false">
      <c r="A3" s="6" t="n">
        <v>2</v>
      </c>
      <c r="B3" s="7" t="s">
        <v>20</v>
      </c>
      <c r="D3" s="1" t="n">
        <v>1</v>
      </c>
      <c r="G3" s="1" t="n">
        <v>1</v>
      </c>
    </row>
    <row r="4" customFormat="false" ht="15" hidden="false" customHeight="false" outlineLevel="0" collapsed="false">
      <c r="A4" s="1" t="n">
        <v>3</v>
      </c>
      <c r="B4" s="2" t="s">
        <v>24</v>
      </c>
      <c r="C4" s="1" t="s">
        <v>24</v>
      </c>
      <c r="D4" s="1" t="n">
        <v>8</v>
      </c>
      <c r="G4" s="1" t="n">
        <v>8</v>
      </c>
    </row>
    <row r="5" customFormat="false" ht="15" hidden="false" customHeight="false" outlineLevel="0" collapsed="false">
      <c r="A5" s="1" t="n">
        <v>4</v>
      </c>
      <c r="B5" s="2" t="s">
        <v>27</v>
      </c>
      <c r="C5" s="1" t="s">
        <v>27</v>
      </c>
      <c r="D5" s="1" t="n">
        <v>8</v>
      </c>
      <c r="G5" s="1" t="n">
        <v>8</v>
      </c>
    </row>
    <row r="6" customFormat="false" ht="15" hidden="false" customHeight="false" outlineLevel="0" collapsed="false">
      <c r="A6" s="1" t="n">
        <v>5</v>
      </c>
      <c r="B6" s="2" t="s">
        <v>30</v>
      </c>
      <c r="C6" s="1" t="s">
        <v>30</v>
      </c>
      <c r="D6" s="1" t="n">
        <v>10</v>
      </c>
      <c r="G6" s="1" t="n">
        <v>10</v>
      </c>
    </row>
    <row r="7" customFormat="false" ht="15" hidden="false" customHeight="false" outlineLevel="0" collapsed="false">
      <c r="A7" s="1" t="n">
        <v>6</v>
      </c>
      <c r="B7" s="2" t="s">
        <v>34</v>
      </c>
      <c r="C7" s="1" t="s">
        <v>34</v>
      </c>
      <c r="D7" s="1" t="n">
        <v>10</v>
      </c>
      <c r="G7" s="1" t="n">
        <v>10</v>
      </c>
    </row>
    <row r="8" customFormat="false" ht="15" hidden="false" customHeight="false" outlineLevel="0" collapsed="false">
      <c r="A8" s="1" t="n">
        <v>7</v>
      </c>
      <c r="B8" s="2" t="s">
        <v>37</v>
      </c>
      <c r="C8" s="1" t="s">
        <v>37</v>
      </c>
      <c r="D8" s="1" t="n">
        <v>8</v>
      </c>
      <c r="G8" s="1" t="n">
        <v>8</v>
      </c>
    </row>
    <row r="9" customFormat="false" ht="15" hidden="false" customHeight="false" outlineLevel="0" collapsed="false">
      <c r="A9" s="1" t="n">
        <v>8</v>
      </c>
      <c r="B9" s="2" t="s">
        <v>40</v>
      </c>
      <c r="D9" s="1" t="n">
        <v>1</v>
      </c>
      <c r="G9" s="1" t="n">
        <v>1</v>
      </c>
    </row>
    <row r="10" customFormat="false" ht="15" hidden="false" customHeight="false" outlineLevel="0" collapsed="false">
      <c r="A10" s="1" t="n">
        <v>9</v>
      </c>
      <c r="B10" s="2" t="s">
        <v>43</v>
      </c>
      <c r="C10" s="1" t="s">
        <v>43</v>
      </c>
      <c r="D10" s="1" t="n">
        <v>10</v>
      </c>
      <c r="G10" s="1" t="n">
        <v>10</v>
      </c>
    </row>
    <row r="11" customFormat="false" ht="15" hidden="false" customHeight="false" outlineLevel="0" collapsed="false">
      <c r="A11" s="1" t="n">
        <v>10</v>
      </c>
      <c r="B11" s="2" t="s">
        <v>46</v>
      </c>
      <c r="C11" s="1" t="s">
        <v>46</v>
      </c>
      <c r="D11" s="1" t="n">
        <v>10</v>
      </c>
      <c r="G11" s="1" t="n">
        <v>10</v>
      </c>
    </row>
    <row r="12" customFormat="false" ht="15" hidden="false" customHeight="false" outlineLevel="0" collapsed="false">
      <c r="A12" s="1" t="n">
        <v>11</v>
      </c>
      <c r="B12" s="2" t="s">
        <v>49</v>
      </c>
      <c r="C12" s="1" t="s">
        <v>49</v>
      </c>
      <c r="D12" s="1" t="n">
        <v>10</v>
      </c>
      <c r="G12" s="1" t="n">
        <v>10</v>
      </c>
    </row>
    <row r="13" customFormat="false" ht="15" hidden="false" customHeight="false" outlineLevel="0" collapsed="false">
      <c r="A13" s="1" t="n">
        <v>12</v>
      </c>
      <c r="B13" s="2" t="s">
        <v>52</v>
      </c>
      <c r="C13" s="1" t="s">
        <v>52</v>
      </c>
      <c r="D13" s="1" t="n">
        <v>9</v>
      </c>
      <c r="E13" s="1" t="n">
        <f aca="false">ROUND(AVERAGE(D13:D17),0)</f>
        <v>7</v>
      </c>
      <c r="F13" s="1" t="n">
        <v>7</v>
      </c>
      <c r="G13" s="1" t="n">
        <f aca="false">MAX(F13,E13)</f>
        <v>7</v>
      </c>
    </row>
    <row r="14" customFormat="false" ht="15" hidden="false" customHeight="false" outlineLevel="0" collapsed="false">
      <c r="C14" s="1" t="s">
        <v>52</v>
      </c>
      <c r="D14" s="1" t="n">
        <v>7</v>
      </c>
    </row>
    <row r="15" customFormat="false" ht="15" hidden="false" customHeight="false" outlineLevel="0" collapsed="false">
      <c r="C15" s="1" t="s">
        <v>52</v>
      </c>
      <c r="D15" s="1" t="n">
        <v>7</v>
      </c>
    </row>
    <row r="16" customFormat="false" ht="15" hidden="false" customHeight="false" outlineLevel="0" collapsed="false">
      <c r="C16" s="1" t="s">
        <v>52</v>
      </c>
      <c r="D16" s="1" t="n">
        <v>6</v>
      </c>
    </row>
    <row r="17" customFormat="false" ht="15" hidden="false" customHeight="false" outlineLevel="0" collapsed="false">
      <c r="A17" s="1" t="n">
        <v>13</v>
      </c>
      <c r="B17" s="2" t="s">
        <v>55</v>
      </c>
      <c r="C17" s="1" t="s">
        <v>55</v>
      </c>
      <c r="D17" s="1" t="n">
        <v>7</v>
      </c>
      <c r="G17" s="1" t="n">
        <v>7</v>
      </c>
    </row>
    <row r="18" customFormat="false" ht="15" hidden="false" customHeight="false" outlineLevel="0" collapsed="false">
      <c r="A18" s="6" t="n">
        <v>14</v>
      </c>
      <c r="B18" s="7" t="s">
        <v>58</v>
      </c>
      <c r="D18" s="1" t="n">
        <v>1</v>
      </c>
      <c r="G18" s="1" t="n">
        <v>1</v>
      </c>
    </row>
    <row r="19" customFormat="false" ht="15" hidden="false" customHeight="false" outlineLevel="0" collapsed="false">
      <c r="A19" s="1" t="n">
        <v>15</v>
      </c>
      <c r="B19" s="2" t="s">
        <v>62</v>
      </c>
      <c r="C19" s="1" t="s">
        <v>62</v>
      </c>
      <c r="D19" s="1" t="n">
        <v>10</v>
      </c>
      <c r="G19" s="1" t="n">
        <v>10</v>
      </c>
    </row>
    <row r="20" customFormat="false" ht="15" hidden="false" customHeight="false" outlineLevel="0" collapsed="false">
      <c r="F20" s="1" t="s">
        <v>9</v>
      </c>
      <c r="G20" s="1" t="n">
        <f aca="false">COUNTIF(G2:G19,"&gt;0")</f>
        <v>15</v>
      </c>
    </row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1" sqref="AK18:AK21 G18"/>
    </sheetView>
  </sheetViews>
  <sheetFormatPr defaultColWidth="10.58203125" defaultRowHeight="12.8" zeroHeight="false" outlineLevelRow="0" outlineLevelCol="0"/>
  <cols>
    <col collapsed="false" customWidth="true" hidden="false" outlineLevel="0" max="3" min="2" style="1" width="17.4"/>
    <col collapsed="false" customWidth="true" hidden="false" outlineLevel="0" max="4" min="4" style="1" width="3.48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75</v>
      </c>
      <c r="E1" s="1" t="s">
        <v>76</v>
      </c>
      <c r="F1" s="1" t="s">
        <v>77</v>
      </c>
      <c r="G1" s="1" t="s">
        <v>78</v>
      </c>
    </row>
    <row r="2" customFormat="false" ht="15" hidden="false" customHeight="false" outlineLevel="0" collapsed="false">
      <c r="A2" s="1" t="n">
        <v>1</v>
      </c>
      <c r="B2" s="2" t="s">
        <v>13</v>
      </c>
      <c r="D2" s="1" t="n">
        <v>1</v>
      </c>
      <c r="G2" s="1" t="n">
        <v>1</v>
      </c>
    </row>
    <row r="3" customFormat="false" ht="15" hidden="false" customHeight="false" outlineLevel="0" collapsed="false">
      <c r="A3" s="6" t="n">
        <v>2</v>
      </c>
      <c r="B3" s="7" t="s">
        <v>20</v>
      </c>
      <c r="D3" s="1" t="n">
        <v>1</v>
      </c>
      <c r="G3" s="1" t="n">
        <v>1</v>
      </c>
    </row>
    <row r="4" customFormat="false" ht="15" hidden="false" customHeight="false" outlineLevel="0" collapsed="false">
      <c r="A4" s="1" t="n">
        <v>3</v>
      </c>
      <c r="B4" s="2" t="s">
        <v>24</v>
      </c>
      <c r="C4" s="1" t="s">
        <v>24</v>
      </c>
      <c r="D4" s="1" t="n">
        <v>9</v>
      </c>
      <c r="G4" s="1" t="n">
        <v>9</v>
      </c>
    </row>
    <row r="5" customFormat="false" ht="15" hidden="false" customHeight="false" outlineLevel="0" collapsed="false">
      <c r="A5" s="1" t="n">
        <v>4</v>
      </c>
      <c r="B5" s="2" t="s">
        <v>27</v>
      </c>
      <c r="C5" s="1" t="s">
        <v>27</v>
      </c>
      <c r="D5" s="1" t="n">
        <v>9</v>
      </c>
      <c r="G5" s="1" t="n">
        <v>9</v>
      </c>
    </row>
    <row r="6" customFormat="false" ht="15" hidden="false" customHeight="false" outlineLevel="0" collapsed="false">
      <c r="A6" s="1" t="n">
        <v>5</v>
      </c>
      <c r="B6" s="2" t="s">
        <v>30</v>
      </c>
      <c r="C6" s="1" t="s">
        <v>30</v>
      </c>
      <c r="D6" s="1" t="n">
        <v>7</v>
      </c>
      <c r="G6" s="1" t="n">
        <v>7</v>
      </c>
    </row>
    <row r="7" customFormat="false" ht="15" hidden="false" customHeight="false" outlineLevel="0" collapsed="false">
      <c r="A7" s="1" t="n">
        <v>6</v>
      </c>
      <c r="B7" s="2" t="s">
        <v>34</v>
      </c>
      <c r="C7" s="1" t="s">
        <v>34</v>
      </c>
      <c r="D7" s="1" t="n">
        <v>9</v>
      </c>
      <c r="G7" s="1" t="n">
        <v>9</v>
      </c>
    </row>
    <row r="8" customFormat="false" ht="15" hidden="false" customHeight="false" outlineLevel="0" collapsed="false">
      <c r="A8" s="1" t="n">
        <v>7</v>
      </c>
      <c r="B8" s="2" t="s">
        <v>37</v>
      </c>
      <c r="C8" s="1" t="s">
        <v>37</v>
      </c>
      <c r="D8" s="1" t="n">
        <v>7</v>
      </c>
      <c r="G8" s="1" t="n">
        <v>7</v>
      </c>
    </row>
    <row r="9" customFormat="false" ht="15" hidden="false" customHeight="false" outlineLevel="0" collapsed="false">
      <c r="A9" s="1" t="n">
        <v>8</v>
      </c>
      <c r="B9" s="2" t="s">
        <v>40</v>
      </c>
      <c r="D9" s="1" t="n">
        <v>1</v>
      </c>
      <c r="G9" s="1" t="n">
        <v>1</v>
      </c>
    </row>
    <row r="10" customFormat="false" ht="15" hidden="false" customHeight="false" outlineLevel="0" collapsed="false">
      <c r="A10" s="1" t="n">
        <v>9</v>
      </c>
      <c r="B10" s="2" t="s">
        <v>43</v>
      </c>
      <c r="C10" s="1" t="s">
        <v>43</v>
      </c>
      <c r="D10" s="1" t="n">
        <v>10</v>
      </c>
      <c r="E10" s="1" t="n">
        <f aca="false">ROUND(AVERAGE(D10:D11),0)</f>
        <v>9</v>
      </c>
      <c r="F10" s="1" t="n">
        <v>8</v>
      </c>
      <c r="G10" s="1" t="n">
        <f aca="false">MAX(F10,E10)</f>
        <v>9</v>
      </c>
    </row>
    <row r="11" customFormat="false" ht="15" hidden="false" customHeight="false" outlineLevel="0" collapsed="false">
      <c r="C11" s="1" t="s">
        <v>43</v>
      </c>
      <c r="D11" s="1" t="n">
        <v>8</v>
      </c>
    </row>
    <row r="12" customFormat="false" ht="15" hidden="false" customHeight="false" outlineLevel="0" collapsed="false">
      <c r="A12" s="1" t="n">
        <v>10</v>
      </c>
      <c r="B12" s="2" t="s">
        <v>46</v>
      </c>
      <c r="C12" s="1" t="s">
        <v>46</v>
      </c>
      <c r="D12" s="1" t="n">
        <v>10</v>
      </c>
      <c r="G12" s="1" t="n">
        <v>10</v>
      </c>
    </row>
    <row r="13" customFormat="false" ht="15" hidden="false" customHeight="false" outlineLevel="0" collapsed="false">
      <c r="A13" s="1" t="n">
        <v>11</v>
      </c>
      <c r="B13" s="2" t="s">
        <v>49</v>
      </c>
      <c r="C13" s="1" t="s">
        <v>49</v>
      </c>
      <c r="D13" s="1" t="n">
        <v>10</v>
      </c>
      <c r="G13" s="1" t="n">
        <v>10</v>
      </c>
    </row>
    <row r="14" customFormat="false" ht="15" hidden="false" customHeight="false" outlineLevel="0" collapsed="false">
      <c r="A14" s="1" t="n">
        <v>12</v>
      </c>
      <c r="B14" s="2" t="s">
        <v>52</v>
      </c>
      <c r="C14" s="1" t="s">
        <v>52</v>
      </c>
      <c r="D14" s="1" t="n">
        <v>10</v>
      </c>
      <c r="E14" s="1" t="n">
        <f aca="false">ROUND(AVERAGE(D14:D15),0)</f>
        <v>10</v>
      </c>
      <c r="F14" s="1" t="n">
        <v>9</v>
      </c>
      <c r="G14" s="1" t="n">
        <f aca="false">MAX(F14,E14)</f>
        <v>10</v>
      </c>
    </row>
    <row r="15" customFormat="false" ht="15" hidden="false" customHeight="false" outlineLevel="0" collapsed="false">
      <c r="C15" s="1" t="s">
        <v>52</v>
      </c>
      <c r="D15" s="1" t="n">
        <v>9</v>
      </c>
    </row>
    <row r="16" customFormat="false" ht="15" hidden="false" customHeight="false" outlineLevel="0" collapsed="false">
      <c r="A16" s="1" t="n">
        <v>13</v>
      </c>
      <c r="B16" s="2" t="s">
        <v>55</v>
      </c>
      <c r="C16" s="1" t="s">
        <v>55</v>
      </c>
      <c r="D16" s="1" t="n">
        <v>2</v>
      </c>
      <c r="G16" s="1" t="n">
        <v>2</v>
      </c>
    </row>
    <row r="17" customFormat="false" ht="15" hidden="false" customHeight="false" outlineLevel="0" collapsed="false">
      <c r="A17" s="6" t="n">
        <v>14</v>
      </c>
      <c r="B17" s="7" t="s">
        <v>58</v>
      </c>
      <c r="D17" s="1" t="n">
        <v>1</v>
      </c>
      <c r="G17" s="1" t="n">
        <v>1</v>
      </c>
    </row>
    <row r="18" customFormat="false" ht="15" hidden="false" customHeight="false" outlineLevel="0" collapsed="false">
      <c r="A18" s="1" t="n">
        <v>15</v>
      </c>
      <c r="B18" s="2" t="s">
        <v>62</v>
      </c>
      <c r="C18" s="1" t="s">
        <v>62</v>
      </c>
      <c r="D18" s="1" t="n">
        <v>9</v>
      </c>
      <c r="G18" s="1" t="n">
        <v>9</v>
      </c>
    </row>
    <row r="19" customFormat="false" ht="15" hidden="false" customHeight="false" outlineLevel="0" collapsed="false">
      <c r="F19" s="1" t="s">
        <v>9</v>
      </c>
      <c r="G19" s="1" t="n">
        <f aca="false">COUNTIF(G2:G18,"&gt;0")</f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1" sqref="AK18:AK21 G19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7.4"/>
    <col collapsed="false" customWidth="true" hidden="false" outlineLevel="0" max="3" min="3" style="1" width="14.0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75</v>
      </c>
      <c r="E1" s="1" t="s">
        <v>76</v>
      </c>
      <c r="F1" s="1" t="s">
        <v>80</v>
      </c>
      <c r="G1" s="1" t="s">
        <v>78</v>
      </c>
    </row>
    <row r="2" customFormat="false" ht="15" hidden="false" customHeight="false" outlineLevel="0" collapsed="false">
      <c r="A2" s="1" t="n">
        <v>1</v>
      </c>
      <c r="B2" s="2" t="s">
        <v>13</v>
      </c>
      <c r="D2" s="1" t="n">
        <v>1</v>
      </c>
      <c r="G2" s="1" t="n">
        <v>1</v>
      </c>
    </row>
    <row r="3" customFormat="false" ht="15" hidden="false" customHeight="false" outlineLevel="0" collapsed="false">
      <c r="A3" s="6" t="n">
        <v>2</v>
      </c>
      <c r="B3" s="7" t="s">
        <v>20</v>
      </c>
      <c r="D3" s="1" t="n">
        <v>1</v>
      </c>
      <c r="G3" s="1" t="n">
        <v>1</v>
      </c>
    </row>
    <row r="4" customFormat="false" ht="15" hidden="false" customHeight="false" outlineLevel="0" collapsed="false">
      <c r="A4" s="1" t="n">
        <v>3</v>
      </c>
      <c r="B4" s="2" t="s">
        <v>24</v>
      </c>
      <c r="C4" s="1" t="s">
        <v>24</v>
      </c>
      <c r="D4" s="1" t="n">
        <v>10</v>
      </c>
      <c r="G4" s="1" t="n">
        <v>10</v>
      </c>
    </row>
    <row r="5" customFormat="false" ht="15" hidden="false" customHeight="false" outlineLevel="0" collapsed="false">
      <c r="A5" s="1" t="n">
        <v>4</v>
      </c>
      <c r="B5" s="2" t="s">
        <v>27</v>
      </c>
      <c r="C5" s="1" t="s">
        <v>27</v>
      </c>
      <c r="D5" s="1" t="n">
        <v>10</v>
      </c>
      <c r="G5" s="1" t="n">
        <v>10</v>
      </c>
    </row>
    <row r="6" customFormat="false" ht="15" hidden="false" customHeight="false" outlineLevel="0" collapsed="false">
      <c r="A6" s="1" t="n">
        <v>5</v>
      </c>
      <c r="B6" s="2" t="s">
        <v>30</v>
      </c>
      <c r="C6" s="1" t="s">
        <v>30</v>
      </c>
      <c r="D6" s="1" t="n">
        <v>9</v>
      </c>
      <c r="E6" s="1" t="n">
        <f aca="false">ROUND(AVERAGE(D6:D7),0)</f>
        <v>8</v>
      </c>
      <c r="F6" s="1" t="n">
        <v>6</v>
      </c>
      <c r="G6" s="1" t="n">
        <f aca="false">MAX(F6,E6)</f>
        <v>8</v>
      </c>
    </row>
    <row r="7" customFormat="false" ht="15" hidden="false" customHeight="false" outlineLevel="0" collapsed="false">
      <c r="C7" s="1" t="s">
        <v>30</v>
      </c>
      <c r="D7" s="1" t="n">
        <v>6</v>
      </c>
    </row>
    <row r="8" customFormat="false" ht="15" hidden="false" customHeight="false" outlineLevel="0" collapsed="false">
      <c r="A8" s="1" t="n">
        <v>6</v>
      </c>
      <c r="B8" s="2" t="s">
        <v>34</v>
      </c>
      <c r="D8" s="1" t="n">
        <v>1</v>
      </c>
      <c r="G8" s="1" t="n">
        <v>1</v>
      </c>
    </row>
    <row r="9" customFormat="false" ht="15" hidden="false" customHeight="false" outlineLevel="0" collapsed="false">
      <c r="A9" s="1" t="n">
        <v>7</v>
      </c>
      <c r="B9" s="2" t="s">
        <v>37</v>
      </c>
      <c r="D9" s="1" t="n">
        <v>1</v>
      </c>
      <c r="G9" s="1" t="n">
        <v>1</v>
      </c>
    </row>
    <row r="10" customFormat="false" ht="15" hidden="false" customHeight="false" outlineLevel="0" collapsed="false">
      <c r="A10" s="1" t="n">
        <v>8</v>
      </c>
      <c r="B10" s="2" t="s">
        <v>40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9</v>
      </c>
      <c r="B11" s="2" t="s">
        <v>43</v>
      </c>
      <c r="C11" s="1" t="s">
        <v>43</v>
      </c>
      <c r="D11" s="1" t="n">
        <v>10</v>
      </c>
      <c r="E11" s="1" t="n">
        <f aca="false">ROUND(AVERAGE(D11:D13),0)</f>
        <v>9</v>
      </c>
      <c r="F11" s="1" t="n">
        <v>9</v>
      </c>
      <c r="G11" s="1" t="n">
        <f aca="false">MAX(F11,E11)</f>
        <v>9</v>
      </c>
    </row>
    <row r="12" customFormat="false" ht="15" hidden="false" customHeight="false" outlineLevel="0" collapsed="false">
      <c r="C12" s="1" t="s">
        <v>43</v>
      </c>
      <c r="D12" s="1" t="n">
        <v>9</v>
      </c>
    </row>
    <row r="13" customFormat="false" ht="15" hidden="false" customHeight="false" outlineLevel="0" collapsed="false">
      <c r="C13" s="1" t="s">
        <v>43</v>
      </c>
      <c r="D13" s="1" t="n">
        <v>9</v>
      </c>
    </row>
    <row r="14" customFormat="false" ht="15" hidden="false" customHeight="false" outlineLevel="0" collapsed="false">
      <c r="A14" s="1" t="n">
        <v>10</v>
      </c>
      <c r="B14" s="2" t="s">
        <v>46</v>
      </c>
      <c r="D14" s="1" t="n">
        <v>1</v>
      </c>
      <c r="G14" s="1" t="n">
        <v>1</v>
      </c>
    </row>
    <row r="15" customFormat="false" ht="15" hidden="false" customHeight="false" outlineLevel="0" collapsed="false">
      <c r="A15" s="1" t="n">
        <v>11</v>
      </c>
      <c r="B15" s="2" t="s">
        <v>49</v>
      </c>
      <c r="D15" s="1" t="n">
        <v>1</v>
      </c>
      <c r="G15" s="1" t="n">
        <v>1</v>
      </c>
    </row>
    <row r="16" customFormat="false" ht="15" hidden="false" customHeight="false" outlineLevel="0" collapsed="false">
      <c r="A16" s="1" t="n">
        <v>12</v>
      </c>
      <c r="B16" s="2" t="s">
        <v>52</v>
      </c>
      <c r="D16" s="1" t="n">
        <v>1</v>
      </c>
      <c r="G16" s="1" t="n">
        <v>1</v>
      </c>
    </row>
    <row r="17" customFormat="false" ht="15" hidden="false" customHeight="false" outlineLevel="0" collapsed="false">
      <c r="A17" s="1" t="n">
        <v>13</v>
      </c>
      <c r="B17" s="2" t="s">
        <v>55</v>
      </c>
      <c r="C17" s="1" t="s">
        <v>55</v>
      </c>
      <c r="D17" s="1" t="n">
        <v>2</v>
      </c>
      <c r="G17" s="1" t="n">
        <v>2</v>
      </c>
    </row>
    <row r="18" customFormat="false" ht="15" hidden="false" customHeight="false" outlineLevel="0" collapsed="false">
      <c r="A18" s="6" t="n">
        <v>14</v>
      </c>
      <c r="B18" s="7" t="s">
        <v>58</v>
      </c>
      <c r="D18" s="1" t="n">
        <v>1</v>
      </c>
      <c r="G18" s="1" t="n">
        <v>1</v>
      </c>
    </row>
    <row r="19" customFormat="false" ht="15" hidden="false" customHeight="false" outlineLevel="0" collapsed="false">
      <c r="A19" s="1" t="n">
        <v>15</v>
      </c>
      <c r="B19" s="2" t="s">
        <v>62</v>
      </c>
      <c r="C19" s="1" t="s">
        <v>62</v>
      </c>
      <c r="D19" s="1" t="n">
        <v>6</v>
      </c>
      <c r="G19" s="1" t="n">
        <v>6</v>
      </c>
    </row>
    <row r="20" customFormat="false" ht="15" hidden="false" customHeight="false" outlineLevel="0" collapsed="false">
      <c r="F20" s="1" t="s">
        <v>9</v>
      </c>
      <c r="G20" s="1" t="n">
        <f aca="false">COUNTIF(G2:G19,"&gt;0")</f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AK18:AK21 D2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3" min="2" style="1" width="17.4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75</v>
      </c>
    </row>
    <row r="2" customFormat="false" ht="15" hidden="false" customHeight="false" outlineLevel="0" collapsed="false">
      <c r="A2" s="1" t="n">
        <v>1</v>
      </c>
      <c r="B2" s="2" t="s">
        <v>13</v>
      </c>
      <c r="D2" s="1" t="n">
        <v>1</v>
      </c>
    </row>
    <row r="3" customFormat="false" ht="15" hidden="false" customHeight="false" outlineLevel="0" collapsed="false">
      <c r="A3" s="6" t="n">
        <v>2</v>
      </c>
      <c r="B3" s="7" t="s">
        <v>20</v>
      </c>
      <c r="D3" s="1" t="n">
        <v>1</v>
      </c>
    </row>
    <row r="4" customFormat="false" ht="15" hidden="false" customHeight="false" outlineLevel="0" collapsed="false">
      <c r="A4" s="1" t="n">
        <v>3</v>
      </c>
      <c r="B4" s="2" t="s">
        <v>24</v>
      </c>
      <c r="C4" s="1" t="s">
        <v>24</v>
      </c>
      <c r="D4" s="1" t="n">
        <v>8.5</v>
      </c>
    </row>
    <row r="5" customFormat="false" ht="15" hidden="false" customHeight="false" outlineLevel="0" collapsed="false">
      <c r="A5" s="1" t="n">
        <v>4</v>
      </c>
      <c r="B5" s="2" t="s">
        <v>27</v>
      </c>
      <c r="D5" s="1" t="n">
        <v>1</v>
      </c>
    </row>
    <row r="6" customFormat="false" ht="15" hidden="false" customHeight="false" outlineLevel="0" collapsed="false">
      <c r="A6" s="1" t="n">
        <v>5</v>
      </c>
      <c r="B6" s="2" t="s">
        <v>30</v>
      </c>
      <c r="C6" s="1" t="s">
        <v>30</v>
      </c>
      <c r="D6" s="1" t="n">
        <v>7</v>
      </c>
    </row>
    <row r="7" customFormat="false" ht="15" hidden="false" customHeight="false" outlineLevel="0" collapsed="false">
      <c r="A7" s="1" t="n">
        <v>6</v>
      </c>
      <c r="B7" s="2" t="s">
        <v>34</v>
      </c>
      <c r="C7" s="1" t="s">
        <v>34</v>
      </c>
      <c r="D7" s="1" t="n">
        <v>9.25</v>
      </c>
    </row>
    <row r="8" customFormat="false" ht="15" hidden="false" customHeight="false" outlineLevel="0" collapsed="false">
      <c r="A8" s="1" t="n">
        <v>7</v>
      </c>
      <c r="B8" s="2" t="s">
        <v>37</v>
      </c>
      <c r="C8" s="1" t="s">
        <v>37</v>
      </c>
      <c r="D8" s="1" t="n">
        <v>8.75</v>
      </c>
    </row>
    <row r="9" customFormat="false" ht="15" hidden="false" customHeight="false" outlineLevel="0" collapsed="false">
      <c r="A9" s="1" t="n">
        <v>8</v>
      </c>
      <c r="B9" s="2" t="s">
        <v>40</v>
      </c>
      <c r="C9" s="1" t="s">
        <v>40</v>
      </c>
      <c r="D9" s="1" t="n">
        <v>4.5</v>
      </c>
    </row>
    <row r="10" customFormat="false" ht="15" hidden="false" customHeight="false" outlineLevel="0" collapsed="false">
      <c r="A10" s="1" t="n">
        <v>9</v>
      </c>
      <c r="B10" s="2" t="s">
        <v>43</v>
      </c>
      <c r="C10" s="1" t="s">
        <v>43</v>
      </c>
      <c r="D10" s="1" t="n">
        <v>8.75</v>
      </c>
    </row>
    <row r="11" customFormat="false" ht="15" hidden="false" customHeight="false" outlineLevel="0" collapsed="false">
      <c r="A11" s="1" t="n">
        <v>10</v>
      </c>
      <c r="B11" s="2" t="s">
        <v>46</v>
      </c>
      <c r="C11" s="1" t="s">
        <v>46</v>
      </c>
      <c r="D11" s="1" t="n">
        <v>8.5</v>
      </c>
    </row>
    <row r="12" customFormat="false" ht="15" hidden="false" customHeight="false" outlineLevel="0" collapsed="false">
      <c r="A12" s="1" t="n">
        <v>11</v>
      </c>
      <c r="B12" s="2" t="s">
        <v>49</v>
      </c>
      <c r="D12" s="1" t="n">
        <v>1</v>
      </c>
    </row>
    <row r="13" customFormat="false" ht="15" hidden="false" customHeight="false" outlineLevel="0" collapsed="false">
      <c r="A13" s="1" t="n">
        <v>12</v>
      </c>
      <c r="B13" s="2" t="s">
        <v>52</v>
      </c>
      <c r="C13" s="1" t="s">
        <v>52</v>
      </c>
      <c r="D13" s="1" t="n">
        <v>9</v>
      </c>
    </row>
    <row r="14" customFormat="false" ht="15" hidden="false" customHeight="false" outlineLevel="0" collapsed="false">
      <c r="A14" s="1" t="n">
        <v>13</v>
      </c>
      <c r="B14" s="2" t="s">
        <v>55</v>
      </c>
      <c r="C14" s="1" t="s">
        <v>55</v>
      </c>
      <c r="D14" s="1" t="n">
        <v>3</v>
      </c>
    </row>
    <row r="15" customFormat="false" ht="15" hidden="false" customHeight="false" outlineLevel="0" collapsed="false">
      <c r="A15" s="6" t="n">
        <v>14</v>
      </c>
      <c r="B15" s="7" t="s">
        <v>58</v>
      </c>
      <c r="D15" s="1" t="n">
        <v>1</v>
      </c>
    </row>
    <row r="16" customFormat="false" ht="15" hidden="false" customHeight="false" outlineLevel="0" collapsed="false">
      <c r="A16" s="1" t="n">
        <v>15</v>
      </c>
      <c r="B16" s="2" t="s">
        <v>62</v>
      </c>
      <c r="D16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2025-05-05T16:11:10Z</dcterms:created>
  <dc:creator/>
  <dc:description/>
  <dc:language>es-AR</dc:language>
  <cp:lastModifiedBy/>
  <dcterms:modified xsi:type="dcterms:W3CDTF">2026-06-19T17:52:39Z</dcterms:modified>
  <cp:revision>115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