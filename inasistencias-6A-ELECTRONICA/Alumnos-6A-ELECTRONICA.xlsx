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" sheetId="2" state="visible" r:id="rId4"/>
    <sheet name="positivos" sheetId="3" state="visible" r:id="rId5"/>
    <sheet name="1-af" sheetId="4" state="visible" r:id="rId6"/>
    <sheet name="2-zif" sheetId="5" state="visible" r:id="rId7"/>
    <sheet name="3-zof" sheetId="6" state="visible" r:id="rId8"/>
    <sheet name="Evaluacion" sheetId="7" state="visible" r:id="rId9"/>
    <sheet name="31-fuente swithing" sheetId="8" state="visible" r:id="rId10"/>
    <sheet name="5-buffer" sheetId="9" state="visible" r:id="rId11"/>
    <sheet name="6.3-pw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<sst xmlns="http://schemas.openxmlformats.org/spreadsheetml/2006/main" count="883" uniqueCount="116">
  <si>
    <t xml:space="preserve">nro</t>
  </si>
  <si>
    <t xml:space="preserve">Nombre</t>
  </si>
  <si>
    <t xml:space="preserve">Apellido(s)</t>
  </si>
  <si>
    <t xml:space="preserve">Dirección de correo</t>
  </si>
  <si>
    <t xml:space="preserve">observacio</t>
  </si>
  <si>
    <t xml:space="preserve">obs</t>
  </si>
  <si>
    <t xml:space="preserve">presentes</t>
  </si>
  <si>
    <t xml:space="preserve">media</t>
  </si>
  <si>
    <t xml:space="preserve">tarde</t>
  </si>
  <si>
    <t xml:space="preserve">ausentes</t>
  </si>
  <si>
    <t xml:space="preserve">total</t>
  </si>
  <si>
    <t xml:space="preserve">nota</t>
  </si>
  <si>
    <t xml:space="preserve">Lucila Yanel</t>
  </si>
  <si>
    <t xml:space="preserve">AMIGO</t>
  </si>
  <si>
    <t xml:space="preserve">patorouge77@hotmail.com</t>
  </si>
  <si>
    <t xml:space="preserve">P</t>
  </si>
  <si>
    <t xml:space="preserve">p</t>
  </si>
  <si>
    <t xml:space="preserve">A</t>
  </si>
  <si>
    <t xml:space="preserve">Lourdes Elizabeth</t>
  </si>
  <si>
    <t xml:space="preserve">ANDRADA BASCOPE</t>
  </si>
  <si>
    <t xml:space="preserve">gralraul71@gmail.com</t>
  </si>
  <si>
    <t xml:space="preserve">Germán Ezequiel</t>
  </si>
  <si>
    <t xml:space="preserve">APURIL</t>
  </si>
  <si>
    <t xml:space="preserve">gerapuril@gmail.com</t>
  </si>
  <si>
    <t xml:space="preserve">Lautaro Francisco</t>
  </si>
  <si>
    <t xml:space="preserve">AYBAR</t>
  </si>
  <si>
    <t xml:space="preserve">aybarguillermo@gmail.com</t>
  </si>
  <si>
    <t xml:space="preserve">Sathya</t>
  </si>
  <si>
    <t xml:space="preserve">bertola galizzi</t>
  </si>
  <si>
    <t xml:space="preserve">sathyxzz@gmail.com</t>
  </si>
  <si>
    <t xml:space="preserve">Santiago</t>
  </si>
  <si>
    <t xml:space="preserve">BIROCCO FRETES</t>
  </si>
  <si>
    <t xml:space="preserve">SANTIAGOBIROCCOFRETES@GMAIL.COM</t>
  </si>
  <si>
    <t xml:space="preserve">enfermedad</t>
  </si>
  <si>
    <t xml:space="preserve">Mateo Ignacio</t>
  </si>
  <si>
    <t xml:space="preserve">BRUNO</t>
  </si>
  <si>
    <t xml:space="preserve">mateoibruno5@gmail.com</t>
  </si>
  <si>
    <t xml:space="preserve">Mirko</t>
  </si>
  <si>
    <t xml:space="preserve">Dellana</t>
  </si>
  <si>
    <t xml:space="preserve">mirkod2009@gmail.com</t>
  </si>
  <si>
    <t xml:space="preserve">Liam Yoel</t>
  </si>
  <si>
    <t xml:space="preserve">DI FEBO</t>
  </si>
  <si>
    <t xml:space="preserve">liamdifebo15@gmail.com</t>
  </si>
  <si>
    <t xml:space="preserve">Francisco Gael</t>
  </si>
  <si>
    <t xml:space="preserve">Dimeo</t>
  </si>
  <si>
    <t xml:space="preserve">dimeofrancisco@gmail.com</t>
  </si>
  <si>
    <t xml:space="preserve">Facundo Agustin</t>
  </si>
  <si>
    <t xml:space="preserve">ENGERS GONZALEZ</t>
  </si>
  <si>
    <t xml:space="preserve">morenabonitafacturas@gmail.com</t>
  </si>
  <si>
    <t xml:space="preserve">Pedro Gabriel</t>
  </si>
  <si>
    <t xml:space="preserve">GERAGHTY</t>
  </si>
  <si>
    <t xml:space="preserve">tristangabrielgeraghty@gmail.com</t>
  </si>
  <si>
    <t xml:space="preserve">Miqueas Ariel</t>
  </si>
  <si>
    <t xml:space="preserve">Hoyos</t>
  </si>
  <si>
    <t xml:space="preserve">victoriacruz.alzu@gmail.com</t>
  </si>
  <si>
    <t xml:space="preserve">Tobias</t>
  </si>
  <si>
    <t xml:space="preserve">Ibarra Yegro</t>
  </si>
  <si>
    <t xml:space="preserve">alexa_r3@yahoo.com.ar</t>
  </si>
  <si>
    <t xml:space="preserve">Zoe Antonella</t>
  </si>
  <si>
    <t xml:space="preserve">LOPEZ BERZA</t>
  </si>
  <si>
    <t xml:space="preserve">electroariel_@hotmail.com</t>
  </si>
  <si>
    <t xml:space="preserve">Gabriel Lautaro</t>
  </si>
  <si>
    <t xml:space="preserve">MARTINEZ DEL PINO (Recur)</t>
  </si>
  <si>
    <t xml:space="preserve">gabrieladelpino10@gmail.com</t>
  </si>
  <si>
    <t xml:space="preserve">Recursa 15:00hs</t>
  </si>
  <si>
    <t xml:space="preserve">Recursa a las 15:00</t>
  </si>
  <si>
    <t xml:space="preserve">recursante</t>
  </si>
  <si>
    <t xml:space="preserve">Facundo Ariel</t>
  </si>
  <si>
    <t xml:space="preserve">MEDINA</t>
  </si>
  <si>
    <t xml:space="preserve">48376287@gmail.com</t>
  </si>
  <si>
    <t xml:space="preserve">Araceli Rosario Abigail</t>
  </si>
  <si>
    <t xml:space="preserve">SANTIBAÑEZ RAMÍREZ(recur)</t>
  </si>
  <si>
    <t xml:space="preserve">habibiaraceli08@gmail.com</t>
  </si>
  <si>
    <t xml:space="preserve">Matías</t>
  </si>
  <si>
    <t xml:space="preserve">SUAREZ</t>
  </si>
  <si>
    <t xml:space="preserve">matiassua09@gmail.com</t>
  </si>
  <si>
    <t xml:space="preserve">Franco Joaquín</t>
  </si>
  <si>
    <t xml:space="preserve">VILLCA</t>
  </si>
  <si>
    <t xml:space="preserve">rutyayala28@gmail.com</t>
  </si>
  <si>
    <t xml:space="preserve">Ramiro Demian</t>
  </si>
  <si>
    <t xml:space="preserve">ZARRAGA (Recur)</t>
  </si>
  <si>
    <t xml:space="preserve">zarragaramiro01@gmail.com</t>
  </si>
  <si>
    <t xml:space="preserve">no cursa</t>
  </si>
  <si>
    <t xml:space="preserve">media falta</t>
  </si>
  <si>
    <t xml:space="preserve">val media</t>
  </si>
  <si>
    <t xml:space="preserve">Carpeta</t>
  </si>
  <si>
    <t xml:space="preserve">1-af</t>
  </si>
  <si>
    <t xml:space="preserve">2-zidf</t>
  </si>
  <si>
    <t xml:space="preserve">3-zof</t>
  </si>
  <si>
    <t xml:space="preserve">Recuperacion</t>
  </si>
  <si>
    <t xml:space="preserve">4-Evaluacion</t>
  </si>
  <si>
    <t xml:space="preserve">Asistencia</t>
  </si>
  <si>
    <t xml:space="preserve">promedio</t>
  </si>
  <si>
    <t xml:space="preserve">valoracion</t>
  </si>
  <si>
    <t xml:space="preserve">3-1 – fuene switchin</t>
  </si>
  <si>
    <t xml:space="preserve">Recup</t>
  </si>
  <si>
    <t xml:space="preserve">5- AO-Buffer</t>
  </si>
  <si>
    <t xml:space="preserve">6.1- comparador</t>
  </si>
  <si>
    <t xml:space="preserve">Recu</t>
  </si>
  <si>
    <t xml:space="preserve">6.2 cto</t>
  </si>
  <si>
    <t xml:space="preserve">recup</t>
  </si>
  <si>
    <t xml:space="preserve">pw-1</t>
  </si>
  <si>
    <t xml:space="preserve">pw-2</t>
  </si>
  <si>
    <t xml:space="preserve">pw-3</t>
  </si>
  <si>
    <t xml:space="preserve">val ped</t>
  </si>
  <si>
    <t xml:space="preserve">MARTINEZ DEL PINO</t>
  </si>
  <si>
    <t xml:space="preserve">SANTIBAÑEZ RAMÍREZ (recursa)</t>
  </si>
  <si>
    <t xml:space="preserve">ZARRAGA (recursa)</t>
  </si>
  <si>
    <t xml:space="preserve">RODRIGUEZ MIÑO</t>
  </si>
  <si>
    <t xml:space="preserve">SANTIBAÑEZ RAMÍREZ</t>
  </si>
  <si>
    <t xml:space="preserve">ZARRAGA</t>
  </si>
  <si>
    <t xml:space="preserve">Calificación/10,00</t>
  </si>
  <si>
    <t xml:space="preserve">segundo</t>
  </si>
  <si>
    <t xml:space="preserve">final</t>
  </si>
  <si>
    <t xml:space="preserve">total </t>
  </si>
  <si>
    <t xml:space="preserve">prom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</si>
</sst>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7"/>
  <sheetViews>
    <sheetView showFormulas="false" showGridLines="true" showRowColHeaders="true" showZeros="true" rightToLeft="false" tabSelected="false" showOutlineSymbols="true" defaultGridColor="true" view="normal" topLeftCell="A7" colorId="64" zoomScale="80" zoomScaleNormal="80" zoomScalePageLayoutView="100" workbookViewId="0">
      <selection pane="topLeft" activeCell="A2" activeCellId="0" sqref="A2"/>
    </sheetView>
  </sheetViews>
  <sheetFormatPr defaultColWidth="8.7539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5.24"/>
    <col collapsed="false" customWidth="true" hidden="true" outlineLevel="0" max="4" min="4" style="1" width="35.71"/>
    <col collapsed="false" customWidth="true" hidden="true" outlineLevel="0" max="5" min="5" style="1" width="8.68"/>
    <col collapsed="false" customWidth="false" hidden="true" outlineLevel="0" max="6" min="6" style="1" width="8.75"/>
    <col collapsed="false" customWidth="true" hidden="true" outlineLevel="0" max="7" min="7" style="1" width="11.28"/>
    <col collapsed="false" customWidth="false" hidden="true" outlineLevel="0" max="8" min="8" style="1" width="8.75"/>
    <col collapsed="false" customWidth="true" hidden="true" outlineLevel="0" max="10" min="9" style="1" width="14.54"/>
    <col collapsed="false" customWidth="true" hidden="true" outlineLevel="0" max="11" min="11" style="1" width="16.81"/>
    <col collapsed="false" customWidth="false" hidden="true" outlineLevel="0" max="28" min="12" style="1" width="8.75"/>
    <col collapsed="false" customWidth="true" hidden="false" outlineLevel="0" max="16384" min="16202" style="1" width="10.58"/>
  </cols>
  <sheetData>
    <row r="1" customFormat="false" ht="15" hidden="false" customHeight="false" outlineLevel="0" collapsed="false">
      <c r="B1" s="2"/>
      <c r="C1" s="2"/>
      <c r="D1" s="2"/>
      <c r="E1" s="3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n">
        <v>46092</v>
      </c>
      <c r="F2" s="3" t="n">
        <v>46099</v>
      </c>
      <c r="G2" s="3" t="s">
        <v>4</v>
      </c>
      <c r="H2" s="3" t="n">
        <v>46106</v>
      </c>
      <c r="I2" s="3" t="s">
        <v>5</v>
      </c>
      <c r="J2" s="3" t="n">
        <v>46113</v>
      </c>
      <c r="K2" s="3" t="s">
        <v>5</v>
      </c>
      <c r="L2" s="3" t="n">
        <v>46120</v>
      </c>
      <c r="M2" s="3" t="s">
        <v>5</v>
      </c>
      <c r="N2" s="3" t="n">
        <v>46127</v>
      </c>
      <c r="O2" s="3" t="n">
        <v>46134</v>
      </c>
      <c r="P2" s="3" t="s">
        <v>5</v>
      </c>
      <c r="Q2" s="3" t="n">
        <v>46141</v>
      </c>
      <c r="R2" s="3" t="s">
        <v>5</v>
      </c>
      <c r="S2" s="3" t="n">
        <v>46148</v>
      </c>
      <c r="T2" s="3" t="n">
        <v>46155</v>
      </c>
      <c r="U2" s="3" t="n">
        <v>46169</v>
      </c>
      <c r="V2" s="3" t="s">
        <v>6</v>
      </c>
      <c r="W2" s="3" t="s">
        <v>7</v>
      </c>
      <c r="X2" s="3" t="s">
        <v>8</v>
      </c>
      <c r="Y2" s="3" t="s">
        <v>9</v>
      </c>
      <c r="Z2" s="3" t="s">
        <v>10</v>
      </c>
      <c r="AA2" s="3" t="s">
        <v>11</v>
      </c>
      <c r="AB2" s="3" t="n">
        <v>46176</v>
      </c>
      <c r="AC2" s="3" t="n">
        <v>46183</v>
      </c>
      <c r="AD2" s="3" t="n">
        <v>46232</v>
      </c>
      <c r="AE2" s="3" t="n">
        <v>46190</v>
      </c>
      <c r="AF2" s="3" t="n">
        <v>46197</v>
      </c>
      <c r="AG2" s="3" t="n">
        <v>46204</v>
      </c>
      <c r="AH2" s="3" t="n">
        <v>46211</v>
      </c>
      <c r="AI2" s="3" t="n">
        <v>46267</v>
      </c>
      <c r="AJ2" s="3" t="n">
        <v>46274</v>
      </c>
      <c r="AK2" s="3" t="n">
        <v>46281</v>
      </c>
      <c r="AL2" s="3" t="n">
        <v>46288</v>
      </c>
      <c r="AM2" s="3" t="n">
        <v>46295</v>
      </c>
      <c r="AN2" s="3" t="n">
        <v>46302</v>
      </c>
      <c r="AO2" s="3" t="n">
        <v>46309</v>
      </c>
      <c r="AP2" s="3" t="n">
        <v>46316</v>
      </c>
      <c r="AQ2" s="3" t="n">
        <v>46323</v>
      </c>
      <c r="AR2" s="3" t="n">
        <v>46330</v>
      </c>
      <c r="AS2" s="3" t="n">
        <v>46337</v>
      </c>
      <c r="AT2" s="3" t="n">
        <v>46344</v>
      </c>
      <c r="AU2" s="3" t="n">
        <v>46351</v>
      </c>
      <c r="AV2" s="3" t="n">
        <v>46358</v>
      </c>
      <c r="AW2" s="3" t="n">
        <v>46365</v>
      </c>
      <c r="AX2" s="3" t="n">
        <v>46372</v>
      </c>
      <c r="AY2" s="3" t="n">
        <v>46379</v>
      </c>
      <c r="AZ2" s="3" t="n">
        <v>46386</v>
      </c>
    </row>
    <row r="3" customFormat="false" ht="15.65" hidden="false" customHeight="false" outlineLevel="0" collapsed="false">
      <c r="A3" s="1" t="n">
        <v>1</v>
      </c>
      <c r="B3" s="2" t="s">
        <v>12</v>
      </c>
      <c r="C3" s="2" t="s">
        <v>13</v>
      </c>
      <c r="D3" s="2" t="s">
        <v>14</v>
      </c>
      <c r="E3" s="1" t="s">
        <v>15</v>
      </c>
      <c r="F3" s="2" t="s">
        <v>16</v>
      </c>
      <c r="G3" s="2"/>
      <c r="H3" s="2" t="s">
        <v>15</v>
      </c>
      <c r="I3" s="2"/>
      <c r="J3" s="1" t="s">
        <v>15</v>
      </c>
      <c r="L3" s="2" t="s">
        <v>15</v>
      </c>
      <c r="M3" s="2"/>
      <c r="N3" s="2" t="s">
        <v>17</v>
      </c>
      <c r="O3" s="2" t="s">
        <v>17</v>
      </c>
      <c r="Q3" s="2" t="s">
        <v>15</v>
      </c>
      <c r="R3" s="2"/>
      <c r="S3" s="2" t="s">
        <v>15</v>
      </c>
      <c r="T3" s="2" t="s">
        <v>17</v>
      </c>
      <c r="U3" s="2" t="s">
        <v>15</v>
      </c>
      <c r="V3" s="2" t="n">
        <f aca="false">COUNTIF(E3:U3,"P")</f>
        <v>8</v>
      </c>
      <c r="W3" s="2" t="n">
        <f aca="false">COUNTIF(E3:U3,"M")</f>
        <v>0</v>
      </c>
      <c r="X3" s="2" t="n">
        <f aca="false">COUNTIF(E3:U3,"T")</f>
        <v>0</v>
      </c>
      <c r="Y3" s="2" t="n">
        <f aca="false">COUNTIF(E3:U3,"A")</f>
        <v>3</v>
      </c>
      <c r="Z3" s="2" t="n">
        <f aca="false">SUM(V3:Y3)</f>
        <v>11</v>
      </c>
      <c r="AA3" s="4" t="n">
        <f aca="false">ROUND((V3+W3/2+X3/4)*10/Z3,0)</f>
        <v>7</v>
      </c>
      <c r="AB3" s="2" t="s">
        <v>15</v>
      </c>
      <c r="AC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</row>
    <row r="4" customFormat="false" ht="15.65" hidden="false" customHeight="false" outlineLevel="0" collapsed="false">
      <c r="A4" s="1" t="n">
        <v>2</v>
      </c>
      <c r="B4" s="2" t="s">
        <v>18</v>
      </c>
      <c r="C4" s="2" t="s">
        <v>19</v>
      </c>
      <c r="D4" s="2" t="s">
        <v>20</v>
      </c>
      <c r="E4" s="1" t="s">
        <v>15</v>
      </c>
      <c r="F4" s="2" t="s">
        <v>16</v>
      </c>
      <c r="G4" s="2"/>
      <c r="H4" s="2" t="s">
        <v>15</v>
      </c>
      <c r="J4" s="1" t="s">
        <v>15</v>
      </c>
      <c r="L4" s="2" t="s">
        <v>15</v>
      </c>
      <c r="M4" s="2"/>
      <c r="N4" s="2" t="s">
        <v>15</v>
      </c>
      <c r="O4" s="2" t="s">
        <v>15</v>
      </c>
      <c r="Q4" s="2" t="s">
        <v>15</v>
      </c>
      <c r="R4" s="2"/>
      <c r="S4" s="2" t="s">
        <v>15</v>
      </c>
      <c r="T4" s="2" t="s">
        <v>15</v>
      </c>
      <c r="U4" s="2" t="s">
        <v>15</v>
      </c>
      <c r="V4" s="2" t="n">
        <f aca="false">COUNTIF(E4:U4,"P")</f>
        <v>11</v>
      </c>
      <c r="W4" s="2" t="n">
        <f aca="false">COUNTIF(E4:U4,"M")</f>
        <v>0</v>
      </c>
      <c r="X4" s="2" t="n">
        <f aca="false">COUNTIF(E4:U4,"T")</f>
        <v>0</v>
      </c>
      <c r="Y4" s="2" t="n">
        <f aca="false">COUNTIF(E4:U4,"A")</f>
        <v>0</v>
      </c>
      <c r="Z4" s="2" t="n">
        <f aca="false">SUM(V4:Y4)</f>
        <v>11</v>
      </c>
      <c r="AA4" s="4" t="n">
        <f aca="false">ROUND((V4+W4/2+X4/4)*10/Z4,0)</f>
        <v>10</v>
      </c>
      <c r="AB4" s="2" t="s">
        <v>15</v>
      </c>
      <c r="AC4" s="2" t="s">
        <v>15</v>
      </c>
      <c r="AE4" s="2" t="s">
        <v>15</v>
      </c>
      <c r="AF4" s="2" t="s">
        <v>15</v>
      </c>
      <c r="AG4" s="2" t="s">
        <v>15</v>
      </c>
      <c r="AH4" s="2" t="s">
        <v>15</v>
      </c>
    </row>
    <row r="5" customFormat="false" ht="15.65" hidden="false" customHeight="false" outlineLevel="0" collapsed="false">
      <c r="A5" s="1" t="n">
        <v>3</v>
      </c>
      <c r="B5" s="2" t="s">
        <v>21</v>
      </c>
      <c r="C5" s="2" t="s">
        <v>22</v>
      </c>
      <c r="D5" s="2" t="s">
        <v>23</v>
      </c>
      <c r="E5" s="1" t="s">
        <v>15</v>
      </c>
      <c r="F5" s="2" t="s">
        <v>16</v>
      </c>
      <c r="G5" s="2"/>
      <c r="H5" s="2" t="s">
        <v>15</v>
      </c>
      <c r="J5" s="1" t="s">
        <v>15</v>
      </c>
      <c r="L5" s="2" t="s">
        <v>15</v>
      </c>
      <c r="M5" s="2"/>
      <c r="N5" s="2" t="s">
        <v>15</v>
      </c>
      <c r="O5" s="2" t="s">
        <v>15</v>
      </c>
      <c r="Q5" s="2" t="s">
        <v>15</v>
      </c>
      <c r="R5" s="2"/>
      <c r="S5" s="2" t="s">
        <v>15</v>
      </c>
      <c r="T5" s="2" t="s">
        <v>17</v>
      </c>
      <c r="U5" s="2" t="s">
        <v>15</v>
      </c>
      <c r="V5" s="2" t="n">
        <f aca="false">COUNTIF(E5:U5,"P")</f>
        <v>10</v>
      </c>
      <c r="W5" s="2" t="n">
        <f aca="false">COUNTIF(E5:U5,"M")</f>
        <v>0</v>
      </c>
      <c r="X5" s="2" t="n">
        <f aca="false">COUNTIF(E5:U5,"T")</f>
        <v>0</v>
      </c>
      <c r="Y5" s="2" t="n">
        <f aca="false">COUNTIF(E5:U5,"A")</f>
        <v>1</v>
      </c>
      <c r="Z5" s="2" t="n">
        <f aca="false">SUM(V5:Y5)</f>
        <v>11</v>
      </c>
      <c r="AA5" s="4" t="n">
        <f aca="false">ROUND((V5+W5/2+X5/4)*10/Z5,0)</f>
        <v>9</v>
      </c>
      <c r="AB5" s="2" t="s">
        <v>15</v>
      </c>
      <c r="AC5" s="2" t="s">
        <v>15</v>
      </c>
      <c r="AE5" s="2" t="s">
        <v>15</v>
      </c>
      <c r="AF5" s="2" t="s">
        <v>15</v>
      </c>
      <c r="AG5" s="2" t="s">
        <v>15</v>
      </c>
      <c r="AH5" s="2" t="s">
        <v>17</v>
      </c>
    </row>
    <row r="6" customFormat="false" ht="15.65" hidden="false" customHeight="false" outlineLevel="0" collapsed="false">
      <c r="A6" s="1" t="n">
        <v>4</v>
      </c>
      <c r="B6" s="2" t="s">
        <v>24</v>
      </c>
      <c r="C6" s="2" t="s">
        <v>25</v>
      </c>
      <c r="D6" s="2" t="s">
        <v>26</v>
      </c>
      <c r="E6" s="1" t="s">
        <v>15</v>
      </c>
      <c r="F6" s="2" t="s">
        <v>16</v>
      </c>
      <c r="G6" s="2"/>
      <c r="H6" s="2" t="s">
        <v>15</v>
      </c>
      <c r="J6" s="1" t="s">
        <v>15</v>
      </c>
      <c r="L6" s="2" t="s">
        <v>15</v>
      </c>
      <c r="M6" s="2"/>
      <c r="N6" s="2" t="s">
        <v>15</v>
      </c>
      <c r="O6" s="2" t="s">
        <v>15</v>
      </c>
      <c r="Q6" s="2" t="s">
        <v>15</v>
      </c>
      <c r="R6" s="2"/>
      <c r="S6" s="2" t="s">
        <v>15</v>
      </c>
      <c r="T6" s="2" t="s">
        <v>15</v>
      </c>
      <c r="U6" s="2" t="s">
        <v>15</v>
      </c>
      <c r="V6" s="2" t="n">
        <f aca="false">COUNTIF(E6:U6,"P")</f>
        <v>11</v>
      </c>
      <c r="W6" s="2" t="n">
        <f aca="false">COUNTIF(E6:U6,"M")</f>
        <v>0</v>
      </c>
      <c r="X6" s="2" t="n">
        <f aca="false">COUNTIF(E6:U6,"T")</f>
        <v>0</v>
      </c>
      <c r="Y6" s="2" t="n">
        <f aca="false">COUNTIF(E6:U6,"A")</f>
        <v>0</v>
      </c>
      <c r="Z6" s="2" t="n">
        <f aca="false">SUM(V6:Y6)</f>
        <v>11</v>
      </c>
      <c r="AA6" s="4" t="n">
        <f aca="false">ROUND((V6+W6/2+X6/4)*10/Z6,0)</f>
        <v>10</v>
      </c>
      <c r="AB6" s="2" t="s">
        <v>15</v>
      </c>
      <c r="AC6" s="2" t="s">
        <v>15</v>
      </c>
      <c r="AE6" s="2" t="s">
        <v>15</v>
      </c>
      <c r="AF6" s="2" t="s">
        <v>15</v>
      </c>
      <c r="AG6" s="2" t="s">
        <v>15</v>
      </c>
      <c r="AH6" s="2" t="s">
        <v>15</v>
      </c>
    </row>
    <row r="7" customFormat="false" ht="15.65" hidden="false" customHeight="false" outlineLevel="0" collapsed="false">
      <c r="A7" s="1" t="n">
        <v>5</v>
      </c>
      <c r="B7" s="2" t="s">
        <v>27</v>
      </c>
      <c r="C7" s="2" t="s">
        <v>28</v>
      </c>
      <c r="D7" s="2" t="s">
        <v>29</v>
      </c>
      <c r="E7" s="1" t="s">
        <v>15</v>
      </c>
      <c r="F7" s="2" t="s">
        <v>16</v>
      </c>
      <c r="G7" s="2"/>
      <c r="H7" s="2" t="s">
        <v>15</v>
      </c>
      <c r="J7" s="1" t="s">
        <v>17</v>
      </c>
      <c r="L7" s="2" t="s">
        <v>15</v>
      </c>
      <c r="M7" s="2"/>
      <c r="N7" s="2" t="s">
        <v>15</v>
      </c>
      <c r="O7" s="2" t="s">
        <v>17</v>
      </c>
      <c r="Q7" s="2" t="s">
        <v>15</v>
      </c>
      <c r="R7" s="2"/>
      <c r="S7" s="2" t="s">
        <v>15</v>
      </c>
      <c r="T7" s="2" t="s">
        <v>17</v>
      </c>
      <c r="U7" s="2" t="s">
        <v>17</v>
      </c>
      <c r="V7" s="2" t="n">
        <f aca="false">COUNTIF(E7:U7,"P")</f>
        <v>7</v>
      </c>
      <c r="W7" s="2" t="n">
        <f aca="false">COUNTIF(E7:U7,"M")</f>
        <v>0</v>
      </c>
      <c r="X7" s="2" t="n">
        <f aca="false">COUNTIF(E7:U7,"T")</f>
        <v>0</v>
      </c>
      <c r="Y7" s="2" t="n">
        <f aca="false">COUNTIF(E7:U7,"A")</f>
        <v>4</v>
      </c>
      <c r="Z7" s="2" t="n">
        <f aca="false">SUM(V7:Y7)</f>
        <v>11</v>
      </c>
      <c r="AA7" s="4" t="n">
        <f aca="false">ROUND((V7+W7/2+X7/4)*10/Z7,0)</f>
        <v>6</v>
      </c>
      <c r="AB7" s="2" t="s">
        <v>17</v>
      </c>
      <c r="AC7" s="2" t="s">
        <v>15</v>
      </c>
      <c r="AE7" s="2" t="s">
        <v>15</v>
      </c>
      <c r="AF7" s="2" t="s">
        <v>17</v>
      </c>
      <c r="AG7" s="2" t="s">
        <v>15</v>
      </c>
      <c r="AH7" s="2" t="s">
        <v>15</v>
      </c>
    </row>
    <row r="8" s="2" customFormat="true" ht="15.65" hidden="false" customHeight="false" outlineLevel="0" collapsed="false">
      <c r="A8" s="1" t="n">
        <v>6</v>
      </c>
      <c r="B8" s="2" t="s">
        <v>30</v>
      </c>
      <c r="C8" s="2" t="s">
        <v>31</v>
      </c>
      <c r="D8" s="2" t="s">
        <v>32</v>
      </c>
      <c r="E8" s="1" t="s">
        <v>15</v>
      </c>
      <c r="F8" s="1" t="s">
        <v>15</v>
      </c>
      <c r="G8" s="1" t="s">
        <v>33</v>
      </c>
      <c r="H8" s="1" t="s">
        <v>15</v>
      </c>
      <c r="I8" s="1"/>
      <c r="J8" s="1" t="s">
        <v>15</v>
      </c>
      <c r="K8" s="1"/>
      <c r="L8" s="1" t="s">
        <v>15</v>
      </c>
      <c r="M8" s="1"/>
      <c r="N8" s="1" t="s">
        <v>15</v>
      </c>
      <c r="O8" s="1" t="s">
        <v>15</v>
      </c>
      <c r="P8" s="1"/>
      <c r="Q8" s="1" t="s">
        <v>15</v>
      </c>
      <c r="R8" s="1" t="s">
        <v>33</v>
      </c>
      <c r="S8" s="1" t="s">
        <v>15</v>
      </c>
      <c r="T8" s="1" t="s">
        <v>15</v>
      </c>
      <c r="U8" s="1" t="s">
        <v>15</v>
      </c>
      <c r="V8" s="2" t="n">
        <f aca="false">COUNTIF(E8:U8,"P")</f>
        <v>11</v>
      </c>
      <c r="W8" s="2" t="n">
        <f aca="false">COUNTIF(E8:U8,"M")</f>
        <v>0</v>
      </c>
      <c r="X8" s="2" t="n">
        <f aca="false">COUNTIF(E8:U8,"T")</f>
        <v>0</v>
      </c>
      <c r="Y8" s="2" t="n">
        <f aca="false">COUNTIF(E8:U8,"A")</f>
        <v>0</v>
      </c>
      <c r="Z8" s="2" t="n">
        <f aca="false">SUM(V8:Y8)</f>
        <v>11</v>
      </c>
      <c r="AA8" s="4" t="n">
        <f aca="false">ROUND((V8+W8/2+X8/4)*10/Z8,0)</f>
        <v>10</v>
      </c>
      <c r="AB8" s="1" t="s">
        <v>15</v>
      </c>
      <c r="AC8" s="2" t="s">
        <v>15</v>
      </c>
      <c r="AD8" s="1"/>
      <c r="AE8" s="1" t="s">
        <v>15</v>
      </c>
      <c r="AF8" s="1" t="s">
        <v>15</v>
      </c>
      <c r="AG8" s="1" t="s">
        <v>17</v>
      </c>
      <c r="AH8" s="1" t="s">
        <v>17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customFormat="false" ht="15.65" hidden="false" customHeight="false" outlineLevel="0" collapsed="false">
      <c r="A9" s="1" t="n">
        <v>7</v>
      </c>
      <c r="B9" s="2" t="s">
        <v>34</v>
      </c>
      <c r="C9" s="2" t="s">
        <v>35</v>
      </c>
      <c r="D9" s="2" t="s">
        <v>36</v>
      </c>
      <c r="E9" s="1" t="s">
        <v>15</v>
      </c>
      <c r="F9" s="2" t="s">
        <v>15</v>
      </c>
      <c r="G9" s="2"/>
      <c r="H9" s="2" t="s">
        <v>15</v>
      </c>
      <c r="J9" s="1" t="s">
        <v>15</v>
      </c>
      <c r="L9" s="2" t="s">
        <v>15</v>
      </c>
      <c r="M9" s="2"/>
      <c r="N9" s="2" t="s">
        <v>17</v>
      </c>
      <c r="O9" s="2" t="s">
        <v>15</v>
      </c>
      <c r="Q9" s="2" t="s">
        <v>15</v>
      </c>
      <c r="R9" s="2"/>
      <c r="S9" s="2" t="s">
        <v>15</v>
      </c>
      <c r="T9" s="2" t="s">
        <v>15</v>
      </c>
      <c r="U9" s="2" t="s">
        <v>15</v>
      </c>
      <c r="V9" s="2" t="n">
        <f aca="false">COUNTIF(E9:U9,"P")</f>
        <v>10</v>
      </c>
      <c r="W9" s="2" t="n">
        <f aca="false">COUNTIF(E9:U9,"M")</f>
        <v>0</v>
      </c>
      <c r="X9" s="2" t="n">
        <f aca="false">COUNTIF(E9:U9,"T")</f>
        <v>0</v>
      </c>
      <c r="Y9" s="2" t="n">
        <f aca="false">COUNTIF(E9:U9,"A")</f>
        <v>1</v>
      </c>
      <c r="Z9" s="2" t="n">
        <f aca="false">SUM(V9:Y9)</f>
        <v>11</v>
      </c>
      <c r="AA9" s="4" t="n">
        <f aca="false">ROUND((V9+W9/2+X9/4)*10/Z9,0)</f>
        <v>9</v>
      </c>
      <c r="AB9" s="2" t="s">
        <v>15</v>
      </c>
      <c r="AC9" s="2" t="s">
        <v>15</v>
      </c>
      <c r="AE9" s="2" t="s">
        <v>15</v>
      </c>
      <c r="AF9" s="2" t="s">
        <v>15</v>
      </c>
      <c r="AG9" s="2" t="s">
        <v>15</v>
      </c>
      <c r="AH9" s="2" t="s">
        <v>15</v>
      </c>
    </row>
    <row r="10" customFormat="false" ht="15.65" hidden="false" customHeight="false" outlineLevel="0" collapsed="false">
      <c r="A10" s="1" t="n">
        <v>8</v>
      </c>
      <c r="B10" s="2" t="s">
        <v>37</v>
      </c>
      <c r="C10" s="2" t="s">
        <v>38</v>
      </c>
      <c r="D10" s="2" t="s">
        <v>39</v>
      </c>
      <c r="E10" s="1" t="s">
        <v>15</v>
      </c>
      <c r="F10" s="2" t="s">
        <v>15</v>
      </c>
      <c r="G10" s="2"/>
      <c r="H10" s="2" t="s">
        <v>15</v>
      </c>
      <c r="J10" s="1" t="s">
        <v>15</v>
      </c>
      <c r="L10" s="2" t="s">
        <v>15</v>
      </c>
      <c r="M10" s="2"/>
      <c r="N10" s="2" t="s">
        <v>15</v>
      </c>
      <c r="O10" s="2" t="s">
        <v>15</v>
      </c>
      <c r="Q10" s="2" t="s">
        <v>15</v>
      </c>
      <c r="R10" s="2"/>
      <c r="S10" s="2" t="s">
        <v>15</v>
      </c>
      <c r="T10" s="2" t="s">
        <v>15</v>
      </c>
      <c r="U10" s="2" t="s">
        <v>15</v>
      </c>
      <c r="V10" s="2" t="n">
        <f aca="false">COUNTIF(E10:U10,"P")</f>
        <v>11</v>
      </c>
      <c r="W10" s="2" t="n">
        <f aca="false">COUNTIF(E10:U10,"M")</f>
        <v>0</v>
      </c>
      <c r="X10" s="2" t="n">
        <f aca="false">COUNTIF(E10:U10,"T")</f>
        <v>0</v>
      </c>
      <c r="Y10" s="2" t="n">
        <f aca="false">COUNTIF(E10:U10,"A")</f>
        <v>0</v>
      </c>
      <c r="Z10" s="2" t="n">
        <f aca="false">SUM(V10:Y10)</f>
        <v>11</v>
      </c>
      <c r="AA10" s="4" t="n">
        <f aca="false">ROUND((V10+W10/2+X10/4)*10/Z10,0)</f>
        <v>10</v>
      </c>
      <c r="AB10" s="2" t="s">
        <v>15</v>
      </c>
      <c r="AC10" s="2" t="s">
        <v>15</v>
      </c>
      <c r="AE10" s="2" t="s">
        <v>15</v>
      </c>
      <c r="AF10" s="2" t="s">
        <v>15</v>
      </c>
      <c r="AG10" s="2" t="s">
        <v>15</v>
      </c>
      <c r="AH10" s="2" t="s">
        <v>15</v>
      </c>
    </row>
    <row r="11" customFormat="false" ht="15.65" hidden="false" customHeight="false" outlineLevel="0" collapsed="false">
      <c r="A11" s="1" t="n">
        <v>9</v>
      </c>
      <c r="B11" s="2" t="s">
        <v>40</v>
      </c>
      <c r="C11" s="2" t="s">
        <v>41</v>
      </c>
      <c r="D11" s="2" t="s">
        <v>42</v>
      </c>
      <c r="E11" s="1" t="s">
        <v>15</v>
      </c>
      <c r="F11" s="2" t="s">
        <v>15</v>
      </c>
      <c r="G11" s="2"/>
      <c r="H11" s="2" t="s">
        <v>15</v>
      </c>
      <c r="J11" s="1" t="s">
        <v>15</v>
      </c>
      <c r="L11" s="2" t="s">
        <v>15</v>
      </c>
      <c r="M11" s="2"/>
      <c r="N11" s="2" t="s">
        <v>17</v>
      </c>
      <c r="O11" s="2" t="s">
        <v>15</v>
      </c>
      <c r="Q11" s="2" t="s">
        <v>15</v>
      </c>
      <c r="R11" s="2"/>
      <c r="S11" s="2" t="s">
        <v>17</v>
      </c>
      <c r="T11" s="2" t="s">
        <v>15</v>
      </c>
      <c r="U11" s="2" t="s">
        <v>15</v>
      </c>
      <c r="V11" s="2" t="n">
        <f aca="false">COUNTIF(E11:U11,"P")</f>
        <v>9</v>
      </c>
      <c r="W11" s="2" t="n">
        <f aca="false">COUNTIF(E11:U11,"M")</f>
        <v>0</v>
      </c>
      <c r="X11" s="2" t="n">
        <f aca="false">COUNTIF(E11:U11,"T")</f>
        <v>0</v>
      </c>
      <c r="Y11" s="2" t="n">
        <f aca="false">COUNTIF(E11:U11,"A")</f>
        <v>2</v>
      </c>
      <c r="Z11" s="2" t="n">
        <f aca="false">SUM(V11:Y11)</f>
        <v>11</v>
      </c>
      <c r="AA11" s="4" t="n">
        <f aca="false">ROUND((V11+W11/2+X11/4)*10/Z11,0)</f>
        <v>8</v>
      </c>
      <c r="AB11" s="2" t="s">
        <v>15</v>
      </c>
      <c r="AC11" s="2" t="s">
        <v>15</v>
      </c>
      <c r="AE11" s="2" t="s">
        <v>15</v>
      </c>
      <c r="AF11" s="2" t="s">
        <v>15</v>
      </c>
      <c r="AG11" s="2" t="s">
        <v>15</v>
      </c>
      <c r="AH11" s="2" t="s">
        <v>15</v>
      </c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="2" customFormat="true" ht="15.65" hidden="false" customHeight="false" outlineLevel="0" collapsed="false">
      <c r="A12" s="1" t="n">
        <v>10</v>
      </c>
      <c r="B12" s="2" t="s">
        <v>43</v>
      </c>
      <c r="C12" s="2" t="s">
        <v>44</v>
      </c>
      <c r="D12" s="2" t="s">
        <v>45</v>
      </c>
      <c r="E12" s="1" t="s">
        <v>15</v>
      </c>
      <c r="F12" s="1" t="s">
        <v>15</v>
      </c>
      <c r="G12" s="1"/>
      <c r="H12" s="1" t="s">
        <v>15</v>
      </c>
      <c r="I12" s="1"/>
      <c r="J12" s="1" t="s">
        <v>15</v>
      </c>
      <c r="K12" s="1"/>
      <c r="L12" s="1" t="s">
        <v>15</v>
      </c>
      <c r="M12" s="1"/>
      <c r="N12" s="1" t="s">
        <v>15</v>
      </c>
      <c r="O12" s="1" t="s">
        <v>15</v>
      </c>
      <c r="P12" s="1"/>
      <c r="Q12" s="1" t="s">
        <v>15</v>
      </c>
      <c r="R12" s="1"/>
      <c r="S12" s="1" t="s">
        <v>15</v>
      </c>
      <c r="T12" s="1" t="s">
        <v>15</v>
      </c>
      <c r="U12" s="1" t="s">
        <v>15</v>
      </c>
      <c r="V12" s="2" t="n">
        <f aca="false">COUNTIF(E12:U12,"P")</f>
        <v>11</v>
      </c>
      <c r="W12" s="2" t="n">
        <f aca="false">COUNTIF(E12:U12,"M")</f>
        <v>0</v>
      </c>
      <c r="X12" s="2" t="n">
        <f aca="false">COUNTIF(E12:U12,"T")</f>
        <v>0</v>
      </c>
      <c r="Y12" s="2" t="n">
        <f aca="false">COUNTIF(E12:U12,"A")</f>
        <v>0</v>
      </c>
      <c r="Z12" s="2" t="n">
        <f aca="false">SUM(V12:Y12)</f>
        <v>11</v>
      </c>
      <c r="AA12" s="4" t="n">
        <f aca="false">ROUND((V12+W12/2+X12/4)*10/Z12,0)</f>
        <v>10</v>
      </c>
      <c r="AB12" s="1" t="s">
        <v>15</v>
      </c>
      <c r="AC12" s="2" t="s">
        <v>15</v>
      </c>
      <c r="AD12" s="1"/>
      <c r="AE12" s="1" t="s">
        <v>15</v>
      </c>
      <c r="AF12" s="1" t="s">
        <v>15</v>
      </c>
      <c r="AG12" s="1" t="s">
        <v>15</v>
      </c>
      <c r="AH12" s="1" t="s">
        <v>15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="1" customFormat="true" ht="15.65" hidden="false" customHeight="false" outlineLevel="0" collapsed="false">
      <c r="A13" s="1" t="n">
        <v>11</v>
      </c>
      <c r="B13" s="2" t="s">
        <v>46</v>
      </c>
      <c r="C13" s="2" t="s">
        <v>47</v>
      </c>
      <c r="D13" s="2" t="s">
        <v>48</v>
      </c>
      <c r="E13" s="1" t="s">
        <v>15</v>
      </c>
      <c r="F13" s="1" t="s">
        <v>15</v>
      </c>
      <c r="H13" s="1" t="s">
        <v>15</v>
      </c>
      <c r="J13" s="1" t="s">
        <v>15</v>
      </c>
      <c r="L13" s="1" t="s">
        <v>15</v>
      </c>
      <c r="N13" s="1" t="s">
        <v>15</v>
      </c>
      <c r="O13" s="1" t="s">
        <v>15</v>
      </c>
      <c r="Q13" s="1" t="s">
        <v>15</v>
      </c>
      <c r="S13" s="1" t="s">
        <v>15</v>
      </c>
      <c r="T13" s="1" t="s">
        <v>15</v>
      </c>
      <c r="U13" s="1" t="s">
        <v>15</v>
      </c>
      <c r="V13" s="2" t="n">
        <f aca="false">COUNTIF(E13:U13,"P")</f>
        <v>11</v>
      </c>
      <c r="W13" s="2" t="n">
        <f aca="false">COUNTIF(E13:U13,"M")</f>
        <v>0</v>
      </c>
      <c r="X13" s="2" t="n">
        <f aca="false">COUNTIF(E13:U13,"T")</f>
        <v>0</v>
      </c>
      <c r="Y13" s="2" t="n">
        <f aca="false">COUNTIF(E13:U13,"A")</f>
        <v>0</v>
      </c>
      <c r="Z13" s="2" t="n">
        <f aca="false">SUM(V13:Y13)</f>
        <v>11</v>
      </c>
      <c r="AA13" s="4" t="n">
        <f aca="false">ROUND((V13+W13/2+X13/4)*10/Z13,0)</f>
        <v>10</v>
      </c>
      <c r="AB13" s="1" t="s">
        <v>15</v>
      </c>
      <c r="AC13" s="2" t="s">
        <v>15</v>
      </c>
      <c r="AE13" s="1" t="s">
        <v>15</v>
      </c>
      <c r="AF13" s="1" t="s">
        <v>15</v>
      </c>
      <c r="AG13" s="1" t="s">
        <v>15</v>
      </c>
      <c r="AH13" s="1" t="s">
        <v>15</v>
      </c>
    </row>
    <row r="14" s="1" customFormat="true" ht="15.65" hidden="false" customHeight="false" outlineLevel="0" collapsed="false">
      <c r="A14" s="1" t="n">
        <v>12</v>
      </c>
      <c r="B14" s="2" t="s">
        <v>49</v>
      </c>
      <c r="C14" s="2" t="s">
        <v>50</v>
      </c>
      <c r="D14" s="2" t="s">
        <v>51</v>
      </c>
      <c r="E14" s="1" t="s">
        <v>15</v>
      </c>
      <c r="F14" s="1" t="s">
        <v>15</v>
      </c>
      <c r="H14" s="1" t="s">
        <v>15</v>
      </c>
      <c r="J14" s="1" t="s">
        <v>15</v>
      </c>
      <c r="L14" s="1" t="s">
        <v>15</v>
      </c>
      <c r="N14" s="1" t="s">
        <v>15</v>
      </c>
      <c r="O14" s="1" t="s">
        <v>15</v>
      </c>
      <c r="Q14" s="1" t="s">
        <v>15</v>
      </c>
      <c r="S14" s="1" t="s">
        <v>15</v>
      </c>
      <c r="T14" s="1" t="s">
        <v>15</v>
      </c>
      <c r="U14" s="1" t="s">
        <v>15</v>
      </c>
      <c r="V14" s="2" t="n">
        <f aca="false">COUNTIF(E14:U14,"P")</f>
        <v>11</v>
      </c>
      <c r="W14" s="2" t="n">
        <f aca="false">COUNTIF(E14:U14,"M")</f>
        <v>0</v>
      </c>
      <c r="X14" s="2" t="n">
        <f aca="false">COUNTIF(E14:U14,"T")</f>
        <v>0</v>
      </c>
      <c r="Y14" s="2" t="n">
        <f aca="false">COUNTIF(E14:U14,"A")</f>
        <v>0</v>
      </c>
      <c r="Z14" s="2" t="n">
        <f aca="false">SUM(V14:Y14)</f>
        <v>11</v>
      </c>
      <c r="AA14" s="4" t="n">
        <f aca="false">ROUND((V14+W14/2+X14/4)*10/Z14,0)</f>
        <v>10</v>
      </c>
      <c r="AB14" s="1" t="s">
        <v>15</v>
      </c>
      <c r="AC14" s="2" t="s">
        <v>15</v>
      </c>
      <c r="AE14" s="1" t="s">
        <v>15</v>
      </c>
      <c r="AF14" s="1" t="s">
        <v>15</v>
      </c>
      <c r="AG14" s="1" t="s">
        <v>15</v>
      </c>
      <c r="AH14" s="1" t="s">
        <v>15</v>
      </c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="2" customFormat="true" ht="15.65" hidden="false" customHeight="false" outlineLevel="0" collapsed="false">
      <c r="A15" s="1" t="n">
        <v>13</v>
      </c>
      <c r="B15" s="2" t="s">
        <v>52</v>
      </c>
      <c r="C15" s="2" t="s">
        <v>53</v>
      </c>
      <c r="D15" s="2" t="s">
        <v>54</v>
      </c>
      <c r="E15" s="1" t="s">
        <v>15</v>
      </c>
      <c r="F15" s="1" t="s">
        <v>15</v>
      </c>
      <c r="G15" s="1"/>
      <c r="H15" s="1" t="s">
        <v>15</v>
      </c>
      <c r="I15" s="1"/>
      <c r="J15" s="1" t="s">
        <v>15</v>
      </c>
      <c r="K15" s="1"/>
      <c r="L15" s="1" t="s">
        <v>15</v>
      </c>
      <c r="M15" s="1"/>
      <c r="N15" s="1" t="s">
        <v>15</v>
      </c>
      <c r="O15" s="1" t="s">
        <v>15</v>
      </c>
      <c r="P15" s="1"/>
      <c r="Q15" s="1" t="s">
        <v>15</v>
      </c>
      <c r="R15" s="1"/>
      <c r="S15" s="1" t="s">
        <v>15</v>
      </c>
      <c r="T15" s="1" t="s">
        <v>17</v>
      </c>
      <c r="U15" s="1" t="s">
        <v>15</v>
      </c>
      <c r="V15" s="2" t="n">
        <f aca="false">COUNTIF(E15:U15,"P")</f>
        <v>10</v>
      </c>
      <c r="W15" s="2" t="n">
        <f aca="false">COUNTIF(E15:U15,"M")</f>
        <v>0</v>
      </c>
      <c r="X15" s="2" t="n">
        <f aca="false">COUNTIF(E15:U15,"T")</f>
        <v>0</v>
      </c>
      <c r="Y15" s="2" t="n">
        <f aca="false">COUNTIF(E15:U15,"A")</f>
        <v>1</v>
      </c>
      <c r="Z15" s="2" t="n">
        <f aca="false">SUM(V15:Y15)</f>
        <v>11</v>
      </c>
      <c r="AA15" s="4" t="n">
        <f aca="false">ROUND((V15+W15/2+X15/4)*10/Z15,0)</f>
        <v>9</v>
      </c>
      <c r="AB15" s="1" t="s">
        <v>15</v>
      </c>
      <c r="AC15" s="2" t="s">
        <v>15</v>
      </c>
      <c r="AD15" s="1"/>
      <c r="AE15" s="1" t="s">
        <v>15</v>
      </c>
      <c r="AF15" s="1" t="s">
        <v>15</v>
      </c>
      <c r="AG15" s="1" t="s">
        <v>15</v>
      </c>
      <c r="AH15" s="1" t="s">
        <v>15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true" ht="15.65" hidden="false" customHeight="false" outlineLevel="0" collapsed="false">
      <c r="A16" s="1" t="n">
        <v>14</v>
      </c>
      <c r="B16" s="2" t="s">
        <v>55</v>
      </c>
      <c r="C16" s="2" t="s">
        <v>56</v>
      </c>
      <c r="D16" s="2" t="s">
        <v>57</v>
      </c>
      <c r="E16" s="1" t="s">
        <v>15</v>
      </c>
      <c r="F16" s="1" t="s">
        <v>15</v>
      </c>
      <c r="H16" s="1" t="s">
        <v>15</v>
      </c>
      <c r="J16" s="1" t="s">
        <v>15</v>
      </c>
      <c r="L16" s="1" t="s">
        <v>15</v>
      </c>
      <c r="N16" s="1" t="s">
        <v>15</v>
      </c>
      <c r="O16" s="1" t="s">
        <v>15</v>
      </c>
      <c r="Q16" s="1" t="s">
        <v>15</v>
      </c>
      <c r="S16" s="1" t="s">
        <v>15</v>
      </c>
      <c r="T16" s="1" t="s">
        <v>15</v>
      </c>
      <c r="U16" s="1" t="s">
        <v>15</v>
      </c>
      <c r="V16" s="2" t="n">
        <f aca="false">COUNTIF(E16:U16,"P")</f>
        <v>11</v>
      </c>
      <c r="W16" s="2" t="n">
        <f aca="false">COUNTIF(E16:U16,"M")</f>
        <v>0</v>
      </c>
      <c r="X16" s="2" t="n">
        <f aca="false">COUNTIF(E16:U16,"T")</f>
        <v>0</v>
      </c>
      <c r="Y16" s="2" t="n">
        <f aca="false">COUNTIF(E16:U16,"A")</f>
        <v>0</v>
      </c>
      <c r="Z16" s="2" t="n">
        <f aca="false">SUM(V16:Y16)</f>
        <v>11</v>
      </c>
      <c r="AA16" s="4" t="n">
        <f aca="false">ROUND((V16+W16/2+X16/4)*10/Z16,0)</f>
        <v>10</v>
      </c>
      <c r="AB16" s="1" t="s">
        <v>15</v>
      </c>
      <c r="AC16" s="2" t="s">
        <v>15</v>
      </c>
      <c r="AE16" s="1" t="s">
        <v>15</v>
      </c>
      <c r="AF16" s="1" t="s">
        <v>15</v>
      </c>
      <c r="AG16" s="1" t="s">
        <v>15</v>
      </c>
      <c r="AH16" s="1" t="s">
        <v>15</v>
      </c>
    </row>
    <row r="17" s="1" customFormat="true" ht="15.65" hidden="false" customHeight="false" outlineLevel="0" collapsed="false">
      <c r="A17" s="1" t="n">
        <v>15</v>
      </c>
      <c r="B17" s="2" t="s">
        <v>58</v>
      </c>
      <c r="C17" s="2" t="s">
        <v>59</v>
      </c>
      <c r="D17" s="2" t="s">
        <v>60</v>
      </c>
      <c r="E17" s="1" t="s">
        <v>15</v>
      </c>
      <c r="F17" s="1" t="s">
        <v>15</v>
      </c>
      <c r="H17" s="1" t="s">
        <v>15</v>
      </c>
      <c r="I17" s="2"/>
      <c r="J17" s="1" t="s">
        <v>15</v>
      </c>
      <c r="L17" s="1" t="s">
        <v>15</v>
      </c>
      <c r="N17" s="1" t="s">
        <v>15</v>
      </c>
      <c r="O17" s="1" t="s">
        <v>15</v>
      </c>
      <c r="Q17" s="1" t="s">
        <v>15</v>
      </c>
      <c r="S17" s="1" t="s">
        <v>15</v>
      </c>
      <c r="T17" s="1" t="s">
        <v>15</v>
      </c>
      <c r="U17" s="1" t="s">
        <v>15</v>
      </c>
      <c r="V17" s="2" t="n">
        <f aca="false">COUNTIF(E17:U17,"P")</f>
        <v>11</v>
      </c>
      <c r="W17" s="2" t="n">
        <f aca="false">COUNTIF(E17:U17,"M")</f>
        <v>0</v>
      </c>
      <c r="X17" s="2" t="n">
        <f aca="false">COUNTIF(E17:U17,"T")</f>
        <v>0</v>
      </c>
      <c r="Y17" s="2" t="n">
        <f aca="false">COUNTIF(E17:U17,"A")</f>
        <v>0</v>
      </c>
      <c r="Z17" s="2" t="n">
        <f aca="false">SUM(V17:Y17)</f>
        <v>11</v>
      </c>
      <c r="AA17" s="4" t="n">
        <f aca="false">ROUND((V17+W17/2+X17/4)*10/Z17,0)</f>
        <v>10</v>
      </c>
      <c r="AB17" s="1" t="s">
        <v>15</v>
      </c>
      <c r="AC17" s="2" t="s">
        <v>15</v>
      </c>
      <c r="AE17" s="1" t="s">
        <v>15</v>
      </c>
      <c r="AF17" s="1" t="s">
        <v>15</v>
      </c>
      <c r="AG17" s="1" t="s">
        <v>15</v>
      </c>
      <c r="AH17" s="1" t="s">
        <v>15</v>
      </c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  <c r="XFD17" s="5"/>
    </row>
    <row r="18" s="5" customFormat="true" ht="15.65" hidden="false" customHeight="false" outlineLevel="0" collapsed="false">
      <c r="A18" s="6" t="n">
        <v>16</v>
      </c>
      <c r="B18" s="5" t="s">
        <v>61</v>
      </c>
      <c r="C18" s="5" t="s">
        <v>62</v>
      </c>
      <c r="D18" s="5" t="s">
        <v>63</v>
      </c>
      <c r="E18" s="6" t="s">
        <v>15</v>
      </c>
      <c r="F18" s="6" t="s">
        <v>17</v>
      </c>
      <c r="G18" s="6"/>
      <c r="H18" s="6" t="s">
        <v>17</v>
      </c>
      <c r="I18" s="5" t="s">
        <v>64</v>
      </c>
      <c r="J18" s="6" t="s">
        <v>15</v>
      </c>
      <c r="K18" s="6" t="s">
        <v>65</v>
      </c>
      <c r="L18" s="6" t="s">
        <v>17</v>
      </c>
      <c r="M18" s="6"/>
      <c r="N18" s="6" t="s">
        <v>17</v>
      </c>
      <c r="O18" s="6" t="s">
        <v>15</v>
      </c>
      <c r="P18" s="6" t="s">
        <v>66</v>
      </c>
      <c r="Q18" s="6" t="s">
        <v>17</v>
      </c>
      <c r="R18" s="6"/>
      <c r="S18" s="6" t="s">
        <v>17</v>
      </c>
      <c r="T18" s="6" t="s">
        <v>17</v>
      </c>
      <c r="U18" s="6" t="s">
        <v>17</v>
      </c>
      <c r="V18" s="6" t="n">
        <f aca="false">COUNTIF(E18:U18,"P")</f>
        <v>3</v>
      </c>
      <c r="W18" s="6" t="n">
        <f aca="false">COUNTIF(E18:U18,"M")</f>
        <v>0</v>
      </c>
      <c r="X18" s="6" t="n">
        <f aca="false">COUNTIF(E18:U18,"T")</f>
        <v>0</v>
      </c>
      <c r="Y18" s="6" t="n">
        <f aca="false">COUNTIF(E18:U18,"A")</f>
        <v>8</v>
      </c>
      <c r="Z18" s="6" t="n">
        <f aca="false">SUM(V18:Y18)</f>
        <v>11</v>
      </c>
      <c r="AA18" s="7" t="n">
        <f aca="false">ROUND((V18+W18/2+X18/4)*10/Z18,0)</f>
        <v>3</v>
      </c>
      <c r="AB18" s="6" t="s">
        <v>17</v>
      </c>
      <c r="AC18" s="2" t="s">
        <v>15</v>
      </c>
      <c r="AD18" s="6"/>
      <c r="AE18" s="6" t="s">
        <v>17</v>
      </c>
      <c r="AF18" s="6" t="s">
        <v>17</v>
      </c>
      <c r="AG18" s="6" t="s">
        <v>17</v>
      </c>
      <c r="AH18" s="6" t="s">
        <v>17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WYD18" s="6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="2" customFormat="true" ht="15.65" hidden="false" customHeight="false" outlineLevel="0" collapsed="false">
      <c r="A19" s="1" t="n">
        <v>17</v>
      </c>
      <c r="B19" s="2" t="s">
        <v>67</v>
      </c>
      <c r="C19" s="2" t="s">
        <v>68</v>
      </c>
      <c r="D19" s="2" t="s">
        <v>69</v>
      </c>
      <c r="E19" s="1" t="s">
        <v>15</v>
      </c>
      <c r="F19" s="1" t="s">
        <v>17</v>
      </c>
      <c r="G19" s="1"/>
      <c r="H19" s="1" t="s">
        <v>15</v>
      </c>
      <c r="I19" s="1"/>
      <c r="J19" s="1" t="s">
        <v>15</v>
      </c>
      <c r="K19" s="1"/>
      <c r="L19" s="1" t="s">
        <v>15</v>
      </c>
      <c r="M19" s="1"/>
      <c r="N19" s="1" t="s">
        <v>15</v>
      </c>
      <c r="O19" s="1" t="s">
        <v>15</v>
      </c>
      <c r="P19" s="1"/>
      <c r="Q19" s="1" t="s">
        <v>15</v>
      </c>
      <c r="R19" s="1"/>
      <c r="S19" s="1" t="s">
        <v>17</v>
      </c>
      <c r="T19" s="1" t="s">
        <v>17</v>
      </c>
      <c r="U19" s="1" t="s">
        <v>17</v>
      </c>
      <c r="V19" s="2" t="n">
        <f aca="false">COUNTIF(E19:U19,"P")</f>
        <v>7</v>
      </c>
      <c r="W19" s="2" t="n">
        <f aca="false">COUNTIF(E19:U19,"M")</f>
        <v>0</v>
      </c>
      <c r="X19" s="2" t="n">
        <f aca="false">COUNTIF(E19:U19,"T")</f>
        <v>0</v>
      </c>
      <c r="Y19" s="2" t="n">
        <f aca="false">COUNTIF(E19:U19,"A")</f>
        <v>4</v>
      </c>
      <c r="Z19" s="2" t="n">
        <f aca="false">SUM(V19:Y19)</f>
        <v>11</v>
      </c>
      <c r="AA19" s="4" t="n">
        <f aca="false">ROUND((V19+W19/2+X19/4)*10/Z19,0)</f>
        <v>6</v>
      </c>
      <c r="AB19" s="1" t="s">
        <v>17</v>
      </c>
      <c r="AC19" s="2" t="s">
        <v>15</v>
      </c>
      <c r="AD19" s="1"/>
      <c r="AE19" s="1" t="s">
        <v>15</v>
      </c>
      <c r="AF19" s="1" t="s">
        <v>17</v>
      </c>
      <c r="AG19" s="1" t="s">
        <v>17</v>
      </c>
      <c r="AH19" s="1" t="s">
        <v>15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WYD19" s="1"/>
      <c r="WYE19" s="6"/>
      <c r="WYF19" s="6"/>
      <c r="WYG19" s="6"/>
      <c r="WYH19" s="6"/>
      <c r="WYI19" s="6"/>
      <c r="WYJ19" s="6"/>
      <c r="WYK19" s="6"/>
      <c r="WYL19" s="6"/>
      <c r="WYM19" s="6"/>
      <c r="WYN19" s="6"/>
      <c r="WYO19" s="6"/>
      <c r="WYP19" s="6"/>
      <c r="WYQ19" s="6"/>
      <c r="WYR19" s="6"/>
      <c r="WYS19" s="6"/>
      <c r="WYT19" s="6"/>
      <c r="WYU19" s="6"/>
      <c r="WYV19" s="6"/>
      <c r="WYW19" s="6"/>
      <c r="WYX19" s="6"/>
      <c r="WYY19" s="6"/>
      <c r="WYZ19" s="6"/>
      <c r="WZA19" s="6"/>
      <c r="WZB19" s="6"/>
      <c r="WZC19" s="6"/>
      <c r="WZD19" s="6"/>
      <c r="WZE19" s="6"/>
      <c r="WZF19" s="6"/>
      <c r="WZG19" s="6"/>
      <c r="WZH19" s="6"/>
      <c r="WZI19" s="6"/>
      <c r="WZJ19" s="6"/>
      <c r="WZK19" s="6"/>
      <c r="WZL19" s="6"/>
      <c r="WZM19" s="6"/>
      <c r="WZN19" s="6"/>
      <c r="WZO19" s="6"/>
      <c r="WZP19" s="6"/>
      <c r="WZQ19" s="6"/>
      <c r="WZR19" s="6"/>
      <c r="WZS19" s="6"/>
      <c r="WZT19" s="6"/>
      <c r="WZU19" s="6"/>
      <c r="WZV19" s="6"/>
      <c r="WZW19" s="6"/>
      <c r="WZX19" s="6"/>
      <c r="WZY19" s="6"/>
      <c r="WZZ19" s="6"/>
      <c r="XAA19" s="6"/>
      <c r="XAB19" s="6"/>
      <c r="XAC19" s="6"/>
      <c r="XAD19" s="6"/>
      <c r="XAE19" s="6"/>
      <c r="XAF19" s="6"/>
      <c r="XAG19" s="6"/>
      <c r="XAH19" s="6"/>
      <c r="XAI19" s="6"/>
      <c r="XAJ19" s="6"/>
      <c r="XAK19" s="6"/>
      <c r="XAL19" s="6"/>
      <c r="XAM19" s="6"/>
      <c r="XAN19" s="6"/>
      <c r="XAO19" s="6"/>
      <c r="XAP19" s="6"/>
      <c r="XAQ19" s="6"/>
      <c r="XAR19" s="6"/>
      <c r="XAS19" s="6"/>
      <c r="XAT19" s="6"/>
      <c r="XAU19" s="6"/>
      <c r="XAV19" s="6"/>
      <c r="XAW19" s="6"/>
      <c r="XAX19" s="6"/>
      <c r="XAY19" s="6"/>
      <c r="XAZ19" s="6"/>
      <c r="XBA19" s="6"/>
      <c r="XBB19" s="6"/>
      <c r="XBC19" s="6"/>
      <c r="XBD19" s="6"/>
      <c r="XBE19" s="6"/>
      <c r="XBF19" s="6"/>
      <c r="XBG19" s="6"/>
      <c r="XBH19" s="6"/>
      <c r="XBI19" s="6"/>
      <c r="XBJ19" s="6"/>
      <c r="XBK19" s="6"/>
      <c r="XBL19" s="6"/>
      <c r="XBM19" s="6"/>
      <c r="XBN19" s="6"/>
      <c r="XBO19" s="6"/>
      <c r="XBP19" s="6"/>
      <c r="XBQ19" s="6"/>
      <c r="XBR19" s="6"/>
      <c r="XBS19" s="6"/>
      <c r="XBT19" s="6"/>
      <c r="XBU19" s="6"/>
      <c r="XBV19" s="6"/>
      <c r="XBW19" s="6"/>
      <c r="XBX19" s="6"/>
      <c r="XBY19" s="6"/>
      <c r="XBZ19" s="6"/>
      <c r="XCA19" s="6"/>
      <c r="XCB19" s="6"/>
      <c r="XCC19" s="6"/>
      <c r="XCD19" s="6"/>
      <c r="XCE19" s="6"/>
      <c r="XCF19" s="6"/>
      <c r="XCG19" s="6"/>
      <c r="XCH19" s="6"/>
      <c r="XCI19" s="6"/>
      <c r="XCJ19" s="6"/>
      <c r="XCK19" s="6"/>
      <c r="XCL19" s="6"/>
      <c r="XCM19" s="6"/>
      <c r="XCN19" s="6"/>
      <c r="XCO19" s="6"/>
      <c r="XCP19" s="6"/>
      <c r="XCQ19" s="6"/>
      <c r="XCR19" s="6"/>
      <c r="XCS19" s="6"/>
      <c r="XCT19" s="6"/>
      <c r="XCU19" s="6"/>
      <c r="XCV19" s="6"/>
      <c r="XCW19" s="6"/>
      <c r="XCX19" s="6"/>
      <c r="XCY19" s="6"/>
      <c r="XCZ19" s="6"/>
      <c r="XDA19" s="6"/>
      <c r="XDB19" s="6"/>
      <c r="XDC19" s="6"/>
      <c r="XDD19" s="6"/>
      <c r="XDE19" s="6"/>
      <c r="XDF19" s="6"/>
      <c r="XDG19" s="6"/>
      <c r="XDH19" s="6"/>
      <c r="XDI19" s="6"/>
      <c r="XDJ19" s="6"/>
      <c r="XDK19" s="6"/>
      <c r="XDL19" s="6"/>
      <c r="XDM19" s="6"/>
      <c r="XDN19" s="6"/>
      <c r="XDO19" s="6"/>
      <c r="XDP19" s="6"/>
      <c r="XDQ19" s="6"/>
      <c r="XDR19" s="6"/>
      <c r="XDS19" s="6"/>
      <c r="XDT19" s="6"/>
      <c r="XDU19" s="6"/>
      <c r="XDV19" s="6"/>
      <c r="XDW19" s="6"/>
      <c r="XDX19" s="6"/>
      <c r="XDY19" s="6"/>
      <c r="XDZ19" s="6"/>
      <c r="XEA19" s="6"/>
      <c r="XEB19" s="6"/>
      <c r="XEC19" s="6"/>
      <c r="XED19" s="6"/>
      <c r="XEE19" s="6"/>
      <c r="XEF19" s="6"/>
      <c r="XEG19" s="6"/>
      <c r="XEH19" s="6"/>
      <c r="XEI19" s="6"/>
      <c r="XEJ19" s="6"/>
      <c r="XEK19" s="6"/>
      <c r="XEL19" s="6"/>
      <c r="XEM19" s="6"/>
      <c r="XEN19" s="6"/>
      <c r="XEO19" s="6"/>
      <c r="XEP19" s="6"/>
      <c r="XEQ19" s="6"/>
      <c r="XER19" s="6"/>
      <c r="XES19" s="6"/>
      <c r="XET19" s="6"/>
      <c r="XEU19" s="6"/>
      <c r="XEV19" s="6"/>
      <c r="XEW19" s="6"/>
      <c r="XEX19" s="6"/>
      <c r="XEY19" s="6"/>
      <c r="XEZ19" s="6"/>
      <c r="XFA19" s="6"/>
      <c r="XFB19" s="6"/>
      <c r="XFC19" s="6"/>
      <c r="XFD19" s="6"/>
    </row>
    <row r="20" s="6" customFormat="true" ht="15.65" hidden="false" customHeight="false" outlineLevel="0" collapsed="false">
      <c r="A20" s="6" t="n">
        <v>18</v>
      </c>
      <c r="B20" s="5" t="s">
        <v>70</v>
      </c>
      <c r="C20" s="5" t="s">
        <v>71</v>
      </c>
      <c r="D20" s="5" t="s">
        <v>72</v>
      </c>
      <c r="E20" s="6" t="s">
        <v>15</v>
      </c>
      <c r="F20" s="6" t="s">
        <v>15</v>
      </c>
      <c r="H20" s="6" t="s">
        <v>17</v>
      </c>
      <c r="J20" s="6" t="s">
        <v>17</v>
      </c>
      <c r="L20" s="6" t="s">
        <v>15</v>
      </c>
      <c r="N20" s="6" t="s">
        <v>17</v>
      </c>
      <c r="O20" s="6" t="s">
        <v>15</v>
      </c>
      <c r="P20" s="6" t="s">
        <v>66</v>
      </c>
      <c r="Q20" s="6" t="s">
        <v>15</v>
      </c>
      <c r="S20" s="6" t="s">
        <v>15</v>
      </c>
      <c r="U20" s="6" t="s">
        <v>17</v>
      </c>
      <c r="V20" s="6" t="n">
        <f aca="false">COUNTIF(E20:U20,"P")</f>
        <v>6</v>
      </c>
      <c r="W20" s="6" t="n">
        <f aca="false">COUNTIF(E20:U20,"M")</f>
        <v>0</v>
      </c>
      <c r="X20" s="6" t="n">
        <f aca="false">COUNTIF(E20:U20,"T")</f>
        <v>0</v>
      </c>
      <c r="Y20" s="6" t="n">
        <f aca="false">COUNTIF(E20:U20,"A")</f>
        <v>4</v>
      </c>
      <c r="Z20" s="6" t="n">
        <f aca="false">SUM(V20:Y20)</f>
        <v>10</v>
      </c>
      <c r="AA20" s="7" t="n">
        <f aca="false">ROUND((V20+W20/2+X20/4)*10/Z20,0)</f>
        <v>6</v>
      </c>
      <c r="AB20" s="6" t="s">
        <v>17</v>
      </c>
      <c r="AC20" s="2" t="s">
        <v>17</v>
      </c>
      <c r="AE20" s="6" t="s">
        <v>17</v>
      </c>
      <c r="AF20" s="6" t="s">
        <v>17</v>
      </c>
      <c r="AG20" s="6" t="s">
        <v>17</v>
      </c>
      <c r="AH20" s="6" t="s">
        <v>17</v>
      </c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" customFormat="true" ht="15.65" hidden="false" customHeight="false" outlineLevel="0" collapsed="false">
      <c r="A21" s="1" t="n">
        <v>19</v>
      </c>
      <c r="B21" s="2" t="s">
        <v>73</v>
      </c>
      <c r="C21" s="2" t="s">
        <v>74</v>
      </c>
      <c r="D21" s="2" t="s">
        <v>75</v>
      </c>
      <c r="E21" s="1" t="s">
        <v>15</v>
      </c>
      <c r="F21" s="1" t="s">
        <v>15</v>
      </c>
      <c r="H21" s="1" t="s">
        <v>15</v>
      </c>
      <c r="J21" s="1" t="s">
        <v>15</v>
      </c>
      <c r="L21" s="1" t="s">
        <v>15</v>
      </c>
      <c r="N21" s="1" t="s">
        <v>15</v>
      </c>
      <c r="O21" s="1" t="s">
        <v>17</v>
      </c>
      <c r="Q21" s="1" t="s">
        <v>15</v>
      </c>
      <c r="S21" s="1" t="s">
        <v>15</v>
      </c>
      <c r="T21" s="1" t="s">
        <v>17</v>
      </c>
      <c r="U21" s="1" t="s">
        <v>15</v>
      </c>
      <c r="V21" s="2" t="n">
        <f aca="false">COUNTIF(E21:U21,"P")</f>
        <v>9</v>
      </c>
      <c r="W21" s="2" t="n">
        <f aca="false">COUNTIF(E21:U21,"M")</f>
        <v>0</v>
      </c>
      <c r="X21" s="2" t="n">
        <f aca="false">COUNTIF(E21:U21,"T")</f>
        <v>0</v>
      </c>
      <c r="Y21" s="2" t="n">
        <f aca="false">COUNTIF(E21:U21,"A")</f>
        <v>2</v>
      </c>
      <c r="Z21" s="2" t="n">
        <f aca="false">SUM(V21:Y21)</f>
        <v>11</v>
      </c>
      <c r="AA21" s="4" t="n">
        <f aca="false">ROUND((V21+W21/2+X21/4)*10/Z21,0)</f>
        <v>8</v>
      </c>
      <c r="AB21" s="1" t="s">
        <v>15</v>
      </c>
      <c r="AC21" s="2" t="s">
        <v>15</v>
      </c>
      <c r="AE21" s="1" t="s">
        <v>15</v>
      </c>
      <c r="AF21" s="1" t="s">
        <v>15</v>
      </c>
      <c r="AG21" s="1" t="s">
        <v>15</v>
      </c>
      <c r="AH21" s="1" t="s">
        <v>15</v>
      </c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="1" customFormat="true" ht="15.65" hidden="false" customHeight="false" outlineLevel="0" collapsed="false">
      <c r="A22" s="1" t="n">
        <v>20</v>
      </c>
      <c r="B22" s="2" t="s">
        <v>76</v>
      </c>
      <c r="C22" s="2" t="s">
        <v>77</v>
      </c>
      <c r="D22" s="2" t="s">
        <v>78</v>
      </c>
      <c r="E22" s="1" t="s">
        <v>15</v>
      </c>
      <c r="F22" s="1" t="s">
        <v>15</v>
      </c>
      <c r="H22" s="1" t="s">
        <v>15</v>
      </c>
      <c r="J22" s="1" t="s">
        <v>15</v>
      </c>
      <c r="L22" s="1" t="s">
        <v>17</v>
      </c>
      <c r="N22" s="1" t="s">
        <v>15</v>
      </c>
      <c r="O22" s="1" t="s">
        <v>15</v>
      </c>
      <c r="Q22" s="1" t="s">
        <v>15</v>
      </c>
      <c r="S22" s="1" t="s">
        <v>15</v>
      </c>
      <c r="T22" s="1" t="s">
        <v>15</v>
      </c>
      <c r="U22" s="1" t="s">
        <v>15</v>
      </c>
      <c r="V22" s="2" t="n">
        <f aca="false">COUNTIF(E22:U22,"P")</f>
        <v>10</v>
      </c>
      <c r="W22" s="2" t="n">
        <f aca="false">COUNTIF(E22:U22,"M")</f>
        <v>0</v>
      </c>
      <c r="X22" s="2" t="n">
        <f aca="false">COUNTIF(E22:U22,"T")</f>
        <v>0</v>
      </c>
      <c r="Y22" s="2" t="n">
        <f aca="false">COUNTIF(E22:U22,"A")</f>
        <v>1</v>
      </c>
      <c r="Z22" s="2" t="n">
        <f aca="false">SUM(V22:Y22)</f>
        <v>11</v>
      </c>
      <c r="AA22" s="4" t="n">
        <f aca="false">ROUND((V22+W22/2+X22/4)*10/Z22,0)</f>
        <v>9</v>
      </c>
      <c r="AB22" s="1" t="s">
        <v>15</v>
      </c>
      <c r="AC22" s="2" t="s">
        <v>15</v>
      </c>
      <c r="AE22" s="1" t="s">
        <v>15</v>
      </c>
      <c r="AF22" s="1" t="s">
        <v>15</v>
      </c>
      <c r="AG22" s="1" t="s">
        <v>15</v>
      </c>
      <c r="AH22" s="1" t="s">
        <v>15</v>
      </c>
      <c r="WYE22" s="6"/>
      <c r="WYF22" s="6"/>
      <c r="WYG22" s="6"/>
      <c r="WYH22" s="6"/>
      <c r="WYI22" s="6"/>
      <c r="WYJ22" s="6"/>
      <c r="WYK22" s="6"/>
      <c r="WYL22" s="6"/>
      <c r="WYM22" s="6"/>
      <c r="WYN22" s="6"/>
      <c r="WYO22" s="6"/>
      <c r="WYP22" s="6"/>
      <c r="WYQ22" s="6"/>
      <c r="WYR22" s="6"/>
      <c r="WYS22" s="6"/>
      <c r="WYT22" s="6"/>
      <c r="WYU22" s="6"/>
      <c r="WYV22" s="6"/>
      <c r="WYW22" s="6"/>
      <c r="WYX22" s="6"/>
      <c r="WYY22" s="6"/>
      <c r="WYZ22" s="6"/>
      <c r="WZA22" s="6"/>
      <c r="WZB22" s="6"/>
      <c r="WZC22" s="6"/>
      <c r="WZD22" s="6"/>
      <c r="WZE22" s="6"/>
      <c r="WZF22" s="6"/>
      <c r="WZG22" s="6"/>
      <c r="WZH22" s="6"/>
      <c r="WZI22" s="6"/>
      <c r="WZJ22" s="6"/>
      <c r="WZK22" s="6"/>
      <c r="WZL22" s="6"/>
      <c r="WZM22" s="6"/>
      <c r="WZN22" s="6"/>
      <c r="WZO22" s="6"/>
      <c r="WZP22" s="6"/>
      <c r="WZQ22" s="6"/>
      <c r="WZR22" s="6"/>
      <c r="WZS22" s="6"/>
      <c r="WZT22" s="6"/>
      <c r="WZU22" s="6"/>
      <c r="WZV22" s="6"/>
      <c r="WZW22" s="6"/>
      <c r="WZX22" s="6"/>
      <c r="WZY22" s="6"/>
      <c r="WZZ22" s="6"/>
      <c r="XAA22" s="6"/>
      <c r="XAB22" s="6"/>
      <c r="XAC22" s="6"/>
      <c r="XAD22" s="6"/>
      <c r="XAE22" s="6"/>
      <c r="XAF22" s="6"/>
      <c r="XAG22" s="6"/>
      <c r="XAH22" s="6"/>
      <c r="XAI22" s="6"/>
      <c r="XAJ22" s="6"/>
      <c r="XAK22" s="6"/>
      <c r="XAL22" s="6"/>
      <c r="XAM22" s="6"/>
      <c r="XAN22" s="6"/>
      <c r="XAO22" s="6"/>
      <c r="XAP22" s="6"/>
      <c r="XAQ22" s="6"/>
      <c r="XAR22" s="6"/>
      <c r="XAS22" s="6"/>
      <c r="XAT22" s="6"/>
      <c r="XAU22" s="6"/>
      <c r="XAV22" s="6"/>
      <c r="XAW22" s="6"/>
      <c r="XAX22" s="6"/>
      <c r="XAY22" s="6"/>
      <c r="XAZ22" s="6"/>
      <c r="XBA22" s="6"/>
      <c r="XBB22" s="6"/>
      <c r="XBC22" s="6"/>
      <c r="XBD22" s="6"/>
      <c r="XBE22" s="6"/>
      <c r="XBF22" s="6"/>
      <c r="XBG22" s="6"/>
      <c r="XBH22" s="6"/>
      <c r="XBI22" s="6"/>
      <c r="XBJ22" s="6"/>
      <c r="XBK22" s="6"/>
      <c r="XBL22" s="6"/>
      <c r="XBM22" s="6"/>
      <c r="XBN22" s="6"/>
      <c r="XBO22" s="6"/>
      <c r="XBP22" s="6"/>
      <c r="XBQ22" s="6"/>
      <c r="XBR22" s="6"/>
      <c r="XBS22" s="6"/>
      <c r="XBT22" s="6"/>
      <c r="XBU22" s="6"/>
      <c r="XBV22" s="6"/>
      <c r="XBW22" s="6"/>
      <c r="XBX22" s="6"/>
      <c r="XBY22" s="6"/>
      <c r="XBZ22" s="6"/>
      <c r="XCA22" s="6"/>
      <c r="XCB22" s="6"/>
      <c r="XCC22" s="6"/>
      <c r="XCD22" s="6"/>
      <c r="XCE22" s="6"/>
      <c r="XCF22" s="6"/>
      <c r="XCG22" s="6"/>
      <c r="XCH22" s="6"/>
      <c r="XCI22" s="6"/>
      <c r="XCJ22" s="6"/>
      <c r="XCK22" s="6"/>
      <c r="XCL22" s="6"/>
      <c r="XCM22" s="6"/>
      <c r="XCN22" s="6"/>
      <c r="XCO22" s="6"/>
      <c r="XCP22" s="6"/>
      <c r="XCQ22" s="6"/>
      <c r="XCR22" s="6"/>
      <c r="XCS22" s="6"/>
      <c r="XCT22" s="6"/>
      <c r="XCU22" s="6"/>
      <c r="XCV22" s="6"/>
      <c r="XCW22" s="6"/>
      <c r="XCX22" s="6"/>
      <c r="XCY22" s="6"/>
      <c r="XCZ22" s="6"/>
      <c r="XDA22" s="6"/>
      <c r="XDB22" s="6"/>
      <c r="XDC22" s="6"/>
      <c r="XDD22" s="6"/>
      <c r="XDE22" s="6"/>
      <c r="XDF22" s="6"/>
      <c r="XDG22" s="6"/>
      <c r="XDH22" s="6"/>
      <c r="XDI22" s="6"/>
      <c r="XDJ22" s="6"/>
      <c r="XDK22" s="6"/>
      <c r="XDL22" s="6"/>
      <c r="XDM22" s="6"/>
      <c r="XDN22" s="6"/>
      <c r="XDO22" s="6"/>
      <c r="XDP22" s="6"/>
      <c r="XDQ22" s="6"/>
      <c r="XDR22" s="6"/>
      <c r="XDS22" s="6"/>
      <c r="XDT22" s="6"/>
      <c r="XDU22" s="6"/>
      <c r="XDV22" s="6"/>
      <c r="XDW22" s="6"/>
      <c r="XDX22" s="6"/>
      <c r="XDY22" s="6"/>
      <c r="XDZ22" s="6"/>
      <c r="XEA22" s="6"/>
      <c r="XEB22" s="6"/>
      <c r="XEC22" s="6"/>
      <c r="XED22" s="6"/>
      <c r="XEE22" s="6"/>
      <c r="XEF22" s="6"/>
      <c r="XEG22" s="6"/>
      <c r="XEH22" s="6"/>
      <c r="XEI22" s="6"/>
      <c r="XEJ22" s="6"/>
      <c r="XEK22" s="6"/>
      <c r="XEL22" s="6"/>
      <c r="XEM22" s="6"/>
      <c r="XEN22" s="6"/>
      <c r="XEO22" s="6"/>
      <c r="XEP22" s="6"/>
      <c r="XEQ22" s="6"/>
      <c r="XER22" s="6"/>
      <c r="XES22" s="6"/>
      <c r="XET22" s="6"/>
      <c r="XEU22" s="6"/>
      <c r="XEV22" s="6"/>
      <c r="XEW22" s="6"/>
      <c r="XEX22" s="6"/>
      <c r="XEY22" s="6"/>
      <c r="XEZ22" s="6"/>
      <c r="XFA22" s="6"/>
      <c r="XFB22" s="6"/>
      <c r="XFC22" s="6"/>
      <c r="XFD22" s="6"/>
    </row>
    <row r="23" s="5" customFormat="true" ht="15.65" hidden="false" customHeight="false" outlineLevel="0" collapsed="false">
      <c r="A23" s="6" t="n">
        <v>21</v>
      </c>
      <c r="B23" s="5" t="s">
        <v>79</v>
      </c>
      <c r="C23" s="5" t="s">
        <v>80</v>
      </c>
      <c r="D23" s="5" t="s">
        <v>81</v>
      </c>
      <c r="E23" s="6" t="s">
        <v>15</v>
      </c>
      <c r="F23" s="6" t="s">
        <v>17</v>
      </c>
      <c r="G23" s="6"/>
      <c r="H23" s="6" t="s">
        <v>15</v>
      </c>
      <c r="I23" s="6" t="s">
        <v>64</v>
      </c>
      <c r="J23" s="6" t="s">
        <v>15</v>
      </c>
      <c r="K23" s="6" t="s">
        <v>65</v>
      </c>
      <c r="L23" s="6" t="s">
        <v>15</v>
      </c>
      <c r="M23" s="6" t="s">
        <v>82</v>
      </c>
      <c r="N23" s="6" t="s">
        <v>15</v>
      </c>
      <c r="O23" s="6" t="s">
        <v>15</v>
      </c>
      <c r="P23" s="6" t="s">
        <v>66</v>
      </c>
      <c r="Q23" s="6" t="s">
        <v>15</v>
      </c>
      <c r="R23" s="6"/>
      <c r="S23" s="6" t="s">
        <v>15</v>
      </c>
      <c r="T23" s="6" t="s">
        <v>15</v>
      </c>
      <c r="U23" s="6" t="s">
        <v>15</v>
      </c>
      <c r="V23" s="6" t="n">
        <f aca="false">COUNTIF(E23:U23,"P")</f>
        <v>10</v>
      </c>
      <c r="W23" s="6" t="n">
        <f aca="false">COUNTIF(E23:U23,"M")</f>
        <v>0</v>
      </c>
      <c r="X23" s="6" t="n">
        <f aca="false">COUNTIF(E23:U23,"T")</f>
        <v>0</v>
      </c>
      <c r="Y23" s="6" t="n">
        <f aca="false">COUNTIF(E23:U23,"A")</f>
        <v>1</v>
      </c>
      <c r="Z23" s="6" t="n">
        <f aca="false">SUM(V23:Y23)</f>
        <v>11</v>
      </c>
      <c r="AA23" s="7" t="n">
        <f aca="false">ROUND((V23+W23/2+X23/4)*10/Z23,0)</f>
        <v>9</v>
      </c>
      <c r="AB23" s="6" t="s">
        <v>15</v>
      </c>
      <c r="AC23" s="2" t="s">
        <v>15</v>
      </c>
      <c r="AD23" s="6"/>
      <c r="AE23" s="6" t="s">
        <v>17</v>
      </c>
      <c r="AF23" s="6" t="s">
        <v>17</v>
      </c>
      <c r="AG23" s="6" t="s">
        <v>17</v>
      </c>
      <c r="AH23" s="6" t="s">
        <v>17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WYD23" s="6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customFormat="false" ht="15" hidden="false" customHeight="false" outlineLevel="0" collapsed="false">
      <c r="C24" s="1" t="s">
        <v>6</v>
      </c>
      <c r="D24" s="1" t="s">
        <v>6</v>
      </c>
      <c r="E24" s="1" t="n">
        <f aca="false">COUNTIF(E3:E23,"P")</f>
        <v>21</v>
      </c>
      <c r="F24" s="1" t="n">
        <f aca="false">COUNTIF(F3:F23,"P")</f>
        <v>18</v>
      </c>
      <c r="H24" s="1" t="n">
        <f aca="false">COUNTIF(H3:H23,"P")</f>
        <v>19</v>
      </c>
      <c r="J24" s="1" t="n">
        <f aca="false">COUNTIF(J3:J23,"P")</f>
        <v>19</v>
      </c>
      <c r="L24" s="1" t="n">
        <f aca="false">COUNTIF(L3:L23,"P")</f>
        <v>19</v>
      </c>
      <c r="N24" s="1" t="n">
        <f aca="false">COUNTIF(N3:N23,"P")</f>
        <v>16</v>
      </c>
      <c r="O24" s="1" t="n">
        <f aca="false">COUNTIF(O3:O23,"P")</f>
        <v>18</v>
      </c>
      <c r="Q24" s="1" t="n">
        <f aca="false">COUNTIF(Q3:Q23,"P")</f>
        <v>20</v>
      </c>
      <c r="S24" s="1" t="n">
        <f aca="false">COUNTIF(S3:S23,"P")</f>
        <v>18</v>
      </c>
      <c r="T24" s="1" t="n">
        <f aca="false">COUNTIF(T3:T23,"P")</f>
        <v>13</v>
      </c>
      <c r="AB24" s="1" t="n">
        <f aca="false">COUNTIF(AB3:AB23,"P")</f>
        <v>17</v>
      </c>
      <c r="AC24" s="1" t="n">
        <f aca="false">COUNTIF(AC3:AC23,"P")</f>
        <v>20</v>
      </c>
      <c r="AE24" s="1" t="n">
        <f aca="false">COUNTIF(AE3:AE23,"P")</f>
        <v>18</v>
      </c>
      <c r="AF24" s="1" t="n">
        <f aca="false">COUNTIF(AF3:AF23,"P")</f>
        <v>16</v>
      </c>
      <c r="AG24" s="1" t="n">
        <f aca="false">COUNTIF(AG3:AG23,"P")</f>
        <v>16</v>
      </c>
      <c r="AH24" s="1" t="n">
        <f aca="false">COUNTIF(AH3:AH23,"P")</f>
        <v>16</v>
      </c>
    </row>
    <row r="25" customFormat="false" ht="15" hidden="false" customHeight="false" outlineLevel="0" collapsed="false">
      <c r="C25" s="1" t="s">
        <v>83</v>
      </c>
      <c r="E25" s="1" t="n">
        <f aca="false">COUNTIF(E3:E23,"M")</f>
        <v>0</v>
      </c>
      <c r="F25" s="1" t="n">
        <f aca="false">COUNTIF(F3:F23,"M")</f>
        <v>0</v>
      </c>
      <c r="H25" s="1" t="n">
        <f aca="false">COUNTIF(H3:H23,"M")</f>
        <v>0</v>
      </c>
      <c r="J25" s="1" t="n">
        <f aca="false">COUNTIF(J3:J23,"M")</f>
        <v>0</v>
      </c>
      <c r="L25" s="1" t="n">
        <f aca="false">COUNTIF(L3:L23,"M")</f>
        <v>0</v>
      </c>
      <c r="N25" s="1" t="n">
        <f aca="false">COUNTIF(N3:N23,"M")</f>
        <v>0</v>
      </c>
      <c r="O25" s="1" t="n">
        <f aca="false">COUNTIF(O3:O23,"M")</f>
        <v>0</v>
      </c>
      <c r="Q25" s="1" t="n">
        <f aca="false">COUNTIF(Q3:Q23,"M")</f>
        <v>0</v>
      </c>
      <c r="S25" s="1" t="n">
        <f aca="false">COUNTIF(S3:S23,"M")</f>
        <v>0</v>
      </c>
      <c r="T25" s="1" t="n">
        <f aca="false">COUNTIF(T3:T23,"M")</f>
        <v>0</v>
      </c>
      <c r="AB25" s="1" t="n">
        <f aca="false">COUNTIF(AB3:AB23,"M")</f>
        <v>0</v>
      </c>
      <c r="AC25" s="1" t="n">
        <f aca="false">COUNTIF(AC3:AC23,"M")</f>
        <v>0</v>
      </c>
      <c r="AE25" s="1" t="n">
        <f aca="false">COUNTIF(AE3:AE23,"M")</f>
        <v>0</v>
      </c>
      <c r="AF25" s="1" t="n">
        <f aca="false">COUNTIF(AF3:AF23,"M")</f>
        <v>0</v>
      </c>
      <c r="AG25" s="1" t="n">
        <f aca="false">COUNTIF(AG3:AG23,"M")</f>
        <v>0</v>
      </c>
      <c r="AH25" s="1" t="n">
        <f aca="false">COUNTIF(AH3:AH23,"M")</f>
        <v>0</v>
      </c>
    </row>
    <row r="26" customFormat="false" ht="15" hidden="false" customHeight="false" outlineLevel="0" collapsed="false">
      <c r="C26" s="1" t="s">
        <v>8</v>
      </c>
      <c r="E26" s="1" t="n">
        <f aca="false">COUNTIF(E3:E23,"T")</f>
        <v>0</v>
      </c>
      <c r="F26" s="1" t="n">
        <f aca="false">COUNTIF(F3:F23,"T")</f>
        <v>0</v>
      </c>
      <c r="H26" s="1" t="n">
        <f aca="false">COUNTIF(H3:H23,"T")</f>
        <v>0</v>
      </c>
      <c r="J26" s="1" t="n">
        <f aca="false">COUNTIF(J3:J23,"T")</f>
        <v>0</v>
      </c>
      <c r="L26" s="1" t="n">
        <f aca="false">COUNTIF(L3:L23,"T")</f>
        <v>0</v>
      </c>
      <c r="N26" s="1" t="n">
        <f aca="false">COUNTIF(N3:N23,"T")</f>
        <v>0</v>
      </c>
      <c r="O26" s="1" t="n">
        <f aca="false">COUNTIF(O3:O23,"T")</f>
        <v>0</v>
      </c>
      <c r="Q26" s="1" t="n">
        <f aca="false">COUNTIF(Q3:Q23,"T")</f>
        <v>0</v>
      </c>
      <c r="S26" s="1" t="n">
        <f aca="false">COUNTIF(S3:S23,"T")</f>
        <v>0</v>
      </c>
      <c r="T26" s="1" t="n">
        <f aca="false">COUNTIF(T3:T23,"T")</f>
        <v>0</v>
      </c>
      <c r="AB26" s="1" t="n">
        <f aca="false">COUNTIF(AB3:AB23,"T")</f>
        <v>0</v>
      </c>
      <c r="AC26" s="1" t="n">
        <f aca="false">COUNTIF(AC3:AC23,"T")</f>
        <v>0</v>
      </c>
      <c r="AE26" s="1" t="n">
        <f aca="false">COUNTIF(AE3:AE23,"T")</f>
        <v>0</v>
      </c>
      <c r="AF26" s="1" t="n">
        <f aca="false">COUNTIF(AF3:AF23,"T")</f>
        <v>0</v>
      </c>
      <c r="AG26" s="1" t="n">
        <f aca="false">COUNTIF(AG3:AG23,"T")</f>
        <v>0</v>
      </c>
      <c r="AH26" s="1" t="n">
        <f aca="false">COUNTIF(AH3:AH23,"T")</f>
        <v>0</v>
      </c>
    </row>
    <row r="27" customFormat="false" ht="15" hidden="false" customHeight="false" outlineLevel="0" collapsed="false">
      <c r="C27" s="1" t="s">
        <v>10</v>
      </c>
      <c r="E27" s="1" t="n">
        <f aca="false">SUM(E24:E26)</f>
        <v>21</v>
      </c>
      <c r="F27" s="1" t="n">
        <f aca="false">SUM(F24:F26)</f>
        <v>18</v>
      </c>
      <c r="H27" s="1" t="n">
        <f aca="false">SUM(H24:H26)</f>
        <v>19</v>
      </c>
      <c r="J27" s="1" t="n">
        <f aca="false">SUM(J24:J26)</f>
        <v>19</v>
      </c>
      <c r="L27" s="1" t="n">
        <f aca="false">SUM(L24:L26)</f>
        <v>19</v>
      </c>
      <c r="N27" s="1" t="n">
        <f aca="false">SUM(N24:N26)</f>
        <v>16</v>
      </c>
      <c r="O27" s="1" t="n">
        <f aca="false">SUM(O24:O26)</f>
        <v>18</v>
      </c>
      <c r="Q27" s="1" t="n">
        <f aca="false">SUM(Q24:Q26)</f>
        <v>20</v>
      </c>
      <c r="S27" s="1" t="n">
        <f aca="false">SUM(S24:S26)</f>
        <v>18</v>
      </c>
      <c r="T27" s="1" t="n">
        <f aca="false">SUM(T24:T26)</f>
        <v>13</v>
      </c>
      <c r="AB27" s="1" t="n">
        <f aca="false">SUM(AB24:AB26)</f>
        <v>17</v>
      </c>
      <c r="AC27" s="1" t="n">
        <f aca="false">SUM(AC24:AC26)</f>
        <v>20</v>
      </c>
      <c r="AE27" s="1" t="n">
        <f aca="false">SUM(AE24:AE26)</f>
        <v>18</v>
      </c>
      <c r="AF27" s="1" t="n">
        <f aca="false">SUM(AF24:AF26)</f>
        <v>16</v>
      </c>
      <c r="AG27" s="1" t="n">
        <f aca="false">SUM(AG24:AG26)</f>
        <v>16</v>
      </c>
      <c r="AH27" s="1" t="n">
        <f aca="false">SUM(AH24:AH26)</f>
        <v>16</v>
      </c>
    </row>
  </sheetData>
  <conditionalFormatting sqref="AA3:AA23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T2" activeCellId="0" sqref="T2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7.45"/>
    <col collapsed="false" customWidth="false" hidden="true" outlineLevel="0" max="7" min="3" style="1" width="9.6"/>
    <col collapsed="false" customWidth="true" hidden="true" outlineLevel="0" max="9" min="8" style="1" width="12.26"/>
    <col collapsed="false" customWidth="false" hidden="true" outlineLevel="0" max="12" min="10" style="1" width="9.6"/>
    <col collapsed="false" customWidth="true" hidden="true" outlineLevel="0" max="13" min="13" style="1" width="10.37"/>
    <col collapsed="false" customWidth="false" hidden="false" outlineLevel="0" max="14" min="14" style="1" width="9.6"/>
    <col collapsed="false" customWidth="true" hidden="false" outlineLevel="0" max="16" min="15" style="1" width="11.91"/>
    <col collapsed="false" customWidth="true" hidden="false" outlineLevel="0" max="18" min="17" style="1" width="15.35"/>
    <col collapsed="false" customWidth="false" hidden="false" outlineLevel="0" max="25" min="19" style="1" width="9.6"/>
    <col collapsed="false" customWidth="true" hidden="false" outlineLevel="0" max="984" min="984" style="1" width="9.33"/>
    <col collapsed="false" customWidth="true" hidden="false" outlineLevel="0" max="16384" min="16342" style="1" width="10.58"/>
  </cols>
  <sheetData>
    <row r="1" customFormat="false" ht="15" hidden="false" customHeight="false" outlineLevel="0" collapsed="false">
      <c r="B1" s="2"/>
      <c r="K1" s="2" t="s">
        <v>84</v>
      </c>
    </row>
    <row r="2" customFormat="false" ht="15" hidden="false" customHeight="false" outlineLevel="0" collapsed="false">
      <c r="A2" s="1" t="s">
        <v>0</v>
      </c>
      <c r="B2" s="2" t="s">
        <v>2</v>
      </c>
      <c r="C2" s="2" t="s">
        <v>85</v>
      </c>
      <c r="D2" s="2" t="s">
        <v>86</v>
      </c>
      <c r="E2" s="2" t="s">
        <v>87</v>
      </c>
      <c r="F2" s="2" t="s">
        <v>5</v>
      </c>
      <c r="G2" s="2" t="s">
        <v>88</v>
      </c>
      <c r="H2" s="1" t="s">
        <v>89</v>
      </c>
      <c r="I2" s="2" t="s">
        <v>90</v>
      </c>
      <c r="J2" s="2" t="s">
        <v>91</v>
      </c>
      <c r="K2" s="2" t="s">
        <v>92</v>
      </c>
      <c r="L2" s="2" t="s">
        <v>93</v>
      </c>
      <c r="M2" s="2" t="s">
        <v>5</v>
      </c>
      <c r="N2" s="2" t="s">
        <v>94</v>
      </c>
      <c r="O2" s="2" t="s">
        <v>95</v>
      </c>
      <c r="P2" s="2" t="s">
        <v>96</v>
      </c>
      <c r="Q2" s="2" t="s">
        <v>95</v>
      </c>
      <c r="R2" s="2" t="s">
        <v>97</v>
      </c>
      <c r="S2" s="2" t="s">
        <v>98</v>
      </c>
      <c r="T2" s="2" t="s">
        <v>99</v>
      </c>
      <c r="U2" s="2" t="s">
        <v>100</v>
      </c>
      <c r="V2" s="2" t="s">
        <v>101</v>
      </c>
      <c r="W2" s="2" t="s">
        <v>102</v>
      </c>
      <c r="X2" s="2" t="s">
        <v>103</v>
      </c>
      <c r="Y2" s="2" t="s">
        <v>95</v>
      </c>
      <c r="Z2" s="2" t="s">
        <v>11</v>
      </c>
      <c r="AA2" s="2" t="s">
        <v>104</v>
      </c>
    </row>
    <row r="3" s="1" customFormat="true" ht="15" hidden="false" customHeight="false" outlineLevel="0" collapsed="false">
      <c r="A3" s="1" t="n">
        <v>1</v>
      </c>
      <c r="B3" s="2" t="s">
        <v>13</v>
      </c>
      <c r="C3" s="1" t="n">
        <v>10</v>
      </c>
      <c r="D3" s="1" t="n">
        <v>9</v>
      </c>
      <c r="E3" s="1" t="n">
        <v>4</v>
      </c>
      <c r="F3" s="3" t="n">
        <v>46169</v>
      </c>
      <c r="G3" s="1" t="n">
        <v>4</v>
      </c>
      <c r="I3" s="1" t="n">
        <v>3.75</v>
      </c>
      <c r="J3" s="1" t="n">
        <v>7</v>
      </c>
      <c r="K3" s="4" t="n">
        <f aca="false">ROUND(AVERAGE(C3,D3,E3,G3,I3,J3),0)</f>
        <v>6</v>
      </c>
      <c r="L3" s="4" t="str">
        <f aca="false">IF(K3&gt;6,"TEA",IF(K3&gt;3,"TEP","TED"))</f>
        <v>TEP</v>
      </c>
      <c r="N3" s="1" t="n">
        <v>1</v>
      </c>
      <c r="P3" s="1" t="n">
        <v>1</v>
      </c>
      <c r="R3" s="1" t="n">
        <v>7</v>
      </c>
      <c r="T3" s="1" t="n">
        <v>1</v>
      </c>
      <c r="V3" s="1" t="n">
        <v>1</v>
      </c>
      <c r="W3" s="1" t="n">
        <v>10</v>
      </c>
      <c r="X3" s="1" t="n">
        <v>9</v>
      </c>
      <c r="Z3" s="1" t="n">
        <f aca="false">ROUND(AVERAGE(K3,N3,P3,R3,T3,V3,W3,X3),0)</f>
        <v>5</v>
      </c>
      <c r="AA3" s="4" t="str">
        <f aca="false">IF(Z3&gt;6,"TEA",IF(Z3&gt;3,"TEP","TED"))</f>
        <v>TEP</v>
      </c>
    </row>
    <row r="4" s="1" customFormat="true" ht="15" hidden="false" customHeight="false" outlineLevel="0" collapsed="false">
      <c r="A4" s="1" t="n">
        <v>2</v>
      </c>
      <c r="B4" s="2" t="s">
        <v>19</v>
      </c>
      <c r="C4" s="1" t="n">
        <v>10</v>
      </c>
      <c r="D4" s="1" t="n">
        <v>7</v>
      </c>
      <c r="E4" s="1" t="n">
        <v>9</v>
      </c>
      <c r="G4" s="1" t="n">
        <v>8</v>
      </c>
      <c r="I4" s="1" t="n">
        <v>5.25</v>
      </c>
      <c r="J4" s="1" t="n">
        <v>10</v>
      </c>
      <c r="K4" s="4" t="n">
        <f aca="false">ROUND(AVERAGE(C4,D4,E4,G4,I4,J4),0)</f>
        <v>8</v>
      </c>
      <c r="L4" s="4" t="str">
        <f aca="false">IF(K4&gt;6,"TEA",IF(K4&gt;3,"TEP","TED"))</f>
        <v>TEA</v>
      </c>
      <c r="N4" s="1" t="n">
        <v>10</v>
      </c>
      <c r="P4" s="1" t="n">
        <v>4</v>
      </c>
      <c r="Q4" s="3" t="n">
        <v>46211</v>
      </c>
      <c r="R4" s="1" t="n">
        <v>10</v>
      </c>
      <c r="T4" s="1" t="n">
        <v>1</v>
      </c>
      <c r="V4" s="1" t="n">
        <v>10</v>
      </c>
      <c r="W4" s="1" t="n">
        <v>10</v>
      </c>
      <c r="X4" s="1" t="n">
        <v>1</v>
      </c>
      <c r="Z4" s="1" t="n">
        <f aca="false">ROUND(AVERAGE(K4,N4,P4,R4,T4,V4,W4,X4),0)</f>
        <v>7</v>
      </c>
      <c r="AA4" s="4" t="str">
        <f aca="false">IF(Z4&gt;6,"TEA",IF(Z4&gt;3,"TEP","TED"))</f>
        <v>TEA</v>
      </c>
    </row>
    <row r="5" s="1" customFormat="true" ht="15" hidden="false" customHeight="false" outlineLevel="0" collapsed="false">
      <c r="A5" s="1" t="n">
        <v>3</v>
      </c>
      <c r="B5" s="2" t="s">
        <v>22</v>
      </c>
      <c r="C5" s="1" t="n">
        <v>7</v>
      </c>
      <c r="D5" s="1" t="n">
        <v>9</v>
      </c>
      <c r="E5" s="1" t="n">
        <v>7</v>
      </c>
      <c r="F5" s="3" t="n">
        <v>46169</v>
      </c>
      <c r="G5" s="1" t="n">
        <v>4</v>
      </c>
      <c r="H5" s="3" t="n">
        <v>46169</v>
      </c>
      <c r="I5" s="1" t="n">
        <v>5</v>
      </c>
      <c r="J5" s="1" t="n">
        <v>9</v>
      </c>
      <c r="K5" s="4" t="n">
        <f aca="false">ROUND(AVERAGE(C5,D5,E5,G5,I5,J5),0)</f>
        <v>7</v>
      </c>
      <c r="L5" s="4" t="str">
        <f aca="false">IF(K5&gt;6,"TEA",IF(K5&gt;3,"TEP","TED"))</f>
        <v>TEA</v>
      </c>
      <c r="N5" s="1" t="n">
        <v>10</v>
      </c>
      <c r="P5" s="1" t="n">
        <v>1</v>
      </c>
      <c r="R5" s="1" t="n">
        <v>8</v>
      </c>
      <c r="T5" s="1" t="n">
        <v>1</v>
      </c>
      <c r="V5" s="1" t="n">
        <v>1</v>
      </c>
      <c r="W5" s="1" t="n">
        <v>10</v>
      </c>
      <c r="X5" s="1" t="n">
        <v>1</v>
      </c>
      <c r="Z5" s="1" t="n">
        <f aca="false">ROUND(AVERAGE(K5,N5,P5,R5,T5,V5,W5,X5),0)</f>
        <v>5</v>
      </c>
      <c r="AA5" s="4" t="str">
        <f aca="false">IF(Z5&gt;6,"TEA",IF(Z5&gt;3,"TEP","TED"))</f>
        <v>TEP</v>
      </c>
    </row>
    <row r="6" s="1" customFormat="true" ht="15" hidden="false" customHeight="false" outlineLevel="0" collapsed="false">
      <c r="A6" s="1" t="n">
        <v>4</v>
      </c>
      <c r="B6" s="2" t="s">
        <v>25</v>
      </c>
      <c r="C6" s="1" t="n">
        <v>10</v>
      </c>
      <c r="D6" s="1" t="n">
        <v>10</v>
      </c>
      <c r="E6" s="1" t="n">
        <v>8</v>
      </c>
      <c r="G6" s="1" t="n">
        <v>9</v>
      </c>
      <c r="I6" s="1" t="n">
        <v>9.25</v>
      </c>
      <c r="J6" s="1" t="n">
        <v>10</v>
      </c>
      <c r="K6" s="4" t="n">
        <f aca="false">ROUND(AVERAGE(C6,D6,E6,G6,I6,J6),0)</f>
        <v>9</v>
      </c>
      <c r="L6" s="4" t="str">
        <f aca="false">IF(K6&gt;6,"TEA",IF(K6&gt;3,"TEP","TED"))</f>
        <v>TEA</v>
      </c>
      <c r="N6" s="1" t="n">
        <v>10</v>
      </c>
      <c r="P6" s="1" t="n">
        <v>9</v>
      </c>
      <c r="R6" s="1" t="n">
        <v>10</v>
      </c>
      <c r="T6" s="1" t="n">
        <v>10</v>
      </c>
      <c r="V6" s="1" t="n">
        <v>10</v>
      </c>
      <c r="W6" s="1" t="n">
        <v>10</v>
      </c>
      <c r="X6" s="1" t="n">
        <v>10</v>
      </c>
      <c r="Z6" s="1" t="n">
        <f aca="false">ROUND(AVERAGE(K6,N6,P6,R6,T6,V6,W6,X6),0)</f>
        <v>10</v>
      </c>
      <c r="AA6" s="4" t="str">
        <f aca="false">IF(Z6&gt;6,"TEA",IF(Z6&gt;3,"TEP","TED"))</f>
        <v>TEA</v>
      </c>
    </row>
    <row r="7" s="1" customFormat="true" ht="15" hidden="false" customHeight="false" outlineLevel="0" collapsed="false">
      <c r="A7" s="1" t="n">
        <v>5</v>
      </c>
      <c r="B7" s="2" t="s">
        <v>28</v>
      </c>
      <c r="C7" s="1" t="n">
        <v>10</v>
      </c>
      <c r="D7" s="1" t="n">
        <v>7</v>
      </c>
      <c r="E7" s="2" t="n">
        <v>1</v>
      </c>
      <c r="F7" s="2"/>
      <c r="G7" s="1" t="n">
        <v>7</v>
      </c>
      <c r="I7" s="1" t="n">
        <v>7.75</v>
      </c>
      <c r="J7" s="1" t="n">
        <v>6</v>
      </c>
      <c r="K7" s="4" t="n">
        <f aca="false">ROUND(AVERAGE(C7,D7,E7,G7,I7,J7),0)</f>
        <v>6</v>
      </c>
      <c r="L7" s="4" t="str">
        <f aca="false">IF(K7&gt;6,"TEA",IF(K7&gt;3,"TEP","TED"))</f>
        <v>TEP</v>
      </c>
      <c r="N7" s="1" t="n">
        <v>6</v>
      </c>
      <c r="O7" s="3" t="n">
        <v>46211</v>
      </c>
      <c r="P7" s="1" t="n">
        <v>4</v>
      </c>
      <c r="Q7" s="3" t="n">
        <v>46211</v>
      </c>
      <c r="R7" s="1" t="n">
        <v>7</v>
      </c>
      <c r="S7" s="3" t="n">
        <v>46211</v>
      </c>
      <c r="T7" s="1" t="n">
        <v>6</v>
      </c>
      <c r="U7" s="3" t="n">
        <v>46211</v>
      </c>
      <c r="V7" s="1" t="n">
        <v>10</v>
      </c>
      <c r="W7" s="1" t="n">
        <v>10</v>
      </c>
      <c r="X7" s="1" t="n">
        <v>7</v>
      </c>
      <c r="Y7" s="3" t="n">
        <v>46211</v>
      </c>
      <c r="Z7" s="1" t="n">
        <f aca="false">ROUND(AVERAGE(K7,N7,P7,R7,T7,V7,W7,X7),0)</f>
        <v>7</v>
      </c>
      <c r="AA7" s="4" t="str">
        <f aca="false">IF(Z7&gt;6,"TEA",IF(Z7&gt;3,"TEP","TED"))</f>
        <v>TEA</v>
      </c>
    </row>
    <row r="8" s="2" customFormat="true" ht="15" hidden="false" customHeight="false" outlineLevel="0" collapsed="false">
      <c r="A8" s="1" t="n">
        <v>6</v>
      </c>
      <c r="B8" s="2" t="s">
        <v>31</v>
      </c>
      <c r="C8" s="2" t="n">
        <v>8</v>
      </c>
      <c r="D8" s="1" t="n">
        <v>9</v>
      </c>
      <c r="E8" s="1" t="n">
        <v>9</v>
      </c>
      <c r="F8" s="3" t="n">
        <v>46151</v>
      </c>
      <c r="G8" s="1" t="n">
        <v>9</v>
      </c>
      <c r="H8" s="3" t="n">
        <v>46157</v>
      </c>
      <c r="I8" s="2" t="n">
        <v>9.25</v>
      </c>
      <c r="J8" s="2" t="n">
        <v>10</v>
      </c>
      <c r="K8" s="4" t="n">
        <f aca="false">ROUND(AVERAGE(C8,D8,E8,G8,I8,J8),0)</f>
        <v>9</v>
      </c>
      <c r="L8" s="4" t="str">
        <f aca="false">IF(K8&gt;6,"TEA",IF(K8&gt;3,"TEP","TED"))</f>
        <v>TEA</v>
      </c>
      <c r="N8" s="1" t="n">
        <v>10</v>
      </c>
      <c r="O8" s="1"/>
      <c r="P8" s="1" t="n">
        <v>6</v>
      </c>
      <c r="Q8" s="3" t="n">
        <v>46211</v>
      </c>
      <c r="R8" s="2" t="n">
        <v>10</v>
      </c>
      <c r="T8" s="2" t="n">
        <v>1</v>
      </c>
      <c r="V8" s="2" t="n">
        <v>10</v>
      </c>
      <c r="W8" s="1" t="n">
        <v>10</v>
      </c>
      <c r="X8" s="1" t="n">
        <v>9</v>
      </c>
      <c r="Y8" s="1"/>
      <c r="Z8" s="1" t="n">
        <f aca="false">ROUND(AVERAGE(K8,N8,P8,R8,T8,V8,W8,X8),0)</f>
        <v>8</v>
      </c>
      <c r="AA8" s="4" t="str">
        <f aca="false">IF(Z8&gt;6,"TEA",IF(Z8&gt;3,"TEP","TED"))</f>
        <v>TEA</v>
      </c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1" customFormat="true" ht="15" hidden="false" customHeight="false" outlineLevel="0" collapsed="false">
      <c r="A9" s="1" t="n">
        <v>7</v>
      </c>
      <c r="B9" s="2" t="s">
        <v>35</v>
      </c>
      <c r="C9" s="1" t="n">
        <v>10</v>
      </c>
      <c r="D9" s="2" t="n">
        <v>7</v>
      </c>
      <c r="E9" s="2" t="n">
        <v>7</v>
      </c>
      <c r="F9" s="2"/>
      <c r="G9" s="1" t="n">
        <v>5</v>
      </c>
      <c r="I9" s="1" t="n">
        <v>6.5</v>
      </c>
      <c r="J9" s="1" t="n">
        <v>9</v>
      </c>
      <c r="K9" s="4" t="n">
        <f aca="false">ROUND(AVERAGE(C9,D9,E9,G9,I9,J9),0)</f>
        <v>7</v>
      </c>
      <c r="L9" s="4" t="str">
        <f aca="false">IF(K9&gt;6,"TEA",IF(K9&gt;3,"TEP","TED"))</f>
        <v>TEA</v>
      </c>
      <c r="N9" s="1" t="n">
        <v>10</v>
      </c>
      <c r="P9" s="1" t="n">
        <v>8</v>
      </c>
      <c r="R9" s="1" t="n">
        <v>8</v>
      </c>
      <c r="T9" s="1" t="n">
        <v>6</v>
      </c>
      <c r="U9" s="3" t="n">
        <v>46211</v>
      </c>
      <c r="V9" s="1" t="n">
        <v>10</v>
      </c>
      <c r="W9" s="1" t="n">
        <v>10</v>
      </c>
      <c r="X9" s="1" t="n">
        <v>1</v>
      </c>
      <c r="Z9" s="1" t="n">
        <f aca="false">ROUND(AVERAGE(K9,N9,P9,R9,T9,V9,W9,X9),0)</f>
        <v>8</v>
      </c>
      <c r="AA9" s="4" t="str">
        <f aca="false">IF(Z9&gt;6,"TEA",IF(Z9&gt;3,"TEP","TED"))</f>
        <v>TEA</v>
      </c>
    </row>
    <row r="10" s="1" customFormat="true" ht="15" hidden="false" customHeight="false" outlineLevel="0" collapsed="false">
      <c r="A10" s="1" t="n">
        <v>8</v>
      </c>
      <c r="B10" s="2" t="s">
        <v>38</v>
      </c>
      <c r="C10" s="1" t="n">
        <v>10</v>
      </c>
      <c r="D10" s="1" t="n">
        <v>10</v>
      </c>
      <c r="E10" s="1" t="n">
        <v>10</v>
      </c>
      <c r="G10" s="1" t="n">
        <v>10</v>
      </c>
      <c r="I10" s="1" t="n">
        <v>9.75</v>
      </c>
      <c r="J10" s="1" t="n">
        <v>10</v>
      </c>
      <c r="K10" s="4" t="n">
        <f aca="false">ROUND(AVERAGE(C10,D10,E10,G10,I10,J10),0)</f>
        <v>10</v>
      </c>
      <c r="L10" s="4" t="str">
        <f aca="false">IF(K10&gt;6,"TEA",IF(K10&gt;3,"TEP","TED"))</f>
        <v>TEA</v>
      </c>
      <c r="N10" s="1" t="n">
        <v>10</v>
      </c>
      <c r="P10" s="1" t="n">
        <v>8</v>
      </c>
      <c r="R10" s="1" t="n">
        <v>8</v>
      </c>
      <c r="T10" s="1" t="n">
        <v>10</v>
      </c>
      <c r="V10" s="1" t="n">
        <v>10</v>
      </c>
      <c r="W10" s="1" t="n">
        <v>10</v>
      </c>
      <c r="X10" s="1" t="n">
        <v>10</v>
      </c>
      <c r="Z10" s="1" t="n">
        <f aca="false">ROUND(AVERAGE(K10,N10,P10,R10,T10,V10,W10,X10),0)</f>
        <v>10</v>
      </c>
      <c r="AA10" s="4" t="str">
        <f aca="false">IF(Z10&gt;6,"TEA",IF(Z10&gt;3,"TEP","TED"))</f>
        <v>TEA</v>
      </c>
    </row>
    <row r="11" s="1" customFormat="true" ht="15" hidden="false" customHeight="false" outlineLevel="0" collapsed="false">
      <c r="A11" s="1" t="n">
        <v>9</v>
      </c>
      <c r="B11" s="2" t="s">
        <v>41</v>
      </c>
      <c r="C11" s="1" t="n">
        <v>8</v>
      </c>
      <c r="D11" s="1" t="n">
        <v>9</v>
      </c>
      <c r="E11" s="1" t="n">
        <v>3</v>
      </c>
      <c r="G11" s="1" t="n">
        <v>8</v>
      </c>
      <c r="I11" s="1" t="n">
        <v>4.25</v>
      </c>
      <c r="J11" s="1" t="n">
        <v>8</v>
      </c>
      <c r="K11" s="4" t="n">
        <f aca="false">ROUND(AVERAGE(C11,D11,E11,G11,I11,J11),0)</f>
        <v>7</v>
      </c>
      <c r="L11" s="4" t="str">
        <f aca="false">IF(K11&gt;6,"TEA",IF(K11&gt;3,"TEP","TED"))</f>
        <v>TEA</v>
      </c>
      <c r="N11" s="1" t="n">
        <v>9</v>
      </c>
      <c r="P11" s="1" t="n">
        <v>7</v>
      </c>
      <c r="Q11" s="3" t="n">
        <v>46211</v>
      </c>
      <c r="R11" s="1" t="n">
        <v>9</v>
      </c>
      <c r="T11" s="1" t="n">
        <v>7</v>
      </c>
      <c r="V11" s="1" t="n">
        <v>10</v>
      </c>
      <c r="W11" s="1" t="n">
        <v>10</v>
      </c>
      <c r="X11" s="1" t="n">
        <v>9</v>
      </c>
      <c r="Z11" s="1" t="n">
        <f aca="false">ROUND(AVERAGE(K11,N11,P11,R11,T11,V11,W11,X11),0)</f>
        <v>9</v>
      </c>
      <c r="AA11" s="4" t="str">
        <f aca="false">IF(Z11&gt;6,"TEA",IF(Z11&gt;3,"TEP","TED"))</f>
        <v>TEA</v>
      </c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="2" customFormat="true" ht="15" hidden="false" customHeight="false" outlineLevel="0" collapsed="false">
      <c r="A12" s="1" t="n">
        <v>10</v>
      </c>
      <c r="B12" s="2" t="s">
        <v>44</v>
      </c>
      <c r="C12" s="2" t="n">
        <v>10</v>
      </c>
      <c r="D12" s="2" t="n">
        <v>8</v>
      </c>
      <c r="E12" s="1" t="n">
        <v>5</v>
      </c>
      <c r="F12" s="3" t="n">
        <v>46169</v>
      </c>
      <c r="G12" s="1" t="n">
        <v>4</v>
      </c>
      <c r="H12" s="3" t="n">
        <v>46169</v>
      </c>
      <c r="I12" s="2" t="n">
        <v>4.75</v>
      </c>
      <c r="J12" s="2" t="n">
        <v>10</v>
      </c>
      <c r="K12" s="4" t="n">
        <f aca="false">ROUND(AVERAGE(C12,D12,E12,G12,I12,J12),0)</f>
        <v>7</v>
      </c>
      <c r="L12" s="4" t="str">
        <f aca="false">IF(K12&gt;6,"TEA",IF(K12&gt;3,"TEP","TED"))</f>
        <v>TEA</v>
      </c>
      <c r="N12" s="1" t="n">
        <v>9</v>
      </c>
      <c r="O12" s="1"/>
      <c r="P12" s="1" t="n">
        <v>7</v>
      </c>
      <c r="Q12" s="3" t="n">
        <v>46211</v>
      </c>
      <c r="R12" s="2" t="n">
        <v>8</v>
      </c>
      <c r="T12" s="2" t="n">
        <v>1</v>
      </c>
      <c r="V12" s="2" t="n">
        <v>10</v>
      </c>
      <c r="W12" s="1" t="n">
        <v>10</v>
      </c>
      <c r="X12" s="1" t="n">
        <v>9</v>
      </c>
      <c r="Y12" s="1"/>
      <c r="Z12" s="1" t="n">
        <f aca="false">ROUND(AVERAGE(K12,N12,P12,R12,T12,V12,W12,X12),0)</f>
        <v>8</v>
      </c>
      <c r="AA12" s="4" t="str">
        <f aca="false">IF(Z12&gt;6,"TEA",IF(Z12&gt;3,"TEP","TED"))</f>
        <v>TEA</v>
      </c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="1" customFormat="true" ht="15" hidden="false" customHeight="false" outlineLevel="0" collapsed="false">
      <c r="A13" s="1" t="n">
        <v>11</v>
      </c>
      <c r="B13" s="2" t="s">
        <v>47</v>
      </c>
      <c r="C13" s="1" t="n">
        <v>10</v>
      </c>
      <c r="D13" s="2" t="n">
        <v>9</v>
      </c>
      <c r="E13" s="1" t="n">
        <v>7</v>
      </c>
      <c r="G13" s="1" t="n">
        <v>7</v>
      </c>
      <c r="I13" s="1" t="n">
        <v>8.75</v>
      </c>
      <c r="J13" s="1" t="n">
        <v>10</v>
      </c>
      <c r="K13" s="4" t="n">
        <f aca="false">ROUND(AVERAGE(C13,D13,E13,G13,I13,J13),0)</f>
        <v>9</v>
      </c>
      <c r="L13" s="4" t="str">
        <f aca="false">IF(K13&gt;6,"TEA",IF(K13&gt;3,"TEP","TED"))</f>
        <v>TEA</v>
      </c>
      <c r="N13" s="1" t="n">
        <v>10</v>
      </c>
      <c r="P13" s="1" t="n">
        <v>8</v>
      </c>
      <c r="R13" s="1" t="n">
        <v>10</v>
      </c>
      <c r="T13" s="1" t="n">
        <v>1</v>
      </c>
      <c r="V13" s="1" t="n">
        <v>10</v>
      </c>
      <c r="W13" s="1" t="n">
        <v>10</v>
      </c>
      <c r="X13" s="1" t="n">
        <v>9</v>
      </c>
      <c r="Z13" s="1" t="n">
        <f aca="false">ROUND(AVERAGE(K13,N13,P13,R13,T13,V13,W13,X13),0)</f>
        <v>8</v>
      </c>
      <c r="AA13" s="4" t="str">
        <f aca="false">IF(Z13&gt;6,"TEA",IF(Z13&gt;3,"TEP","TED"))</f>
        <v>TEA</v>
      </c>
    </row>
    <row r="14" s="1" customFormat="true" ht="15" hidden="false" customHeight="false" outlineLevel="0" collapsed="false">
      <c r="A14" s="1" t="n">
        <v>12</v>
      </c>
      <c r="B14" s="2" t="s">
        <v>50</v>
      </c>
      <c r="C14" s="1" t="n">
        <v>10</v>
      </c>
      <c r="D14" s="1" t="n">
        <v>9</v>
      </c>
      <c r="E14" s="1" t="n">
        <v>9</v>
      </c>
      <c r="G14" s="1" t="n">
        <v>9</v>
      </c>
      <c r="I14" s="1" t="n">
        <v>8.5</v>
      </c>
      <c r="J14" s="1" t="n">
        <v>10</v>
      </c>
      <c r="K14" s="4" t="n">
        <f aca="false">ROUND(AVERAGE(C14,D14,E14,G14,I14,J14),0)</f>
        <v>9</v>
      </c>
      <c r="L14" s="4" t="str">
        <f aca="false">IF(K14&gt;6,"TEA",IF(K14&gt;3,"TEP","TED"))</f>
        <v>TEA</v>
      </c>
      <c r="N14" s="1" t="n">
        <v>10</v>
      </c>
      <c r="P14" s="1" t="n">
        <v>9</v>
      </c>
      <c r="R14" s="1" t="n">
        <v>10</v>
      </c>
      <c r="T14" s="1" t="n">
        <v>10</v>
      </c>
      <c r="V14" s="1" t="n">
        <v>10</v>
      </c>
      <c r="W14" s="1" t="n">
        <v>10</v>
      </c>
      <c r="X14" s="1" t="n">
        <v>10</v>
      </c>
      <c r="Z14" s="1" t="n">
        <f aca="false">ROUND(AVERAGE(K14,N14,P14,R14,T14,V14,W14,X14),0)</f>
        <v>10</v>
      </c>
      <c r="AA14" s="4" t="str">
        <f aca="false">IF(Z14&gt;6,"TEA",IF(Z14&gt;3,"TEP","TED"))</f>
        <v>TEA</v>
      </c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="2" customFormat="true" ht="15" hidden="false" customHeight="false" outlineLevel="0" collapsed="false">
      <c r="A15" s="1" t="n">
        <v>13</v>
      </c>
      <c r="B15" s="2" t="s">
        <v>53</v>
      </c>
      <c r="C15" s="2" t="n">
        <v>9</v>
      </c>
      <c r="D15" s="1" t="n">
        <v>7</v>
      </c>
      <c r="E15" s="1" t="n">
        <v>4</v>
      </c>
      <c r="F15" s="3" t="n">
        <v>46169</v>
      </c>
      <c r="G15" s="1" t="n">
        <v>1</v>
      </c>
      <c r="H15" s="1"/>
      <c r="I15" s="2" t="n">
        <v>4.5</v>
      </c>
      <c r="J15" s="2" t="n">
        <v>9</v>
      </c>
      <c r="K15" s="4" t="n">
        <f aca="false">ROUND(AVERAGE(C15,D15,E15,G15,I15,J15),0)</f>
        <v>6</v>
      </c>
      <c r="L15" s="4" t="str">
        <f aca="false">IF(K15&gt;6,"TEA",IF(K15&gt;3,"TEP","TED"))</f>
        <v>TEP</v>
      </c>
      <c r="N15" s="1" t="n">
        <v>5</v>
      </c>
      <c r="O15" s="3" t="n">
        <v>46211</v>
      </c>
      <c r="P15" s="1" t="n">
        <v>5</v>
      </c>
      <c r="Q15" s="3" t="n">
        <v>46211</v>
      </c>
      <c r="R15" s="2" t="n">
        <v>1</v>
      </c>
      <c r="T15" s="2" t="n">
        <v>1</v>
      </c>
      <c r="V15" s="2" t="n">
        <v>1</v>
      </c>
      <c r="W15" s="2" t="n">
        <v>1</v>
      </c>
      <c r="X15" s="1" t="n">
        <v>1</v>
      </c>
      <c r="Y15" s="1"/>
      <c r="Z15" s="1" t="n">
        <f aca="false">ROUND(AVERAGE(K15,N15,P15,R15,T15,V15,W15,X15),0)</f>
        <v>3</v>
      </c>
      <c r="AA15" s="4" t="str">
        <f aca="false">IF(Z15&gt;6,"TEA",IF(Z15&gt;3,"TEP","TED"))</f>
        <v>TED</v>
      </c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true" ht="15" hidden="false" customHeight="false" outlineLevel="0" collapsed="false">
      <c r="A16" s="1" t="n">
        <v>14</v>
      </c>
      <c r="B16" s="2" t="s">
        <v>56</v>
      </c>
      <c r="C16" s="1" t="n">
        <v>10</v>
      </c>
      <c r="D16" s="2" t="n">
        <v>7</v>
      </c>
      <c r="E16" s="1" t="n">
        <v>9</v>
      </c>
      <c r="G16" s="1" t="n">
        <v>7</v>
      </c>
      <c r="I16" s="1" t="n">
        <v>8.25</v>
      </c>
      <c r="J16" s="1" t="n">
        <v>10</v>
      </c>
      <c r="K16" s="4" t="n">
        <f aca="false">ROUND(AVERAGE(C16,D16,E16,G16,I16,J16),0)</f>
        <v>9</v>
      </c>
      <c r="L16" s="4" t="str">
        <f aca="false">IF(K16&gt;6,"TEA",IF(K16&gt;3,"TEP","TED"))</f>
        <v>TEA</v>
      </c>
      <c r="N16" s="1" t="n">
        <v>10</v>
      </c>
      <c r="P16" s="1" t="n">
        <v>9</v>
      </c>
      <c r="R16" s="1" t="n">
        <v>9</v>
      </c>
      <c r="T16" s="1" t="n">
        <v>10</v>
      </c>
      <c r="V16" s="1" t="n">
        <v>10</v>
      </c>
      <c r="W16" s="1" t="n">
        <v>10</v>
      </c>
      <c r="X16" s="1" t="n">
        <v>10</v>
      </c>
      <c r="Z16" s="1" t="n">
        <f aca="false">ROUND(AVERAGE(K16,N16,P16,R16,T16,V16,W16,X16),0)</f>
        <v>10</v>
      </c>
      <c r="AA16" s="4" t="str">
        <f aca="false">IF(Z16&gt;6,"TEA",IF(Z16&gt;3,"TEP","TED"))</f>
        <v>TEA</v>
      </c>
    </row>
    <row r="17" s="1" customFormat="true" ht="15" hidden="false" customHeight="false" outlineLevel="0" collapsed="false">
      <c r="A17" s="1" t="n">
        <v>15</v>
      </c>
      <c r="B17" s="2" t="s">
        <v>59</v>
      </c>
      <c r="C17" s="1" t="n">
        <v>10</v>
      </c>
      <c r="D17" s="1" t="n">
        <v>7</v>
      </c>
      <c r="E17" s="1" t="n">
        <v>9</v>
      </c>
      <c r="F17" s="3" t="n">
        <v>46151</v>
      </c>
      <c r="G17" s="1" t="n">
        <v>5</v>
      </c>
      <c r="I17" s="1" t="n">
        <v>7.75</v>
      </c>
      <c r="J17" s="1" t="n">
        <v>10</v>
      </c>
      <c r="K17" s="4" t="n">
        <f aca="false">ROUND(AVERAGE(C17,D17,E17,G17,I17,J17),0)</f>
        <v>8</v>
      </c>
      <c r="L17" s="4" t="str">
        <f aca="false">IF(K17&gt;6,"TEA",IF(K17&gt;3,"TEP","TED"))</f>
        <v>TEA</v>
      </c>
      <c r="N17" s="1" t="n">
        <v>10</v>
      </c>
      <c r="P17" s="1" t="n">
        <v>5</v>
      </c>
      <c r="R17" s="1" t="n">
        <v>8</v>
      </c>
      <c r="T17" s="1" t="n">
        <v>1</v>
      </c>
      <c r="V17" s="1" t="n">
        <v>10</v>
      </c>
      <c r="W17" s="1" t="n">
        <v>10</v>
      </c>
      <c r="X17" s="1" t="n">
        <v>1</v>
      </c>
      <c r="Z17" s="1" t="n">
        <f aca="false">ROUND(AVERAGE(K17,N17,P17,R17,T17,V17,W17,X17),0)</f>
        <v>7</v>
      </c>
      <c r="AA17" s="4" t="str">
        <f aca="false">IF(Z17&gt;6,"TEA",IF(Z17&gt;3,"TEP","TED"))</f>
        <v>TEA</v>
      </c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  <c r="XFD17" s="5"/>
    </row>
    <row r="18" s="5" customFormat="true" ht="15" hidden="false" customHeight="false" outlineLevel="0" collapsed="false">
      <c r="A18" s="6" t="n">
        <v>16</v>
      </c>
      <c r="B18" s="5" t="s">
        <v>105</v>
      </c>
      <c r="C18" s="5" t="n">
        <v>1</v>
      </c>
      <c r="D18" s="6" t="n">
        <v>1</v>
      </c>
      <c r="E18" s="6" t="n">
        <v>1</v>
      </c>
      <c r="F18" s="6"/>
      <c r="G18" s="6" t="n">
        <v>1</v>
      </c>
      <c r="H18" s="6"/>
      <c r="I18" s="5" t="n">
        <v>1</v>
      </c>
      <c r="J18" s="5" t="n">
        <v>3</v>
      </c>
      <c r="K18" s="7" t="n">
        <f aca="false">ROUND(AVERAGE(C18,D18,E18,G18,I18,J18),0)</f>
        <v>1</v>
      </c>
      <c r="L18" s="7" t="str">
        <f aca="false">IF(K18&gt;6,"TEA",IF(K18&gt;3,"TEP","TED"))</f>
        <v>TED</v>
      </c>
      <c r="M18" s="5" t="s">
        <v>66</v>
      </c>
      <c r="N18" s="6" t="n">
        <v>1</v>
      </c>
      <c r="O18" s="6"/>
      <c r="P18" s="6" t="n">
        <v>1</v>
      </c>
      <c r="Q18" s="6"/>
      <c r="R18" s="5" t="n">
        <v>1</v>
      </c>
      <c r="T18" s="5" t="n">
        <v>1</v>
      </c>
      <c r="V18" s="5" t="n">
        <v>1</v>
      </c>
      <c r="W18" s="5" t="n">
        <v>1</v>
      </c>
      <c r="X18" s="1" t="n">
        <v>1</v>
      </c>
      <c r="Y18" s="1"/>
      <c r="Z18" s="1" t="n">
        <f aca="false">ROUND(AVERAGE(K18,N18,P18,R18,T18,V18,W18,X18),0)</f>
        <v>1</v>
      </c>
      <c r="AA18" s="4" t="str">
        <f aca="false">IF(Z18&gt;6,"TEA",IF(Z18&gt;3,"TEP","TED"))</f>
        <v>TED</v>
      </c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="2" customFormat="true" ht="15" hidden="false" customHeight="false" outlineLevel="0" collapsed="false">
      <c r="A19" s="1" t="n">
        <v>17</v>
      </c>
      <c r="B19" s="2" t="s">
        <v>68</v>
      </c>
      <c r="C19" s="2" t="n">
        <v>7</v>
      </c>
      <c r="D19" s="1" t="n">
        <v>9</v>
      </c>
      <c r="E19" s="1" t="n">
        <v>1</v>
      </c>
      <c r="F19" s="1"/>
      <c r="G19" s="1" t="n">
        <v>1</v>
      </c>
      <c r="H19" s="1"/>
      <c r="I19" s="2" t="n">
        <v>4</v>
      </c>
      <c r="J19" s="2" t="n">
        <v>6</v>
      </c>
      <c r="K19" s="4" t="n">
        <f aca="false">ROUND(AVERAGE(C19,D19,E19,G19,I19,J19),0)</f>
        <v>5</v>
      </c>
      <c r="L19" s="4" t="str">
        <f aca="false">IF(K19&gt;6,"TEA",IF(K19&gt;3,"TEP","TED"))</f>
        <v>TEP</v>
      </c>
      <c r="N19" s="1" t="n">
        <v>6</v>
      </c>
      <c r="O19" s="3" t="n">
        <v>46211</v>
      </c>
      <c r="P19" s="1" t="n">
        <v>6</v>
      </c>
      <c r="Q19" s="3" t="n">
        <v>46211</v>
      </c>
      <c r="R19" s="2" t="n">
        <v>7</v>
      </c>
      <c r="S19" s="8" t="n">
        <v>46211</v>
      </c>
      <c r="T19" s="2" t="n">
        <v>6</v>
      </c>
      <c r="U19" s="8" t="n">
        <v>46211</v>
      </c>
      <c r="V19" s="2" t="n">
        <v>10</v>
      </c>
      <c r="W19" s="2" t="n">
        <v>1</v>
      </c>
      <c r="X19" s="1" t="n">
        <v>6</v>
      </c>
      <c r="Y19" s="3" t="n">
        <v>46211</v>
      </c>
      <c r="Z19" s="1" t="n">
        <f aca="false">ROUND(AVERAGE(K19,N19,P19,R19,T19,V19,W19,X19),0)</f>
        <v>6</v>
      </c>
      <c r="AA19" s="4" t="str">
        <f aca="false">IF(Z19&gt;6,"TEA",IF(Z19&gt;3,"TEP","TED"))</f>
        <v>TEP</v>
      </c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XDN19" s="6"/>
      <c r="XDO19" s="6"/>
      <c r="XDP19" s="6"/>
      <c r="XDQ19" s="6"/>
      <c r="XDR19" s="6"/>
      <c r="XDS19" s="6"/>
      <c r="XDT19" s="6"/>
      <c r="XDU19" s="6"/>
      <c r="XDV19" s="6"/>
      <c r="XDW19" s="6"/>
      <c r="XDX19" s="6"/>
      <c r="XDY19" s="6"/>
      <c r="XDZ19" s="6"/>
      <c r="XEA19" s="6"/>
      <c r="XEB19" s="6"/>
      <c r="XEC19" s="6"/>
      <c r="XED19" s="6"/>
      <c r="XEE19" s="6"/>
      <c r="XEF19" s="6"/>
      <c r="XEG19" s="6"/>
      <c r="XEH19" s="6"/>
      <c r="XEI19" s="6"/>
      <c r="XEJ19" s="6"/>
      <c r="XEK19" s="6"/>
      <c r="XEL19" s="6"/>
      <c r="XEM19" s="6"/>
      <c r="XEN19" s="6"/>
      <c r="XEO19" s="6"/>
      <c r="XEP19" s="6"/>
      <c r="XEQ19" s="6"/>
      <c r="XER19" s="6"/>
      <c r="XES19" s="6"/>
      <c r="XET19" s="6"/>
      <c r="XEU19" s="6"/>
      <c r="XEV19" s="6"/>
      <c r="XEW19" s="6"/>
      <c r="XEX19" s="6"/>
      <c r="XEY19" s="6"/>
      <c r="XEZ19" s="6"/>
      <c r="XFA19" s="6"/>
      <c r="XFB19" s="6"/>
      <c r="XFC19" s="6"/>
      <c r="XFD19" s="6"/>
    </row>
    <row r="20" s="6" customFormat="true" ht="15" hidden="false" customHeight="false" outlineLevel="0" collapsed="false">
      <c r="A20" s="6" t="n">
        <v>18</v>
      </c>
      <c r="B20" s="5" t="s">
        <v>106</v>
      </c>
      <c r="C20" s="6" t="n">
        <v>1</v>
      </c>
      <c r="D20" s="6" t="n">
        <v>10</v>
      </c>
      <c r="E20" s="6" t="n">
        <v>1</v>
      </c>
      <c r="G20" s="6" t="n">
        <v>6</v>
      </c>
      <c r="I20" s="6" t="n">
        <v>1</v>
      </c>
      <c r="J20" s="6" t="n">
        <v>6</v>
      </c>
      <c r="K20" s="7" t="n">
        <f aca="false">ROUND(AVERAGE(C20,D20,E20,G20,I20,J20),0)</f>
        <v>4</v>
      </c>
      <c r="L20" s="7" t="str">
        <f aca="false">IF(K20&gt;6,"TEA",IF(K20&gt;3,"TEP","TED"))</f>
        <v>TEP</v>
      </c>
      <c r="M20" s="6" t="s">
        <v>66</v>
      </c>
      <c r="N20" s="6" t="n">
        <v>1</v>
      </c>
      <c r="P20" s="6" t="n">
        <v>1</v>
      </c>
      <c r="R20" s="6" t="n">
        <v>1</v>
      </c>
      <c r="T20" s="6" t="n">
        <v>1</v>
      </c>
      <c r="V20" s="6" t="n">
        <v>1</v>
      </c>
      <c r="W20" s="6" t="n">
        <v>1</v>
      </c>
      <c r="X20" s="1" t="n">
        <v>1</v>
      </c>
      <c r="Y20" s="1"/>
      <c r="Z20" s="1" t="n">
        <f aca="false">ROUND(AVERAGE(K20,N20,P20,R20,T20,V20,W20,X20),0)</f>
        <v>1</v>
      </c>
      <c r="AA20" s="4" t="str">
        <f aca="false">IF(Z20&gt;6,"TEA",IF(Z20&gt;3,"TEP","TED"))</f>
        <v>TED</v>
      </c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" customFormat="true" ht="15" hidden="false" customHeight="false" outlineLevel="0" collapsed="false">
      <c r="A21" s="1" t="n">
        <v>19</v>
      </c>
      <c r="B21" s="2" t="s">
        <v>74</v>
      </c>
      <c r="C21" s="1" t="n">
        <v>10</v>
      </c>
      <c r="D21" s="1" t="n">
        <v>7</v>
      </c>
      <c r="E21" s="1" t="n">
        <v>7</v>
      </c>
      <c r="F21" s="3" t="n">
        <v>46169</v>
      </c>
      <c r="G21" s="1" t="n">
        <v>7</v>
      </c>
      <c r="I21" s="1" t="n">
        <v>3.25</v>
      </c>
      <c r="J21" s="1" t="n">
        <v>8</v>
      </c>
      <c r="K21" s="4" t="n">
        <f aca="false">ROUND(AVERAGE(C21,D21,E21,G21,I21,J21),0)</f>
        <v>7</v>
      </c>
      <c r="L21" s="4" t="str">
        <f aca="false">IF(K21&gt;6,"TEA",IF(K21&gt;3,"TEP","TED"))</f>
        <v>TEA</v>
      </c>
      <c r="N21" s="1" t="n">
        <v>1</v>
      </c>
      <c r="P21" s="1" t="n">
        <v>7</v>
      </c>
      <c r="R21" s="1" t="n">
        <v>7</v>
      </c>
      <c r="S21" s="3" t="n">
        <v>46211</v>
      </c>
      <c r="T21" s="1" t="n">
        <v>1</v>
      </c>
      <c r="V21" s="1" t="n">
        <v>1</v>
      </c>
      <c r="W21" s="1" t="n">
        <v>10</v>
      </c>
      <c r="X21" s="1" t="n">
        <v>8</v>
      </c>
      <c r="Z21" s="1" t="n">
        <f aca="false">ROUND(AVERAGE(K21,N21,P21,R21,T21,V21,W21,X21),0)</f>
        <v>5</v>
      </c>
      <c r="AA21" s="4" t="str">
        <f aca="false">IF(Z21&gt;6,"TEA",IF(Z21&gt;3,"TEP","TED"))</f>
        <v>TEP</v>
      </c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="2" customFormat="true" ht="15" hidden="false" customHeight="false" outlineLevel="0" collapsed="false">
      <c r="A22" s="1" t="n">
        <v>20</v>
      </c>
      <c r="B22" s="2" t="s">
        <v>77</v>
      </c>
      <c r="C22" s="1" t="n">
        <v>10</v>
      </c>
      <c r="D22" s="1" t="n">
        <v>7</v>
      </c>
      <c r="E22" s="1" t="n">
        <v>10</v>
      </c>
      <c r="F22" s="1"/>
      <c r="G22" s="1" t="n">
        <v>8</v>
      </c>
      <c r="H22" s="1"/>
      <c r="I22" s="1" t="n">
        <v>9.75</v>
      </c>
      <c r="J22" s="1" t="n">
        <v>9</v>
      </c>
      <c r="K22" s="4" t="n">
        <f aca="false">ROUND(AVERAGE(C22,D22,E22,G22,I22,J22),0)</f>
        <v>9</v>
      </c>
      <c r="L22" s="4" t="str">
        <f aca="false">IF(K22&gt;6,"TEA",IF(K22&gt;3,"TEP","TED"))</f>
        <v>TEA</v>
      </c>
      <c r="M22" s="1"/>
      <c r="N22" s="1" t="n">
        <v>10</v>
      </c>
      <c r="O22" s="1"/>
      <c r="P22" s="1" t="n">
        <v>6</v>
      </c>
      <c r="Q22" s="1"/>
      <c r="R22" s="1" t="n">
        <v>8</v>
      </c>
      <c r="S22" s="1"/>
      <c r="T22" s="1" t="n">
        <v>10</v>
      </c>
      <c r="U22" s="1"/>
      <c r="V22" s="1" t="n">
        <v>10</v>
      </c>
      <c r="W22" s="1" t="n">
        <v>10</v>
      </c>
      <c r="X22" s="1" t="n">
        <v>10</v>
      </c>
      <c r="Y22" s="1"/>
      <c r="Z22" s="1" t="n">
        <f aca="false">ROUND(AVERAGE(K22,N22,P22,R22,T22,V22,W22,X22),0)</f>
        <v>9</v>
      </c>
      <c r="AA22" s="4" t="str">
        <f aca="false">IF(Z22&gt;6,"TEA",IF(Z22&gt;3,"TEP","TED"))</f>
        <v>TEA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XDN22" s="6"/>
      <c r="XDO22" s="6"/>
      <c r="XDP22" s="6"/>
      <c r="XDQ22" s="6"/>
      <c r="XDR22" s="6"/>
      <c r="XDS22" s="6"/>
      <c r="XDT22" s="6"/>
      <c r="XDU22" s="6"/>
      <c r="XDV22" s="6"/>
      <c r="XDW22" s="6"/>
      <c r="XDX22" s="6"/>
      <c r="XDY22" s="6"/>
      <c r="XDZ22" s="6"/>
      <c r="XEA22" s="6"/>
      <c r="XEB22" s="6"/>
      <c r="XEC22" s="6"/>
      <c r="XED22" s="6"/>
      <c r="XEE22" s="6"/>
      <c r="XEF22" s="6"/>
      <c r="XEG22" s="6"/>
      <c r="XEH22" s="6"/>
      <c r="XEI22" s="6"/>
      <c r="XEJ22" s="6"/>
      <c r="XEK22" s="6"/>
      <c r="XEL22" s="6"/>
      <c r="XEM22" s="6"/>
      <c r="XEN22" s="6"/>
      <c r="XEO22" s="6"/>
      <c r="XEP22" s="6"/>
      <c r="XEQ22" s="6"/>
      <c r="XER22" s="6"/>
      <c r="XES22" s="6"/>
      <c r="XET22" s="6"/>
      <c r="XEU22" s="6"/>
      <c r="XEV22" s="6"/>
      <c r="XEW22" s="6"/>
      <c r="XEX22" s="6"/>
      <c r="XEY22" s="6"/>
      <c r="XEZ22" s="6"/>
      <c r="XFA22" s="6"/>
      <c r="XFB22" s="6"/>
      <c r="XFC22" s="6"/>
      <c r="XFD22" s="6"/>
    </row>
    <row r="23" s="6" customFormat="true" ht="15" hidden="false" customHeight="false" outlineLevel="0" collapsed="false">
      <c r="A23" s="6" t="n">
        <v>21</v>
      </c>
      <c r="B23" s="5" t="s">
        <v>107</v>
      </c>
      <c r="C23" s="5" t="n">
        <v>1</v>
      </c>
      <c r="D23" s="6" t="n">
        <v>1</v>
      </c>
      <c r="E23" s="6" t="n">
        <v>1</v>
      </c>
      <c r="G23" s="6" t="n">
        <v>1</v>
      </c>
      <c r="I23" s="5" t="n">
        <v>1</v>
      </c>
      <c r="J23" s="5" t="n">
        <v>9</v>
      </c>
      <c r="K23" s="7" t="n">
        <f aca="false">ROUND(AVERAGE(C23,D23,E23,G23,I23,J23),0)</f>
        <v>2</v>
      </c>
      <c r="L23" s="7" t="str">
        <f aca="false">IF(K23&gt;6,"TEA",IF(K23&gt;3,"TEP","TED"))</f>
        <v>TED</v>
      </c>
      <c r="M23" s="5" t="s">
        <v>66</v>
      </c>
      <c r="N23" s="6" t="n">
        <v>1</v>
      </c>
      <c r="P23" s="6" t="n">
        <v>1</v>
      </c>
      <c r="R23" s="5" t="n">
        <v>1</v>
      </c>
      <c r="S23" s="5"/>
      <c r="T23" s="5" t="n">
        <v>1</v>
      </c>
      <c r="U23" s="5"/>
      <c r="V23" s="5" t="n">
        <v>1</v>
      </c>
      <c r="W23" s="5" t="n">
        <v>1</v>
      </c>
      <c r="X23" s="1" t="n">
        <v>1</v>
      </c>
      <c r="Y23" s="1"/>
      <c r="Z23" s="1" t="n">
        <f aca="false">ROUND(AVERAGE(K23,N23,P23,R23,T23,V23,W23,X23),0)</f>
        <v>1</v>
      </c>
      <c r="AA23" s="4" t="str">
        <f aca="false">IF(Z23&gt;6,"TEA",IF(Z23&gt;3,"TEP","TED"))</f>
        <v>TED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</sheetData>
  <conditionalFormatting sqref="K3:K23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conditionalFormatting sqref="L3:L23"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2">
      <formula>"TED"</formula>
    </cfRule>
  </conditionalFormatting>
  <conditionalFormatting sqref="C3:H23">
    <cfRule type="cellIs" priority="8" operator="greaterThan" aboveAverage="0" equalAverage="0" bottom="0" percent="0" rank="0" text="" dxfId="0">
      <formula>6</formula>
    </cfRule>
    <cfRule type="cellIs" priority="9" operator="notBetween" aboveAverage="0" equalAverage="0" bottom="0" percent="0" rank="0" text="" dxfId="1">
      <formula>4</formula>
      <formula>6</formula>
    </cfRule>
    <cfRule type="cellIs" priority="10" operator="lessThan" aboveAverage="0" equalAverage="0" bottom="0" percent="0" rank="0" text="" dxfId="2">
      <formula>4</formula>
    </cfRule>
  </conditionalFormatting>
  <conditionalFormatting sqref="N3:Q23 R3:S17 R20:S23">
    <cfRule type="cellIs" priority="11" operator="greaterThan" aboveAverage="0" equalAverage="0" bottom="0" percent="0" rank="0" text="" dxfId="3">
      <formula>6</formula>
    </cfRule>
    <cfRule type="cellIs" priority="12" operator="between" aboveAverage="0" equalAverage="0" bottom="0" percent="0" rank="0" text="" dxfId="4">
      <formula>4</formula>
      <formula>6</formula>
    </cfRule>
    <cfRule type="cellIs" priority="13" operator="lessThan" aboveAverage="0" equalAverage="0" bottom="0" percent="0" rank="0" text="" dxfId="5">
      <formula>4</formula>
    </cfRule>
  </conditionalFormatting>
  <conditionalFormatting sqref="V3:Z23 T3:U17 T19:U23">
    <cfRule type="cellIs" priority="14" operator="greaterThan" aboveAverage="0" equalAverage="0" bottom="0" percent="0" rank="0" text="" dxfId="6">
      <formula>6</formula>
    </cfRule>
    <cfRule type="cellIs" priority="15" operator="between" aboveAverage="0" equalAverage="0" bottom="0" percent="0" rank="0" text="" dxfId="7">
      <formula>4</formula>
      <formula>6</formula>
    </cfRule>
    <cfRule type="cellIs" priority="16" operator="lessThan" aboveAverage="0" equalAverage="0" bottom="0" percent="0" rank="0" text="" dxfId="8">
      <formula>4</formula>
    </cfRule>
  </conditionalFormatting>
  <conditionalFormatting sqref="AA3:AA23">
    <cfRule type="cellIs" priority="17" operator="equal" aboveAverage="0" equalAverage="0" bottom="0" percent="0" rank="0" text="" dxfId="6">
      <formula>"TEA"</formula>
    </cfRule>
    <cfRule type="cellIs" priority="18" operator="equal" aboveAverage="0" equalAverage="0" bottom="0" percent="0" rank="0" text="" dxfId="7">
      <formula>"TEP"</formula>
    </cfRule>
    <cfRule type="cellIs" priority="19" operator="equal" aboveAverage="0" equalAverage="0" bottom="0" percent="0" rank="0" text="" dxfId="8">
      <formula>"TED"</formula>
    </cfRule>
  </conditionalFormatting>
  <conditionalFormatting sqref="R19:S19">
    <cfRule type="cellIs" priority="20" operator="greaterThan" aboveAverage="0" equalAverage="0" bottom="0" percent="0" rank="0" text="" dxfId="3">
      <formula>6</formula>
    </cfRule>
    <cfRule type="cellIs" priority="21" operator="between" aboveAverage="0" equalAverage="0" bottom="0" percent="0" rank="0" text="" dxfId="4">
      <formula>4</formula>
      <formula>6</formula>
    </cfRule>
    <cfRule type="cellIs" priority="22" operator="lessThan" aboveAverage="0" equalAverage="0" bottom="0" percent="0" rank="0" text="" dxfId="5">
      <formula>4</formula>
    </cfRule>
  </conditionalFormatting>
  <conditionalFormatting sqref="R18:S18">
    <cfRule type="cellIs" priority="23" operator="greaterThan" aboveAverage="0" equalAverage="0" bottom="0" percent="0" rank="0" text="" dxfId="3">
      <formula>6</formula>
    </cfRule>
    <cfRule type="cellIs" priority="24" operator="between" aboveAverage="0" equalAverage="0" bottom="0" percent="0" rank="0" text="" dxfId="4">
      <formula>4</formula>
      <formula>6</formula>
    </cfRule>
    <cfRule type="cellIs" priority="25" operator="lessThan" aboveAverage="0" equalAverage="0" bottom="0" percent="0" rank="0" text="" dxfId="5">
      <formula>4</formula>
    </cfRule>
  </conditionalFormatting>
  <conditionalFormatting sqref="T18:U18">
    <cfRule type="cellIs" priority="26" operator="greaterThan" aboveAverage="0" equalAverage="0" bottom="0" percent="0" rank="0" text="" dxfId="6">
      <formula>6</formula>
    </cfRule>
    <cfRule type="cellIs" priority="27" operator="between" aboveAverage="0" equalAverage="0" bottom="0" percent="0" rank="0" text="" dxfId="7">
      <formula>4</formula>
      <formula>6</formula>
    </cfRule>
    <cfRule type="cellIs" priority="28" operator="lessThan" aboveAverage="0" equalAverage="0" bottom="0" percent="0" rank="0" text="" dxfId="8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K5" activeCellId="0" sqref="K5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false" hidden="false" outlineLevel="0" max="6" min="3" style="1" width="9.58"/>
    <col collapsed="false" customWidth="true" hidden="false" outlineLevel="0" max="16384" min="16365" style="1" width="10.58"/>
  </cols>
  <sheetData>
    <row r="1" customFormat="false" ht="15" hidden="false" customHeight="false" outlineLevel="0" collapsed="false">
      <c r="A1" s="1" t="s">
        <v>0</v>
      </c>
      <c r="B1" s="2" t="s">
        <v>2</v>
      </c>
      <c r="C1" s="8" t="n">
        <v>46092</v>
      </c>
      <c r="D1" s="8" t="n">
        <v>46099</v>
      </c>
      <c r="E1" s="3" t="n">
        <v>46106</v>
      </c>
      <c r="F1" s="3" t="n">
        <v>46113</v>
      </c>
      <c r="G1" s="3" t="n">
        <v>46120</v>
      </c>
      <c r="H1" s="3" t="n">
        <v>46130</v>
      </c>
      <c r="I1" s="3" t="n">
        <v>46134</v>
      </c>
      <c r="J1" s="3" t="n">
        <v>46155</v>
      </c>
      <c r="K1" s="2" t="s">
        <v>10</v>
      </c>
    </row>
    <row r="2" customFormat="false" ht="15" hidden="false" customHeight="false" outlineLevel="0" collapsed="false">
      <c r="A2" s="1" t="n">
        <v>1</v>
      </c>
      <c r="B2" s="2" t="s">
        <v>13</v>
      </c>
      <c r="C2" s="2"/>
      <c r="D2" s="2" t="n">
        <v>3</v>
      </c>
      <c r="I2" s="1"/>
      <c r="J2" s="1"/>
      <c r="K2" s="2" t="n">
        <f aca="false">SUM(C2:J2)</f>
        <v>3</v>
      </c>
    </row>
    <row r="3" customFormat="false" ht="15" hidden="false" customHeight="false" outlineLevel="0" collapsed="false">
      <c r="A3" s="1" t="n">
        <v>2</v>
      </c>
      <c r="B3" s="2" t="s">
        <v>19</v>
      </c>
      <c r="C3" s="2"/>
      <c r="D3" s="2"/>
      <c r="G3" s="1" t="n">
        <v>1</v>
      </c>
      <c r="I3" s="1"/>
      <c r="J3" s="1"/>
      <c r="K3" s="2" t="n">
        <f aca="false">SUM(C3:J3)</f>
        <v>1</v>
      </c>
    </row>
    <row r="4" customFormat="false" ht="15" hidden="false" customHeight="false" outlineLevel="0" collapsed="false">
      <c r="A4" s="1" t="n">
        <v>3</v>
      </c>
      <c r="B4" s="2" t="s">
        <v>22</v>
      </c>
      <c r="C4" s="2" t="n">
        <v>2</v>
      </c>
      <c r="D4" s="2" t="n">
        <v>3</v>
      </c>
      <c r="F4" s="1" t="n">
        <v>1</v>
      </c>
      <c r="G4" s="1"/>
      <c r="K4" s="2" t="n">
        <f aca="false">SUM(C4:J4)</f>
        <v>6</v>
      </c>
    </row>
    <row r="5" customFormat="false" ht="15" hidden="false" customHeight="false" outlineLevel="0" collapsed="false">
      <c r="A5" s="1" t="n">
        <v>4</v>
      </c>
      <c r="B5" s="2" t="s">
        <v>25</v>
      </c>
      <c r="C5" s="2" t="n">
        <v>7</v>
      </c>
      <c r="D5" s="2" t="n">
        <v>4</v>
      </c>
      <c r="E5" s="1" t="n">
        <v>6</v>
      </c>
      <c r="F5" s="1" t="n">
        <v>3</v>
      </c>
      <c r="G5" s="1" t="n">
        <v>10</v>
      </c>
      <c r="H5" s="1" t="n">
        <v>3</v>
      </c>
      <c r="I5" s="1" t="n">
        <v>2</v>
      </c>
      <c r="J5" s="1" t="n">
        <v>10</v>
      </c>
      <c r="K5" s="2" t="n">
        <f aca="false">SUM(C5:J5)</f>
        <v>45</v>
      </c>
    </row>
    <row r="6" customFormat="false" ht="15" hidden="false" customHeight="false" outlineLevel="0" collapsed="false">
      <c r="A6" s="1" t="n">
        <v>5</v>
      </c>
      <c r="B6" s="2" t="s">
        <v>28</v>
      </c>
      <c r="C6" s="2" t="n">
        <v>3</v>
      </c>
      <c r="D6" s="2" t="n">
        <v>5</v>
      </c>
      <c r="E6" s="1" t="n">
        <v>3</v>
      </c>
      <c r="G6" s="1" t="n">
        <v>11</v>
      </c>
      <c r="K6" s="2" t="n">
        <f aca="false">SUM(C6:J6)</f>
        <v>22</v>
      </c>
    </row>
    <row r="7" customFormat="false" ht="15" hidden="false" customHeight="false" outlineLevel="0" collapsed="false">
      <c r="A7" s="1" t="n">
        <v>6</v>
      </c>
      <c r="B7" s="2" t="s">
        <v>31</v>
      </c>
      <c r="C7" s="2" t="n">
        <v>3</v>
      </c>
      <c r="D7" s="2"/>
      <c r="E7" s="1" t="n">
        <v>3</v>
      </c>
      <c r="F7" s="1" t="n">
        <v>2</v>
      </c>
      <c r="G7" s="1" t="n">
        <v>3</v>
      </c>
      <c r="J7" s="1" t="n">
        <v>5</v>
      </c>
      <c r="K7" s="2" t="n">
        <f aca="false">SUM(C7:J7)</f>
        <v>16</v>
      </c>
    </row>
    <row r="8" customFormat="false" ht="15" hidden="false" customHeight="false" outlineLevel="0" collapsed="false">
      <c r="A8" s="1" t="n">
        <v>7</v>
      </c>
      <c r="B8" s="2" t="s">
        <v>35</v>
      </c>
      <c r="C8" s="2" t="n">
        <v>3</v>
      </c>
      <c r="D8" s="2" t="n">
        <v>4</v>
      </c>
      <c r="E8" s="1" t="n">
        <v>3</v>
      </c>
      <c r="F8" s="1" t="n">
        <v>3</v>
      </c>
      <c r="G8" s="1" t="n">
        <v>7</v>
      </c>
      <c r="J8" s="1" t="n">
        <v>5</v>
      </c>
      <c r="K8" s="2" t="n">
        <f aca="false">SUM(C8:J8)</f>
        <v>25</v>
      </c>
    </row>
    <row r="9" customFormat="false" ht="15" hidden="false" customHeight="false" outlineLevel="0" collapsed="false">
      <c r="A9" s="1" t="n">
        <v>8</v>
      </c>
      <c r="B9" s="2" t="s">
        <v>38</v>
      </c>
      <c r="C9" s="2" t="n">
        <v>3</v>
      </c>
      <c r="D9" s="2" t="n">
        <v>4</v>
      </c>
      <c r="E9" s="1" t="n">
        <v>8</v>
      </c>
      <c r="F9" s="1" t="n">
        <v>4</v>
      </c>
      <c r="G9" s="1" t="n">
        <v>11</v>
      </c>
      <c r="H9" s="1" t="n">
        <v>10</v>
      </c>
      <c r="I9" s="1"/>
      <c r="J9" s="1" t="n">
        <v>10</v>
      </c>
      <c r="K9" s="2" t="n">
        <f aca="false">SUM(C9:J9)</f>
        <v>50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2"/>
      <c r="D10" s="2" t="n">
        <v>1</v>
      </c>
      <c r="E10" s="1" t="n">
        <v>5</v>
      </c>
      <c r="F10" s="1" t="n">
        <v>3</v>
      </c>
      <c r="G10" s="1" t="n">
        <v>5</v>
      </c>
      <c r="J10" s="1" t="n">
        <v>10</v>
      </c>
      <c r="K10" s="2" t="n">
        <f aca="false">SUM(C10:J10)</f>
        <v>24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2" t="n">
        <v>5</v>
      </c>
      <c r="D11" s="2" t="n">
        <v>4</v>
      </c>
      <c r="E11" s="1" t="n">
        <v>4</v>
      </c>
      <c r="F11" s="1" t="n">
        <v>1</v>
      </c>
      <c r="G11" s="1" t="n">
        <v>1</v>
      </c>
      <c r="H11" s="1" t="n">
        <v>2</v>
      </c>
      <c r="K11" s="2" t="n">
        <f aca="false">SUM(C11:J11)</f>
        <v>17</v>
      </c>
    </row>
    <row r="12" customFormat="false" ht="15" hidden="false" customHeight="false" outlineLevel="0" collapsed="false">
      <c r="A12" s="1" t="n">
        <v>11</v>
      </c>
      <c r="B12" s="2" t="s">
        <v>47</v>
      </c>
      <c r="C12" s="2"/>
      <c r="D12" s="2" t="n">
        <v>3</v>
      </c>
      <c r="E12" s="1" t="n">
        <v>3</v>
      </c>
      <c r="G12" s="1"/>
      <c r="H12" s="1" t="n">
        <v>4</v>
      </c>
      <c r="I12" s="1" t="n">
        <v>1</v>
      </c>
      <c r="J12" s="1"/>
      <c r="K12" s="2" t="n">
        <f aca="false">SUM(C12:J12)</f>
        <v>11</v>
      </c>
    </row>
    <row r="13" customFormat="false" ht="15" hidden="false" customHeight="false" outlineLevel="0" collapsed="false">
      <c r="A13" s="1" t="n">
        <v>12</v>
      </c>
      <c r="B13" s="2" t="s">
        <v>50</v>
      </c>
      <c r="C13" s="2" t="n">
        <v>3</v>
      </c>
      <c r="D13" s="2" t="n">
        <v>4</v>
      </c>
      <c r="E13" s="1" t="n">
        <v>3</v>
      </c>
      <c r="G13" s="1" t="n">
        <v>5</v>
      </c>
      <c r="K13" s="2" t="n">
        <f aca="false">SUM(C13:J13)</f>
        <v>15</v>
      </c>
    </row>
    <row r="14" customFormat="false" ht="15" hidden="false" customHeight="false" outlineLevel="0" collapsed="false">
      <c r="A14" s="1" t="n">
        <v>13</v>
      </c>
      <c r="B14" s="2" t="s">
        <v>53</v>
      </c>
      <c r="C14" s="2"/>
      <c r="D14" s="2" t="n">
        <v>3</v>
      </c>
      <c r="G14" s="1"/>
      <c r="H14" s="1" t="n">
        <v>3</v>
      </c>
      <c r="I14" s="1"/>
      <c r="J14" s="1"/>
      <c r="K14" s="2" t="n">
        <f aca="false">SUM(C14:J14)</f>
        <v>6</v>
      </c>
    </row>
    <row r="15" customFormat="false" ht="15" hidden="false" customHeight="false" outlineLevel="0" collapsed="false">
      <c r="A15" s="1" t="n">
        <v>14</v>
      </c>
      <c r="B15" s="2" t="s">
        <v>56</v>
      </c>
      <c r="C15" s="2"/>
      <c r="D15" s="2" t="n">
        <v>3</v>
      </c>
      <c r="G15" s="1"/>
      <c r="H15" s="1" t="n">
        <v>2</v>
      </c>
      <c r="I15" s="1"/>
      <c r="J15" s="1"/>
      <c r="K15" s="2" t="n">
        <f aca="false">SUM(C15:J15)</f>
        <v>5</v>
      </c>
    </row>
    <row r="16" customFormat="false" ht="15" hidden="false" customHeight="false" outlineLevel="0" collapsed="false">
      <c r="A16" s="1" t="n">
        <v>15</v>
      </c>
      <c r="B16" s="2" t="s">
        <v>59</v>
      </c>
      <c r="C16" s="2" t="n">
        <v>3</v>
      </c>
      <c r="D16" s="2" t="n">
        <v>4</v>
      </c>
      <c r="E16" s="1" t="n">
        <v>3</v>
      </c>
      <c r="G16" s="1" t="n">
        <v>1</v>
      </c>
      <c r="H16" s="1" t="n">
        <v>3</v>
      </c>
      <c r="K16" s="2" t="n">
        <f aca="false">SUM(C16:J16)</f>
        <v>14</v>
      </c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  <c r="XFD16" s="6"/>
    </row>
    <row r="17" s="6" customFormat="true" ht="15" hidden="false" customHeight="false" outlineLevel="0" collapsed="false">
      <c r="A17" s="6" t="n">
        <v>16</v>
      </c>
      <c r="B17" s="5" t="s">
        <v>105</v>
      </c>
      <c r="C17" s="5"/>
      <c r="D17" s="5"/>
      <c r="K17" s="2" t="n">
        <f aca="false">SUM(C17:J17)</f>
        <v>0</v>
      </c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customFormat="false" ht="15" hidden="false" customHeight="false" outlineLevel="0" collapsed="false">
      <c r="A18" s="1" t="n">
        <v>17</v>
      </c>
      <c r="B18" s="2" t="s">
        <v>68</v>
      </c>
      <c r="C18" s="2"/>
      <c r="D18" s="2"/>
      <c r="E18" s="1" t="n">
        <v>4</v>
      </c>
      <c r="G18" s="1" t="n">
        <v>1</v>
      </c>
      <c r="I18" s="1"/>
      <c r="J18" s="1"/>
      <c r="K18" s="2" t="n">
        <f aca="false">SUM(C18:J18)</f>
        <v>5</v>
      </c>
    </row>
    <row r="19" customFormat="false" ht="15" hidden="false" customHeight="false" outlineLevel="0" collapsed="false">
      <c r="A19" s="1" t="n">
        <v>18</v>
      </c>
      <c r="B19" s="2" t="s">
        <v>108</v>
      </c>
      <c r="C19" s="2"/>
      <c r="D19" s="2"/>
      <c r="I19" s="1"/>
      <c r="J19" s="1"/>
      <c r="K19" s="2" t="n">
        <f aca="false">SUM(C19:J19)</f>
        <v>0</v>
      </c>
      <c r="XEK19" s="6"/>
      <c r="XEL19" s="6"/>
      <c r="XEM19" s="6"/>
      <c r="XEN19" s="6"/>
      <c r="XEO19" s="6"/>
      <c r="XEP19" s="6"/>
      <c r="XEQ19" s="6"/>
      <c r="XER19" s="6"/>
      <c r="XES19" s="6"/>
      <c r="XET19" s="6"/>
      <c r="XEU19" s="6"/>
      <c r="XEV19" s="6"/>
      <c r="XEW19" s="6"/>
      <c r="XEX19" s="6"/>
      <c r="XEY19" s="6"/>
      <c r="XEZ19" s="6"/>
      <c r="XFA19" s="6"/>
      <c r="XFB19" s="6"/>
      <c r="XFC19" s="6"/>
      <c r="XFD19" s="6"/>
    </row>
    <row r="20" s="6" customFormat="true" ht="15" hidden="false" customHeight="false" outlineLevel="0" collapsed="false">
      <c r="A20" s="6" t="n">
        <v>19</v>
      </c>
      <c r="B20" s="5" t="s">
        <v>109</v>
      </c>
      <c r="C20" s="5"/>
      <c r="D20" s="5"/>
      <c r="K20" s="2" t="n">
        <f aca="false">SUM(C20:J20)</f>
        <v>0</v>
      </c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customFormat="false" ht="15" hidden="false" customHeight="false" outlineLevel="0" collapsed="false">
      <c r="A21" s="1" t="n">
        <v>20</v>
      </c>
      <c r="B21" s="2" t="s">
        <v>74</v>
      </c>
      <c r="C21" s="2"/>
      <c r="D21" s="2" t="n">
        <v>3</v>
      </c>
      <c r="E21" s="1" t="n">
        <v>3</v>
      </c>
      <c r="G21" s="1" t="n">
        <v>6</v>
      </c>
      <c r="I21" s="1"/>
      <c r="J21" s="1"/>
      <c r="K21" s="2" t="n">
        <f aca="false">SUM(C21:J21)</f>
        <v>12</v>
      </c>
    </row>
    <row r="22" customFormat="false" ht="15" hidden="false" customHeight="false" outlineLevel="0" collapsed="false">
      <c r="A22" s="1" t="n">
        <v>21</v>
      </c>
      <c r="B22" s="2" t="s">
        <v>77</v>
      </c>
      <c r="C22" s="2" t="n">
        <v>3</v>
      </c>
      <c r="D22" s="2" t="n">
        <v>3</v>
      </c>
      <c r="E22" s="1" t="n">
        <v>7</v>
      </c>
      <c r="F22" s="1" t="n">
        <v>3</v>
      </c>
      <c r="G22" s="1"/>
      <c r="H22" s="1" t="n">
        <v>4</v>
      </c>
      <c r="I22" s="1" t="n">
        <v>1</v>
      </c>
      <c r="J22" s="1" t="n">
        <v>10</v>
      </c>
      <c r="K22" s="2" t="n">
        <f aca="false">SUM(C22:J22)</f>
        <v>31</v>
      </c>
      <c r="XEK22" s="6"/>
      <c r="XEL22" s="6"/>
      <c r="XEM22" s="6"/>
      <c r="XEN22" s="6"/>
      <c r="XEO22" s="6"/>
      <c r="XEP22" s="6"/>
      <c r="XEQ22" s="6"/>
      <c r="XER22" s="6"/>
      <c r="XES22" s="6"/>
      <c r="XET22" s="6"/>
      <c r="XEU22" s="6"/>
      <c r="XEV22" s="6"/>
      <c r="XEW22" s="6"/>
      <c r="XEX22" s="6"/>
      <c r="XEY22" s="6"/>
      <c r="XEZ22" s="6"/>
      <c r="XFA22" s="6"/>
      <c r="XFB22" s="6"/>
      <c r="XFC22" s="6"/>
      <c r="XFD22" s="6"/>
    </row>
    <row r="23" s="6" customFormat="true" ht="15" hidden="false" customHeight="false" outlineLevel="0" collapsed="false">
      <c r="A23" s="6" t="n">
        <v>22</v>
      </c>
      <c r="B23" s="5" t="s">
        <v>110</v>
      </c>
      <c r="C23" s="5"/>
      <c r="D23" s="5"/>
      <c r="K23" s="2" t="n">
        <f aca="false">SUM(C23:J23)</f>
        <v>0</v>
      </c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29" colorId="64" zoomScale="80" zoomScaleNormal="80" zoomScalePageLayoutView="100" workbookViewId="0">
      <selection pane="topLeft" activeCell="G2" activeCellId="0" sqref="G2"/>
    </sheetView>
  </sheetViews>
  <sheetFormatPr defaultColWidth="10.58203125" defaultRowHeight="15" zeroHeight="false" outlineLevelRow="0" outlineLevelCol="0"/>
  <cols>
    <col collapsed="false" customWidth="true" hidden="false" outlineLevel="0" max="3" min="2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111</v>
      </c>
      <c r="E1" s="1" t="s">
        <v>92</v>
      </c>
      <c r="F1" s="1" t="s">
        <v>112</v>
      </c>
      <c r="G1" s="1" t="s">
        <v>113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n">
        <v>9</v>
      </c>
      <c r="G2" s="1" t="n">
        <v>9</v>
      </c>
    </row>
    <row r="3" customFormat="false" ht="15" hidden="false" customHeight="false" outlineLevel="0" collapsed="false">
      <c r="A3" s="1" t="n">
        <v>2</v>
      </c>
      <c r="B3" s="2" t="s">
        <v>19</v>
      </c>
      <c r="C3" s="1" t="s">
        <v>19</v>
      </c>
      <c r="D3" s="1" t="n">
        <v>7</v>
      </c>
      <c r="G3" s="1" t="n">
        <v>7</v>
      </c>
    </row>
    <row r="4" customFormat="false" ht="15" hidden="false" customHeight="false" outlineLevel="0" collapsed="false">
      <c r="A4" s="1" t="n">
        <v>3</v>
      </c>
      <c r="B4" s="2" t="s">
        <v>22</v>
      </c>
      <c r="C4" s="1" t="s">
        <v>22</v>
      </c>
      <c r="D4" s="1" t="n">
        <v>9</v>
      </c>
      <c r="G4" s="1" t="n">
        <v>9</v>
      </c>
    </row>
    <row r="5" customFormat="false" ht="15" hidden="false" customHeight="false" outlineLevel="0" collapsed="false">
      <c r="A5" s="1" t="n">
        <v>4</v>
      </c>
      <c r="B5" s="2" t="s">
        <v>25</v>
      </c>
      <c r="C5" s="1" t="s">
        <v>25</v>
      </c>
      <c r="D5" s="1" t="n">
        <v>10</v>
      </c>
      <c r="G5" s="1" t="n">
        <v>10</v>
      </c>
    </row>
    <row r="6" customFormat="false" ht="15" hidden="false" customHeight="false" outlineLevel="0" collapsed="false">
      <c r="A6" s="1" t="n">
        <v>5</v>
      </c>
      <c r="B6" s="2" t="s">
        <v>28</v>
      </c>
      <c r="C6" s="1" t="s">
        <v>28</v>
      </c>
      <c r="D6" s="1" t="n">
        <v>8</v>
      </c>
      <c r="E6" s="1" t="n">
        <f aca="false">ROUND(AVERAGE(D6:D9),0)</f>
        <v>7</v>
      </c>
      <c r="F6" s="1" t="n">
        <v>7</v>
      </c>
      <c r="G6" s="1" t="n">
        <f aca="false">MAX(F6,E6)</f>
        <v>7</v>
      </c>
    </row>
    <row r="7" customFormat="false" ht="15" hidden="false" customHeight="false" outlineLevel="0" collapsed="false">
      <c r="C7" s="1" t="s">
        <v>28</v>
      </c>
      <c r="D7" s="1" t="n">
        <v>7</v>
      </c>
    </row>
    <row r="8" customFormat="false" ht="15" hidden="false" customHeight="false" outlineLevel="0" collapsed="false">
      <c r="C8" s="1" t="s">
        <v>28</v>
      </c>
      <c r="D8" s="1" t="n">
        <v>6</v>
      </c>
    </row>
    <row r="9" customFormat="false" ht="15" hidden="false" customHeight="false" outlineLevel="0" collapsed="false">
      <c r="C9" s="1" t="s">
        <v>28</v>
      </c>
      <c r="D9" s="1" t="n">
        <v>6</v>
      </c>
    </row>
    <row r="10" customFormat="false" ht="15" hidden="false" customHeight="false" outlineLevel="0" collapsed="false">
      <c r="A10" s="1" t="n">
        <v>6</v>
      </c>
      <c r="B10" s="2" t="s">
        <v>31</v>
      </c>
      <c r="C10" s="1" t="s">
        <v>31</v>
      </c>
      <c r="D10" s="1" t="n">
        <v>10</v>
      </c>
      <c r="E10" s="1" t="n">
        <f aca="false">ROUND(AVERAGE(D10:D13),0)</f>
        <v>8</v>
      </c>
      <c r="F10" s="1" t="n">
        <v>9</v>
      </c>
      <c r="G10" s="1" t="n">
        <f aca="false">MAX(F10,E10)</f>
        <v>9</v>
      </c>
    </row>
    <row r="11" customFormat="false" ht="15" hidden="false" customHeight="false" outlineLevel="0" collapsed="false">
      <c r="C11" s="1" t="s">
        <v>31</v>
      </c>
      <c r="D11" s="1" t="n">
        <v>9</v>
      </c>
    </row>
    <row r="12" customFormat="false" ht="15" hidden="false" customHeight="false" outlineLevel="0" collapsed="false">
      <c r="C12" s="1" t="s">
        <v>31</v>
      </c>
      <c r="D12" s="1" t="n">
        <v>7</v>
      </c>
    </row>
    <row r="13" customFormat="false" ht="15" hidden="false" customHeight="false" outlineLevel="0" collapsed="false">
      <c r="C13" s="1" t="s">
        <v>31</v>
      </c>
      <c r="D13" s="1" t="n">
        <v>4</v>
      </c>
    </row>
    <row r="14" customFormat="false" ht="15" hidden="false" customHeight="false" outlineLevel="0" collapsed="false">
      <c r="A14" s="1" t="n">
        <v>7</v>
      </c>
      <c r="B14" s="2" t="s">
        <v>35</v>
      </c>
      <c r="C14" s="1" t="s">
        <v>35</v>
      </c>
      <c r="D14" s="1" t="n">
        <v>7</v>
      </c>
      <c r="G14" s="1" t="n">
        <v>7</v>
      </c>
    </row>
    <row r="15" customFormat="false" ht="15" hidden="false" customHeight="false" outlineLevel="0" collapsed="false">
      <c r="A15" s="1" t="n">
        <v>8</v>
      </c>
      <c r="B15" s="2" t="s">
        <v>38</v>
      </c>
      <c r="C15" s="1" t="s">
        <v>38</v>
      </c>
      <c r="D15" s="1" t="n">
        <v>10</v>
      </c>
      <c r="G15" s="1" t="n">
        <v>10</v>
      </c>
    </row>
    <row r="16" customFormat="false" ht="15" hidden="false" customHeight="false" outlineLevel="0" collapsed="false">
      <c r="A16" s="1" t="n">
        <v>9</v>
      </c>
      <c r="B16" s="2" t="s">
        <v>41</v>
      </c>
      <c r="C16" s="1" t="s">
        <v>41</v>
      </c>
      <c r="D16" s="1" t="n">
        <v>9</v>
      </c>
      <c r="G16" s="1" t="n">
        <v>9</v>
      </c>
    </row>
    <row r="17" customFormat="false" ht="15" hidden="false" customHeight="false" outlineLevel="0" collapsed="false">
      <c r="A17" s="1" t="n">
        <v>10</v>
      </c>
      <c r="B17" s="2" t="s">
        <v>44</v>
      </c>
      <c r="C17" s="1" t="s">
        <v>44</v>
      </c>
      <c r="D17" s="1" t="n">
        <v>8</v>
      </c>
      <c r="G17" s="1" t="n">
        <v>8</v>
      </c>
    </row>
    <row r="18" customFormat="false" ht="15" hidden="false" customHeight="false" outlineLevel="0" collapsed="false">
      <c r="A18" s="1" t="n">
        <v>11</v>
      </c>
      <c r="B18" s="2" t="s">
        <v>47</v>
      </c>
      <c r="C18" s="1" t="s">
        <v>47</v>
      </c>
      <c r="D18" s="1" t="n">
        <v>9</v>
      </c>
      <c r="E18" s="1" t="n">
        <f aca="false">ROUND(AVERAGE(D18:D19),0)</f>
        <v>9</v>
      </c>
      <c r="F18" s="1" t="n">
        <v>9</v>
      </c>
      <c r="G18" s="1" t="n">
        <f aca="false">MAX(F18,E18)</f>
        <v>9</v>
      </c>
    </row>
    <row r="19" customFormat="false" ht="15" hidden="false" customHeight="false" outlineLevel="0" collapsed="false">
      <c r="C19" s="1" t="s">
        <v>47</v>
      </c>
      <c r="D19" s="1" t="n">
        <v>9</v>
      </c>
    </row>
    <row r="20" customFormat="false" ht="15" hidden="false" customHeight="false" outlineLevel="0" collapsed="false">
      <c r="A20" s="1" t="n">
        <v>12</v>
      </c>
      <c r="B20" s="2" t="s">
        <v>50</v>
      </c>
      <c r="C20" s="1" t="s">
        <v>50</v>
      </c>
      <c r="D20" s="1" t="n">
        <v>9</v>
      </c>
      <c r="G20" s="1" t="n">
        <v>9</v>
      </c>
    </row>
    <row r="21" customFormat="false" ht="15" hidden="false" customHeight="false" outlineLevel="0" collapsed="false">
      <c r="A21" s="1" t="n">
        <v>13</v>
      </c>
      <c r="B21" s="2" t="s">
        <v>53</v>
      </c>
      <c r="C21" s="1" t="s">
        <v>53</v>
      </c>
      <c r="D21" s="1" t="n">
        <v>7</v>
      </c>
      <c r="G21" s="1" t="n">
        <v>7</v>
      </c>
    </row>
    <row r="22" customFormat="false" ht="15" hidden="false" customHeight="false" outlineLevel="0" collapsed="false">
      <c r="A22" s="1" t="n">
        <v>14</v>
      </c>
      <c r="B22" s="2" t="s">
        <v>56</v>
      </c>
      <c r="C22" s="1" t="s">
        <v>56</v>
      </c>
      <c r="D22" s="1" t="n">
        <v>7</v>
      </c>
      <c r="E22" s="1" t="n">
        <f aca="false">ROUND(AVERAGE(D22:D23),0)</f>
        <v>7</v>
      </c>
      <c r="F22" s="1" t="n">
        <v>7</v>
      </c>
      <c r="G22" s="1" t="n">
        <f aca="false">MAX(F22,E22)</f>
        <v>7</v>
      </c>
    </row>
    <row r="23" customFormat="false" ht="15" hidden="false" customHeight="false" outlineLevel="0" collapsed="false">
      <c r="C23" s="1" t="s">
        <v>56</v>
      </c>
      <c r="D23" s="1" t="n">
        <v>7</v>
      </c>
    </row>
    <row r="24" customFormat="false" ht="15" hidden="false" customHeight="false" outlineLevel="0" collapsed="false">
      <c r="A24" s="1" t="n">
        <v>15</v>
      </c>
      <c r="B24" s="2" t="s">
        <v>59</v>
      </c>
      <c r="C24" s="1" t="s">
        <v>59</v>
      </c>
      <c r="D24" s="1" t="n">
        <v>10</v>
      </c>
      <c r="E24" s="1" t="n">
        <f aca="false">ROUND(AVERAGE(D24:D27),0)</f>
        <v>7</v>
      </c>
      <c r="F24" s="1" t="n">
        <v>7</v>
      </c>
      <c r="G24" s="1" t="n">
        <f aca="false">MAX(F24,E24)</f>
        <v>7</v>
      </c>
    </row>
    <row r="25" customFormat="false" ht="15" hidden="false" customHeight="false" outlineLevel="0" collapsed="false">
      <c r="C25" s="1" t="s">
        <v>59</v>
      </c>
      <c r="D25" s="1" t="n">
        <v>7</v>
      </c>
    </row>
    <row r="26" customFormat="false" ht="15" hidden="false" customHeight="false" outlineLevel="0" collapsed="false">
      <c r="C26" s="1" t="s">
        <v>59</v>
      </c>
      <c r="D26" s="1" t="n">
        <v>5</v>
      </c>
    </row>
    <row r="27" customFormat="false" ht="15" hidden="false" customHeight="false" outlineLevel="0" collapsed="false">
      <c r="C27" s="1" t="s">
        <v>59</v>
      </c>
      <c r="D27" s="1" t="n">
        <v>4</v>
      </c>
    </row>
    <row r="28" customFormat="false" ht="15" hidden="false" customHeight="false" outlineLevel="0" collapsed="false">
      <c r="A28" s="6" t="n">
        <v>16</v>
      </c>
      <c r="B28" s="5" t="s">
        <v>62</v>
      </c>
      <c r="D28" s="1" t="n">
        <v>1</v>
      </c>
      <c r="G28" s="1" t="n">
        <v>1</v>
      </c>
    </row>
    <row r="29" customFormat="false" ht="15" hidden="false" customHeight="false" outlineLevel="0" collapsed="false">
      <c r="A29" s="1" t="n">
        <v>17</v>
      </c>
      <c r="B29" s="2" t="s">
        <v>68</v>
      </c>
      <c r="C29" s="1" t="s">
        <v>68</v>
      </c>
      <c r="D29" s="1" t="n">
        <v>9</v>
      </c>
      <c r="G29" s="1" t="n">
        <v>9</v>
      </c>
    </row>
    <row r="30" customFormat="false" ht="15" hidden="false" customHeight="false" outlineLevel="0" collapsed="false">
      <c r="A30" s="6" t="n">
        <v>18</v>
      </c>
      <c r="B30" s="5" t="s">
        <v>71</v>
      </c>
      <c r="C30" s="1" t="s">
        <v>109</v>
      </c>
      <c r="D30" s="1" t="n">
        <v>10</v>
      </c>
      <c r="G30" s="1" t="n">
        <v>10</v>
      </c>
    </row>
    <row r="31" customFormat="false" ht="15" hidden="false" customHeight="false" outlineLevel="0" collapsed="false">
      <c r="A31" s="1" t="n">
        <v>19</v>
      </c>
      <c r="B31" s="2" t="s">
        <v>74</v>
      </c>
      <c r="C31" s="1" t="s">
        <v>74</v>
      </c>
      <c r="D31" s="1" t="n">
        <v>7</v>
      </c>
      <c r="G31" s="1" t="n">
        <v>7</v>
      </c>
    </row>
    <row r="32" customFormat="false" ht="15" hidden="false" customHeight="false" outlineLevel="0" collapsed="false">
      <c r="A32" s="1" t="n">
        <v>20</v>
      </c>
      <c r="B32" s="2" t="s">
        <v>77</v>
      </c>
      <c r="C32" s="1" t="s">
        <v>77</v>
      </c>
      <c r="D32" s="1" t="n">
        <v>9</v>
      </c>
      <c r="E32" s="1" t="n">
        <f aca="false">ROUND(AVERAGE(D32:D34),0)</f>
        <v>7</v>
      </c>
      <c r="F32" s="1" t="n">
        <v>7</v>
      </c>
      <c r="G32" s="1" t="n">
        <f aca="false">MAX(F32,E32)</f>
        <v>7</v>
      </c>
    </row>
    <row r="33" customFormat="false" ht="15" hidden="false" customHeight="false" outlineLevel="0" collapsed="false">
      <c r="C33" s="1" t="s">
        <v>77</v>
      </c>
      <c r="D33" s="1" t="n">
        <v>7</v>
      </c>
    </row>
    <row r="34" customFormat="false" ht="15" hidden="false" customHeight="false" outlineLevel="0" collapsed="false">
      <c r="C34" s="1" t="s">
        <v>77</v>
      </c>
      <c r="D34" s="1" t="n">
        <v>5</v>
      </c>
    </row>
    <row r="35" customFormat="false" ht="15" hidden="false" customHeight="false" outlineLevel="0" collapsed="false">
      <c r="A35" s="6" t="n">
        <v>21</v>
      </c>
      <c r="B35" s="5" t="s">
        <v>80</v>
      </c>
      <c r="D35" s="1" t="n">
        <v>1</v>
      </c>
      <c r="G35" s="1" t="n">
        <v>1</v>
      </c>
    </row>
    <row r="36" customFormat="false" ht="15" hidden="false" customHeight="false" outlineLevel="0" collapsed="false">
      <c r="F36" s="1" t="s">
        <v>10</v>
      </c>
      <c r="G36" s="1" t="n">
        <f aca="false">COUNTIF(G2:G35,"&gt;0")</f>
        <v>21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43" colorId="64" zoomScale="80" zoomScaleNormal="80" zoomScalePageLayoutView="100" workbookViewId="0">
      <selection pane="topLeft" activeCell="G2" activeCellId="0" sqref="G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5.69"/>
    <col collapsed="false" customWidth="true" hidden="false" outlineLevel="0" max="3" min="3" style="1" width="18.16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111</v>
      </c>
      <c r="E1" s="1" t="s">
        <v>92</v>
      </c>
      <c r="F1" s="1" t="s">
        <v>112</v>
      </c>
      <c r="G1" s="1" t="s">
        <v>113</v>
      </c>
    </row>
    <row r="2" customFormat="false" ht="15" hidden="false" customHeight="false" outlineLevel="0" collapsed="false">
      <c r="A2" s="1" t="n">
        <v>1</v>
      </c>
      <c r="B2" s="2" t="s">
        <v>13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2" t="s">
        <v>19</v>
      </c>
      <c r="C3" s="1" t="s">
        <v>19</v>
      </c>
      <c r="D3" s="1" t="n">
        <v>9</v>
      </c>
      <c r="G3" s="1" t="n">
        <v>9</v>
      </c>
    </row>
    <row r="4" customFormat="false" ht="15" hidden="false" customHeight="false" outlineLevel="0" collapsed="false">
      <c r="A4" s="1" t="n">
        <v>3</v>
      </c>
      <c r="B4" s="2" t="s">
        <v>22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2" t="s">
        <v>25</v>
      </c>
      <c r="C5" s="1" t="s">
        <v>25</v>
      </c>
      <c r="D5" s="1" t="n">
        <v>9</v>
      </c>
      <c r="E5" s="1" t="n">
        <f aca="false">ROUND(AVERAGE(D5:D13),0)</f>
        <v>6</v>
      </c>
      <c r="F5" s="1" t="n">
        <v>8</v>
      </c>
      <c r="G5" s="1" t="n">
        <f aca="false">MAX(F5,E5)</f>
        <v>8</v>
      </c>
    </row>
    <row r="6" customFormat="false" ht="15" hidden="false" customHeight="false" outlineLevel="0" collapsed="false">
      <c r="C6" s="1" t="s">
        <v>25</v>
      </c>
      <c r="D6" s="1" t="n">
        <v>8</v>
      </c>
    </row>
    <row r="7" customFormat="false" ht="15" hidden="false" customHeight="false" outlineLevel="0" collapsed="false">
      <c r="C7" s="1" t="s">
        <v>25</v>
      </c>
      <c r="D7" s="1" t="n">
        <v>8</v>
      </c>
    </row>
    <row r="8" customFormat="false" ht="15" hidden="false" customHeight="false" outlineLevel="0" collapsed="false">
      <c r="C8" s="1" t="s">
        <v>25</v>
      </c>
      <c r="D8" s="1" t="n">
        <v>8</v>
      </c>
    </row>
    <row r="9" customFormat="false" ht="15" hidden="false" customHeight="false" outlineLevel="0" collapsed="false">
      <c r="C9" s="1" t="s">
        <v>25</v>
      </c>
      <c r="D9" s="1" t="n">
        <v>5</v>
      </c>
    </row>
    <row r="10" customFormat="false" ht="15" hidden="false" customHeight="false" outlineLevel="0" collapsed="false">
      <c r="C10" s="1" t="s">
        <v>25</v>
      </c>
      <c r="D10" s="1" t="n">
        <v>5</v>
      </c>
    </row>
    <row r="11" customFormat="false" ht="15" hidden="false" customHeight="false" outlineLevel="0" collapsed="false">
      <c r="C11" s="1" t="s">
        <v>25</v>
      </c>
      <c r="D11" s="1" t="n">
        <v>4</v>
      </c>
    </row>
    <row r="12" customFormat="false" ht="15" hidden="false" customHeight="false" outlineLevel="0" collapsed="false">
      <c r="C12" s="1" t="s">
        <v>25</v>
      </c>
      <c r="D12" s="1" t="n">
        <v>3</v>
      </c>
    </row>
    <row r="13" customFormat="false" ht="15" hidden="false" customHeight="false" outlineLevel="0" collapsed="false">
      <c r="C13" s="1" t="s">
        <v>25</v>
      </c>
      <c r="D13" s="1" t="n">
        <v>1</v>
      </c>
    </row>
    <row r="14" customFormat="false" ht="15" hidden="false" customHeight="false" outlineLevel="0" collapsed="false">
      <c r="A14" s="1" t="n">
        <v>5</v>
      </c>
      <c r="B14" s="2" t="s">
        <v>28</v>
      </c>
      <c r="D14" s="1" t="n">
        <v>1</v>
      </c>
      <c r="G14" s="1" t="n">
        <v>1</v>
      </c>
    </row>
    <row r="15" customFormat="false" ht="15" hidden="false" customHeight="false" outlineLevel="0" collapsed="false">
      <c r="A15" s="1" t="n">
        <v>6</v>
      </c>
      <c r="B15" s="2" t="s">
        <v>31</v>
      </c>
      <c r="C15" s="1" t="s">
        <v>31</v>
      </c>
      <c r="D15" s="1" t="n">
        <v>6</v>
      </c>
      <c r="E15" s="1" t="n">
        <f aca="false">ROUND(AVERAGE(D15:D17),0)</f>
        <v>4</v>
      </c>
      <c r="F15" s="1" t="n">
        <v>4</v>
      </c>
      <c r="G15" s="1" t="n">
        <f aca="false">MAX(F15,E15)</f>
        <v>4</v>
      </c>
    </row>
    <row r="16" customFormat="false" ht="15" hidden="false" customHeight="false" outlineLevel="0" collapsed="false">
      <c r="C16" s="1" t="s">
        <v>31</v>
      </c>
      <c r="D16" s="1" t="n">
        <v>4</v>
      </c>
    </row>
    <row r="17" customFormat="false" ht="15" hidden="false" customHeight="false" outlineLevel="0" collapsed="false">
      <c r="C17" s="1" t="s">
        <v>31</v>
      </c>
      <c r="D17" s="1" t="n">
        <v>2</v>
      </c>
    </row>
    <row r="18" customFormat="false" ht="15" hidden="false" customHeight="false" outlineLevel="0" collapsed="false">
      <c r="A18" s="1" t="n">
        <v>7</v>
      </c>
      <c r="B18" s="2" t="s">
        <v>35</v>
      </c>
      <c r="C18" s="1" t="s">
        <v>35</v>
      </c>
      <c r="D18" s="1" t="n">
        <v>7</v>
      </c>
      <c r="G18" s="1" t="n">
        <v>7</v>
      </c>
    </row>
    <row r="19" customFormat="false" ht="15" hidden="false" customHeight="false" outlineLevel="0" collapsed="false">
      <c r="A19" s="1" t="n">
        <v>8</v>
      </c>
      <c r="B19" s="2" t="s">
        <v>38</v>
      </c>
      <c r="C19" s="1" t="s">
        <v>38</v>
      </c>
      <c r="D19" s="1" t="n">
        <v>10</v>
      </c>
      <c r="G19" s="1" t="n">
        <v>10</v>
      </c>
    </row>
    <row r="20" customFormat="false" ht="15" hidden="false" customHeight="false" outlineLevel="0" collapsed="false">
      <c r="A20" s="1" t="n">
        <v>9</v>
      </c>
      <c r="B20" s="2" t="s">
        <v>41</v>
      </c>
      <c r="C20" s="1" t="s">
        <v>41</v>
      </c>
      <c r="D20" s="1" t="n">
        <v>5</v>
      </c>
      <c r="E20" s="1" t="n">
        <f aca="false">ROUND(AVERAGE(D20:D24),0)</f>
        <v>3</v>
      </c>
      <c r="F20" s="1" t="n">
        <v>2</v>
      </c>
      <c r="G20" s="1" t="n">
        <f aca="false">MAX(F20,E20)</f>
        <v>3</v>
      </c>
    </row>
    <row r="21" customFormat="false" ht="15" hidden="false" customHeight="false" outlineLevel="0" collapsed="false">
      <c r="C21" s="1" t="s">
        <v>41</v>
      </c>
      <c r="D21" s="1" t="n">
        <v>5</v>
      </c>
    </row>
    <row r="22" customFormat="false" ht="15" hidden="false" customHeight="false" outlineLevel="0" collapsed="false">
      <c r="C22" s="1" t="s">
        <v>41</v>
      </c>
      <c r="D22" s="1" t="n">
        <v>2</v>
      </c>
    </row>
    <row r="23" customFormat="false" ht="15" hidden="false" customHeight="false" outlineLevel="0" collapsed="false">
      <c r="C23" s="1" t="s">
        <v>41</v>
      </c>
      <c r="D23" s="1" t="n">
        <v>2</v>
      </c>
    </row>
    <row r="24" customFormat="false" ht="15" hidden="false" customHeight="false" outlineLevel="0" collapsed="false">
      <c r="C24" s="1" t="s">
        <v>41</v>
      </c>
      <c r="D24" s="1" t="n">
        <v>1</v>
      </c>
    </row>
    <row r="25" customFormat="false" ht="15" hidden="false" customHeight="false" outlineLevel="0" collapsed="false">
      <c r="A25" s="1" t="n">
        <v>10</v>
      </c>
      <c r="B25" s="2" t="s">
        <v>44</v>
      </c>
      <c r="C25" s="1" t="s">
        <v>44</v>
      </c>
      <c r="D25" s="1" t="n">
        <v>6</v>
      </c>
      <c r="E25" s="1" t="n">
        <f aca="false">ROUND(AVERAGE(D25:D26),0)</f>
        <v>4</v>
      </c>
      <c r="F25" s="1" t="n">
        <v>2</v>
      </c>
      <c r="G25" s="1" t="n">
        <f aca="false">MAX(F25,E25)</f>
        <v>4</v>
      </c>
    </row>
    <row r="26" customFormat="false" ht="15" hidden="false" customHeight="false" outlineLevel="0" collapsed="false">
      <c r="C26" s="1" t="s">
        <v>44</v>
      </c>
      <c r="D26" s="1" t="n">
        <v>2</v>
      </c>
    </row>
    <row r="27" customFormat="false" ht="15" hidden="false" customHeight="false" outlineLevel="0" collapsed="false">
      <c r="A27" s="1" t="n">
        <v>11</v>
      </c>
      <c r="B27" s="2" t="s">
        <v>47</v>
      </c>
      <c r="C27" s="1" t="s">
        <v>47</v>
      </c>
      <c r="D27" s="1" t="n">
        <v>7</v>
      </c>
      <c r="G27" s="1" t="n">
        <v>7</v>
      </c>
    </row>
    <row r="28" customFormat="false" ht="15" hidden="false" customHeight="false" outlineLevel="0" collapsed="false">
      <c r="A28" s="1" t="n">
        <v>12</v>
      </c>
      <c r="B28" s="2" t="s">
        <v>50</v>
      </c>
      <c r="C28" s="1" t="s">
        <v>50</v>
      </c>
      <c r="D28" s="1" t="n">
        <v>9</v>
      </c>
      <c r="G28" s="1" t="n">
        <v>9</v>
      </c>
    </row>
    <row r="29" customFormat="false" ht="15" hidden="false" customHeight="false" outlineLevel="0" collapsed="false">
      <c r="A29" s="1" t="n">
        <v>13</v>
      </c>
      <c r="B29" s="2" t="s">
        <v>53</v>
      </c>
      <c r="D29" s="1" t="n">
        <v>1</v>
      </c>
      <c r="G29" s="1" t="n">
        <v>1</v>
      </c>
    </row>
    <row r="30" customFormat="false" ht="15" hidden="false" customHeight="false" outlineLevel="0" collapsed="false">
      <c r="A30" s="1" t="n">
        <v>14</v>
      </c>
      <c r="B30" s="2" t="s">
        <v>56</v>
      </c>
      <c r="C30" s="1" t="s">
        <v>56</v>
      </c>
      <c r="D30" s="1" t="n">
        <v>10</v>
      </c>
      <c r="E30" s="1" t="n">
        <f aca="false">ROUND(AVERAGE(D30:D38),0)</f>
        <v>8</v>
      </c>
      <c r="F30" s="1" t="n">
        <v>9</v>
      </c>
      <c r="G30" s="1" t="n">
        <f aca="false">MAX(F30,E30)</f>
        <v>9</v>
      </c>
    </row>
    <row r="31" customFormat="false" ht="15" hidden="false" customHeight="false" outlineLevel="0" collapsed="false">
      <c r="C31" s="1" t="s">
        <v>56</v>
      </c>
      <c r="D31" s="1" t="n">
        <v>9</v>
      </c>
    </row>
    <row r="32" customFormat="false" ht="15" hidden="false" customHeight="false" outlineLevel="0" collapsed="false">
      <c r="C32" s="1" t="s">
        <v>56</v>
      </c>
      <c r="D32" s="1" t="n">
        <v>9</v>
      </c>
    </row>
    <row r="33" customFormat="false" ht="15" hidden="false" customHeight="false" outlineLevel="0" collapsed="false">
      <c r="C33" s="1" t="s">
        <v>56</v>
      </c>
      <c r="D33" s="1" t="n">
        <v>8</v>
      </c>
    </row>
    <row r="34" customFormat="false" ht="15" hidden="false" customHeight="false" outlineLevel="0" collapsed="false">
      <c r="C34" s="1" t="s">
        <v>56</v>
      </c>
      <c r="D34" s="1" t="n">
        <v>8</v>
      </c>
    </row>
    <row r="35" customFormat="false" ht="15" hidden="false" customHeight="false" outlineLevel="0" collapsed="false">
      <c r="C35" s="1" t="s">
        <v>56</v>
      </c>
      <c r="D35" s="1" t="n">
        <v>7</v>
      </c>
    </row>
    <row r="36" customFormat="false" ht="15" hidden="false" customHeight="false" outlineLevel="0" collapsed="false">
      <c r="C36" s="1" t="s">
        <v>56</v>
      </c>
      <c r="D36" s="1" t="n">
        <v>6</v>
      </c>
    </row>
    <row r="37" customFormat="false" ht="15" hidden="false" customHeight="false" outlineLevel="0" collapsed="false">
      <c r="C37" s="1" t="s">
        <v>56</v>
      </c>
      <c r="D37" s="1" t="n">
        <v>6</v>
      </c>
    </row>
    <row r="38" customFormat="false" ht="15" hidden="false" customHeight="false" outlineLevel="0" collapsed="false">
      <c r="C38" s="1" t="s">
        <v>56</v>
      </c>
      <c r="D38" s="1" t="n">
        <v>6</v>
      </c>
    </row>
    <row r="39" customFormat="false" ht="15" hidden="false" customHeight="false" outlineLevel="0" collapsed="false">
      <c r="A39" s="1" t="n">
        <v>15</v>
      </c>
      <c r="B39" s="2" t="s">
        <v>59</v>
      </c>
      <c r="D39" s="1" t="n">
        <v>1</v>
      </c>
      <c r="G39" s="1" t="n">
        <v>1</v>
      </c>
    </row>
    <row r="40" customFormat="false" ht="15" hidden="false" customHeight="false" outlineLevel="0" collapsed="false">
      <c r="A40" s="6" t="n">
        <v>16</v>
      </c>
      <c r="B40" s="5" t="s">
        <v>62</v>
      </c>
      <c r="D40" s="1" t="n">
        <v>1</v>
      </c>
      <c r="G40" s="1" t="n">
        <v>1</v>
      </c>
    </row>
    <row r="41" customFormat="false" ht="15" hidden="false" customHeight="false" outlineLevel="0" collapsed="false">
      <c r="A41" s="1" t="n">
        <v>17</v>
      </c>
      <c r="B41" s="2" t="s">
        <v>68</v>
      </c>
      <c r="D41" s="1" t="n">
        <v>1</v>
      </c>
      <c r="G41" s="1" t="n">
        <v>1</v>
      </c>
    </row>
    <row r="42" customFormat="false" ht="15" hidden="false" customHeight="false" outlineLevel="0" collapsed="false">
      <c r="A42" s="6" t="n">
        <v>18</v>
      </c>
      <c r="B42" s="5" t="s">
        <v>71</v>
      </c>
      <c r="D42" s="1" t="n">
        <v>1</v>
      </c>
      <c r="G42" s="1" t="n">
        <v>1</v>
      </c>
    </row>
    <row r="43" customFormat="false" ht="15" hidden="false" customHeight="false" outlineLevel="0" collapsed="false">
      <c r="A43" s="1" t="n">
        <v>19</v>
      </c>
      <c r="B43" s="2" t="s">
        <v>74</v>
      </c>
      <c r="D43" s="1" t="n">
        <v>1</v>
      </c>
      <c r="G43" s="1" t="n">
        <v>1</v>
      </c>
    </row>
    <row r="44" customFormat="false" ht="15" hidden="false" customHeight="false" outlineLevel="0" collapsed="false">
      <c r="A44" s="1" t="n">
        <v>20</v>
      </c>
      <c r="B44" s="2" t="s">
        <v>77</v>
      </c>
      <c r="C44" s="1" t="s">
        <v>77</v>
      </c>
      <c r="D44" s="1" t="n">
        <v>10</v>
      </c>
      <c r="G44" s="1" t="n">
        <v>10</v>
      </c>
    </row>
    <row r="45" customFormat="false" ht="15" hidden="false" customHeight="false" outlineLevel="0" collapsed="false">
      <c r="A45" s="6" t="n">
        <v>21</v>
      </c>
      <c r="B45" s="5" t="s">
        <v>80</v>
      </c>
      <c r="D45" s="1" t="n">
        <v>1</v>
      </c>
      <c r="G45" s="1" t="n">
        <v>1</v>
      </c>
    </row>
    <row r="46" customFormat="false" ht="15" hidden="false" customHeight="false" outlineLevel="0" collapsed="false">
      <c r="F46" s="1" t="s">
        <v>10</v>
      </c>
      <c r="G46" s="1" t="n">
        <f aca="false">COUNTIF(G2:G45,"&gt;0")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43" activeCellId="0" sqref="I43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5.69"/>
    <col collapsed="false" customWidth="true" hidden="false" outlineLevel="0" max="3" min="3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111</v>
      </c>
      <c r="E1" s="1" t="s">
        <v>92</v>
      </c>
      <c r="F1" s="1" t="s">
        <v>112</v>
      </c>
      <c r="G1" s="1" t="s">
        <v>113</v>
      </c>
    </row>
    <row r="2" customFormat="false" ht="15" hidden="false" customHeight="false" outlineLevel="0" collapsed="false">
      <c r="A2" s="1" t="n">
        <v>1</v>
      </c>
      <c r="B2" s="2" t="s">
        <v>13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2" t="s">
        <v>19</v>
      </c>
      <c r="C3" s="1" t="s">
        <v>19</v>
      </c>
      <c r="D3" s="1" t="n">
        <v>8</v>
      </c>
      <c r="G3" s="1" t="n">
        <v>8</v>
      </c>
    </row>
    <row r="4" customFormat="false" ht="15" hidden="false" customHeight="false" outlineLevel="0" collapsed="false">
      <c r="A4" s="1" t="n">
        <v>3</v>
      </c>
      <c r="B4" s="2" t="s">
        <v>22</v>
      </c>
      <c r="C4" s="1" t="s">
        <v>22</v>
      </c>
      <c r="D4" s="1" t="n">
        <v>3</v>
      </c>
      <c r="E4" s="1" t="n">
        <f aca="false">ROUND(AVERAGE(D4:D5),0)</f>
        <v>3</v>
      </c>
      <c r="F4" s="1" t="n">
        <v>2</v>
      </c>
      <c r="G4" s="1" t="n">
        <f aca="false">MAX(F4,E4)</f>
        <v>3</v>
      </c>
    </row>
    <row r="5" customFormat="false" ht="15" hidden="false" customHeight="false" outlineLevel="0" collapsed="false">
      <c r="C5" s="1" t="s">
        <v>22</v>
      </c>
      <c r="D5" s="1" t="n">
        <v>2</v>
      </c>
    </row>
    <row r="6" customFormat="false" ht="15" hidden="false" customHeight="false" outlineLevel="0" collapsed="false">
      <c r="A6" s="1" t="n">
        <v>4</v>
      </c>
      <c r="B6" s="2" t="s">
        <v>25</v>
      </c>
      <c r="C6" s="1" t="s">
        <v>25</v>
      </c>
      <c r="D6" s="1" t="n">
        <v>10</v>
      </c>
      <c r="E6" s="1" t="n">
        <f aca="false">ROUND(AVERAGE(D6:D14),0)</f>
        <v>7</v>
      </c>
      <c r="F6" s="1" t="n">
        <v>9</v>
      </c>
      <c r="G6" s="1" t="n">
        <f aca="false">MAX(F6,E6)</f>
        <v>9</v>
      </c>
    </row>
    <row r="7" customFormat="false" ht="15" hidden="false" customHeight="false" outlineLevel="0" collapsed="false">
      <c r="C7" s="1" t="s">
        <v>25</v>
      </c>
      <c r="D7" s="1" t="n">
        <v>9</v>
      </c>
    </row>
    <row r="8" customFormat="false" ht="15" hidden="false" customHeight="false" outlineLevel="0" collapsed="false">
      <c r="C8" s="1" t="s">
        <v>25</v>
      </c>
      <c r="D8" s="1" t="n">
        <v>8</v>
      </c>
    </row>
    <row r="9" customFormat="false" ht="15" hidden="false" customHeight="false" outlineLevel="0" collapsed="false">
      <c r="C9" s="1" t="s">
        <v>25</v>
      </c>
      <c r="D9" s="1" t="n">
        <v>8</v>
      </c>
    </row>
    <row r="10" customFormat="false" ht="15" hidden="false" customHeight="false" outlineLevel="0" collapsed="false">
      <c r="C10" s="1" t="s">
        <v>25</v>
      </c>
      <c r="D10" s="1" t="n">
        <v>8</v>
      </c>
    </row>
    <row r="11" customFormat="false" ht="15" hidden="false" customHeight="false" outlineLevel="0" collapsed="false">
      <c r="C11" s="1" t="s">
        <v>25</v>
      </c>
      <c r="D11" s="1" t="n">
        <v>8</v>
      </c>
    </row>
    <row r="12" customFormat="false" ht="15" hidden="false" customHeight="false" outlineLevel="0" collapsed="false">
      <c r="C12" s="1" t="s">
        <v>25</v>
      </c>
      <c r="D12" s="1" t="n">
        <v>7</v>
      </c>
    </row>
    <row r="13" customFormat="false" ht="15" hidden="false" customHeight="false" outlineLevel="0" collapsed="false">
      <c r="C13" s="1" t="s">
        <v>25</v>
      </c>
      <c r="D13" s="1" t="n">
        <v>5</v>
      </c>
    </row>
    <row r="14" customFormat="false" ht="15" hidden="false" customHeight="false" outlineLevel="0" collapsed="false">
      <c r="C14" s="1" t="s">
        <v>25</v>
      </c>
      <c r="D14" s="1" t="n">
        <v>4</v>
      </c>
    </row>
    <row r="15" customFormat="false" ht="15" hidden="false" customHeight="false" outlineLevel="0" collapsed="false">
      <c r="A15" s="1" t="n">
        <v>5</v>
      </c>
      <c r="B15" s="2" t="s">
        <v>28</v>
      </c>
      <c r="C15" s="1" t="s">
        <v>28</v>
      </c>
      <c r="D15" s="1" t="n">
        <v>7</v>
      </c>
      <c r="G15" s="1" t="n">
        <v>7</v>
      </c>
    </row>
    <row r="16" customFormat="false" ht="15" hidden="false" customHeight="false" outlineLevel="0" collapsed="false">
      <c r="A16" s="1" t="n">
        <v>6</v>
      </c>
      <c r="B16" s="2" t="s">
        <v>31</v>
      </c>
      <c r="C16" s="1" t="s">
        <v>31</v>
      </c>
      <c r="D16" s="1" t="n">
        <v>5</v>
      </c>
      <c r="E16" s="1" t="n">
        <f aca="false">ROUND(AVERAGE(D16:D20),0)</f>
        <v>4</v>
      </c>
      <c r="F16" s="1" t="n">
        <v>4</v>
      </c>
      <c r="G16" s="1" t="n">
        <f aca="false">MAX(F16,E16)</f>
        <v>4</v>
      </c>
    </row>
    <row r="17" customFormat="false" ht="15" hidden="false" customHeight="false" outlineLevel="0" collapsed="false">
      <c r="C17" s="1" t="s">
        <v>31</v>
      </c>
      <c r="D17" s="1" t="n">
        <v>4</v>
      </c>
    </row>
    <row r="18" customFormat="false" ht="15" hidden="false" customHeight="false" outlineLevel="0" collapsed="false">
      <c r="C18" s="1" t="s">
        <v>31</v>
      </c>
      <c r="D18" s="1" t="n">
        <v>4</v>
      </c>
    </row>
    <row r="19" customFormat="false" ht="15" hidden="false" customHeight="false" outlineLevel="0" collapsed="false">
      <c r="C19" s="1" t="s">
        <v>31</v>
      </c>
      <c r="D19" s="1" t="n">
        <v>4</v>
      </c>
    </row>
    <row r="20" customFormat="false" ht="15" hidden="false" customHeight="false" outlineLevel="0" collapsed="false">
      <c r="C20" s="1" t="s">
        <v>31</v>
      </c>
      <c r="D20" s="1" t="n">
        <v>2</v>
      </c>
    </row>
    <row r="21" customFormat="false" ht="15" hidden="false" customHeight="false" outlineLevel="0" collapsed="false">
      <c r="A21" s="1" t="n">
        <v>7</v>
      </c>
      <c r="B21" s="2" t="s">
        <v>35</v>
      </c>
      <c r="D21" s="1" t="n">
        <v>1</v>
      </c>
      <c r="G21" s="1" t="n">
        <v>1</v>
      </c>
    </row>
    <row r="22" customFormat="false" ht="15" hidden="false" customHeight="false" outlineLevel="0" collapsed="false">
      <c r="A22" s="1" t="n">
        <v>8</v>
      </c>
      <c r="B22" s="2" t="s">
        <v>38</v>
      </c>
      <c r="C22" s="1" t="s">
        <v>38</v>
      </c>
      <c r="D22" s="1" t="n">
        <v>10</v>
      </c>
      <c r="G22" s="1" t="n">
        <v>10</v>
      </c>
    </row>
    <row r="23" customFormat="false" ht="15" hidden="false" customHeight="false" outlineLevel="0" collapsed="false">
      <c r="A23" s="1" t="n">
        <v>9</v>
      </c>
      <c r="B23" s="2" t="s">
        <v>41</v>
      </c>
      <c r="C23" s="1" t="s">
        <v>41</v>
      </c>
      <c r="D23" s="1" t="n">
        <v>8</v>
      </c>
      <c r="G23" s="1" t="n">
        <v>8</v>
      </c>
    </row>
    <row r="24" customFormat="false" ht="15" hidden="false" customHeight="false" outlineLevel="0" collapsed="false">
      <c r="A24" s="1" t="n">
        <v>10</v>
      </c>
      <c r="B24" s="2" t="s">
        <v>44</v>
      </c>
      <c r="C24" s="1" t="s">
        <v>44</v>
      </c>
      <c r="D24" s="1" t="n">
        <v>3</v>
      </c>
      <c r="E24" s="1" t="n">
        <f aca="false">ROUND(AVERAGE(D24:D25),0)</f>
        <v>3</v>
      </c>
      <c r="F24" s="1" t="n">
        <v>3</v>
      </c>
      <c r="G24" s="1" t="n">
        <f aca="false">MAX(F24,E24)</f>
        <v>3</v>
      </c>
    </row>
    <row r="25" customFormat="false" ht="15" hidden="false" customHeight="false" outlineLevel="0" collapsed="false">
      <c r="C25" s="1" t="s">
        <v>44</v>
      </c>
      <c r="D25" s="1" t="n">
        <v>3</v>
      </c>
    </row>
    <row r="26" customFormat="false" ht="15" hidden="false" customHeight="false" outlineLevel="0" collapsed="false">
      <c r="A26" s="1" t="n">
        <v>11</v>
      </c>
      <c r="B26" s="2" t="s">
        <v>47</v>
      </c>
      <c r="C26" s="1" t="s">
        <v>47</v>
      </c>
      <c r="D26" s="1" t="n">
        <v>7</v>
      </c>
      <c r="G26" s="1" t="n">
        <v>7</v>
      </c>
    </row>
    <row r="27" customFormat="false" ht="15" hidden="false" customHeight="false" outlineLevel="0" collapsed="false">
      <c r="A27" s="1" t="n">
        <v>12</v>
      </c>
      <c r="B27" s="2" t="s">
        <v>50</v>
      </c>
      <c r="C27" s="1" t="s">
        <v>50</v>
      </c>
      <c r="D27" s="1" t="n">
        <v>10</v>
      </c>
      <c r="E27" s="1" t="n">
        <f aca="false">ROUND(AVERAGE(D27:D28),0)</f>
        <v>9</v>
      </c>
      <c r="F27" s="1" t="n">
        <v>7</v>
      </c>
      <c r="G27" s="1" t="n">
        <f aca="false">MAX(F27,E27)</f>
        <v>9</v>
      </c>
    </row>
    <row r="28" customFormat="false" ht="15" hidden="false" customHeight="false" outlineLevel="0" collapsed="false">
      <c r="C28" s="1" t="s">
        <v>50</v>
      </c>
      <c r="D28" s="1" t="n">
        <v>7</v>
      </c>
    </row>
    <row r="29" customFormat="false" ht="15" hidden="false" customHeight="false" outlineLevel="0" collapsed="false">
      <c r="A29" s="1" t="n">
        <v>13</v>
      </c>
      <c r="B29" s="2" t="s">
        <v>53</v>
      </c>
      <c r="C29" s="1" t="s">
        <v>53</v>
      </c>
      <c r="D29" s="1" t="n">
        <v>1</v>
      </c>
      <c r="G29" s="1" t="n">
        <v>1</v>
      </c>
    </row>
    <row r="30" customFormat="false" ht="15" hidden="false" customHeight="false" outlineLevel="0" collapsed="false">
      <c r="A30" s="1" t="n">
        <v>14</v>
      </c>
      <c r="B30" s="2" t="s">
        <v>56</v>
      </c>
      <c r="C30" s="1" t="s">
        <v>56</v>
      </c>
      <c r="D30" s="1" t="n">
        <v>7</v>
      </c>
      <c r="G30" s="1" t="n">
        <v>7</v>
      </c>
    </row>
    <row r="31" customFormat="false" ht="15" hidden="false" customHeight="false" outlineLevel="0" collapsed="false">
      <c r="A31" s="1" t="n">
        <v>15</v>
      </c>
      <c r="B31" s="2" t="s">
        <v>59</v>
      </c>
      <c r="C31" s="1" t="s">
        <v>59</v>
      </c>
      <c r="D31" s="1" t="n">
        <v>7</v>
      </c>
      <c r="E31" s="1" t="n">
        <f aca="false">ROUND(AVERAGE(D31:D32),0)</f>
        <v>5</v>
      </c>
      <c r="F31" s="1" t="n">
        <v>3</v>
      </c>
      <c r="G31" s="1" t="n">
        <f aca="false">MAX(F31,E31)</f>
        <v>5</v>
      </c>
    </row>
    <row r="32" customFormat="false" ht="15" hidden="false" customHeight="false" outlineLevel="0" collapsed="false">
      <c r="C32" s="1" t="s">
        <v>59</v>
      </c>
      <c r="D32" s="1" t="n">
        <v>3</v>
      </c>
    </row>
    <row r="33" customFormat="false" ht="15" hidden="false" customHeight="false" outlineLevel="0" collapsed="false">
      <c r="A33" s="6" t="n">
        <v>16</v>
      </c>
      <c r="B33" s="5" t="s">
        <v>62</v>
      </c>
      <c r="D33" s="1" t="n">
        <v>1</v>
      </c>
      <c r="G33" s="1" t="n">
        <v>1</v>
      </c>
    </row>
    <row r="34" customFormat="false" ht="15" hidden="false" customHeight="false" outlineLevel="0" collapsed="false">
      <c r="A34" s="1" t="n">
        <v>17</v>
      </c>
      <c r="B34" s="2" t="s">
        <v>68</v>
      </c>
      <c r="D34" s="1" t="n">
        <v>1</v>
      </c>
      <c r="G34" s="1" t="n">
        <v>1</v>
      </c>
    </row>
    <row r="35" customFormat="false" ht="15" hidden="false" customHeight="false" outlineLevel="0" collapsed="false">
      <c r="A35" s="6" t="n">
        <v>18</v>
      </c>
      <c r="B35" s="5" t="s">
        <v>71</v>
      </c>
      <c r="C35" s="1" t="s">
        <v>109</v>
      </c>
      <c r="D35" s="1" t="n">
        <v>6</v>
      </c>
      <c r="G35" s="1" t="n">
        <v>6</v>
      </c>
    </row>
    <row r="36" customFormat="false" ht="15" hidden="false" customHeight="false" outlineLevel="0" collapsed="false">
      <c r="A36" s="1" t="n">
        <v>19</v>
      </c>
      <c r="B36" s="2" t="s">
        <v>74</v>
      </c>
      <c r="C36" s="1" t="s">
        <v>74</v>
      </c>
      <c r="D36" s="1" t="n">
        <v>7</v>
      </c>
      <c r="G36" s="1" t="n">
        <v>7</v>
      </c>
    </row>
    <row r="37" customFormat="false" ht="15" hidden="false" customHeight="false" outlineLevel="0" collapsed="false">
      <c r="A37" s="1" t="n">
        <v>20</v>
      </c>
      <c r="B37" s="2" t="s">
        <v>77</v>
      </c>
      <c r="C37" s="1" t="s">
        <v>77</v>
      </c>
      <c r="D37" s="1" t="n">
        <v>9</v>
      </c>
      <c r="E37" s="1" t="n">
        <f aca="false">ROUND(AVERAGE(D37:D39),0)</f>
        <v>7</v>
      </c>
      <c r="F37" s="1" t="n">
        <v>8</v>
      </c>
      <c r="G37" s="1" t="n">
        <f aca="false">MAX(F37,E37)</f>
        <v>8</v>
      </c>
    </row>
    <row r="38" customFormat="false" ht="15" hidden="false" customHeight="false" outlineLevel="0" collapsed="false">
      <c r="C38" s="1" t="s">
        <v>77</v>
      </c>
      <c r="D38" s="1" t="n">
        <v>8</v>
      </c>
    </row>
    <row r="39" customFormat="false" ht="15" hidden="false" customHeight="false" outlineLevel="0" collapsed="false">
      <c r="C39" s="1" t="s">
        <v>77</v>
      </c>
      <c r="D39" s="1" t="n">
        <v>4</v>
      </c>
    </row>
    <row r="40" customFormat="false" ht="15" hidden="false" customHeight="false" outlineLevel="0" collapsed="false">
      <c r="A40" s="6" t="n">
        <v>21</v>
      </c>
      <c r="B40" s="5" t="s">
        <v>80</v>
      </c>
      <c r="D40" s="1" t="n">
        <v>1</v>
      </c>
      <c r="G40" s="1" t="n">
        <v>1</v>
      </c>
    </row>
    <row r="41" customFormat="false" ht="15" hidden="false" customHeight="false" outlineLevel="0" collapsed="false">
      <c r="F41" s="1" t="s">
        <v>10</v>
      </c>
      <c r="G41" s="1" t="n">
        <f aca="false">COUNTIF(G2:G40,"&gt;0")</f>
        <v>21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20" colorId="64" zoomScale="80" zoomScaleNormal="80" zoomScalePageLayoutView="100" workbookViewId="0">
      <selection pane="topLeft" activeCell="D2" activeCellId="0" sqref="D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5.69"/>
    <col collapsed="false" customWidth="true" hidden="false" outlineLevel="0" max="3" min="3" style="1" width="18.16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111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n">
        <v>3.75</v>
      </c>
    </row>
    <row r="3" customFormat="false" ht="15" hidden="false" customHeight="false" outlineLevel="0" collapsed="false">
      <c r="A3" s="1" t="n">
        <v>2</v>
      </c>
      <c r="B3" s="2" t="s">
        <v>19</v>
      </c>
      <c r="C3" s="1" t="s">
        <v>19</v>
      </c>
      <c r="D3" s="1" t="n">
        <v>5.25</v>
      </c>
    </row>
    <row r="4" customFormat="false" ht="15" hidden="false" customHeight="false" outlineLevel="0" collapsed="false">
      <c r="A4" s="1" t="n">
        <v>3</v>
      </c>
      <c r="B4" s="2" t="s">
        <v>22</v>
      </c>
      <c r="C4" s="1" t="s">
        <v>22</v>
      </c>
      <c r="D4" s="1" t="n">
        <v>5</v>
      </c>
    </row>
    <row r="5" customFormat="false" ht="15" hidden="false" customHeight="false" outlineLevel="0" collapsed="false">
      <c r="A5" s="1" t="n">
        <v>4</v>
      </c>
      <c r="B5" s="2" t="s">
        <v>25</v>
      </c>
      <c r="C5" s="1" t="s">
        <v>25</v>
      </c>
      <c r="D5" s="1" t="n">
        <v>9.25</v>
      </c>
    </row>
    <row r="6" customFormat="false" ht="15" hidden="false" customHeight="false" outlineLevel="0" collapsed="false">
      <c r="A6" s="1" t="n">
        <v>5</v>
      </c>
      <c r="B6" s="2" t="s">
        <v>28</v>
      </c>
      <c r="C6" s="1" t="s">
        <v>28</v>
      </c>
      <c r="D6" s="1" t="n">
        <v>7.75</v>
      </c>
    </row>
    <row r="7" customFormat="false" ht="15" hidden="false" customHeight="false" outlineLevel="0" collapsed="false">
      <c r="A7" s="1" t="n">
        <v>6</v>
      </c>
      <c r="B7" s="2" t="s">
        <v>31</v>
      </c>
      <c r="C7" s="1" t="s">
        <v>31</v>
      </c>
      <c r="D7" s="1" t="n">
        <v>9.25</v>
      </c>
    </row>
    <row r="8" customFormat="false" ht="15" hidden="false" customHeight="false" outlineLevel="0" collapsed="false">
      <c r="A8" s="1" t="n">
        <v>7</v>
      </c>
      <c r="B8" s="2" t="s">
        <v>35</v>
      </c>
      <c r="C8" s="1" t="s">
        <v>35</v>
      </c>
      <c r="D8" s="1" t="n">
        <v>6.5</v>
      </c>
    </row>
    <row r="9" customFormat="false" ht="15" hidden="false" customHeight="false" outlineLevel="0" collapsed="false">
      <c r="A9" s="1" t="n">
        <v>8</v>
      </c>
      <c r="B9" s="2" t="s">
        <v>38</v>
      </c>
      <c r="C9" s="1" t="s">
        <v>38</v>
      </c>
      <c r="D9" s="1" t="n">
        <v>9.75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1" t="s">
        <v>41</v>
      </c>
      <c r="D10" s="1" t="n">
        <v>4.25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1" t="s">
        <v>44</v>
      </c>
      <c r="D11" s="1" t="n">
        <v>4.75</v>
      </c>
    </row>
    <row r="12" customFormat="false" ht="15" hidden="false" customHeight="false" outlineLevel="0" collapsed="false">
      <c r="A12" s="1" t="n">
        <v>11</v>
      </c>
      <c r="B12" s="2" t="s">
        <v>47</v>
      </c>
      <c r="C12" s="1" t="s">
        <v>47</v>
      </c>
      <c r="D12" s="1" t="n">
        <v>8.75</v>
      </c>
    </row>
    <row r="13" customFormat="false" ht="15" hidden="false" customHeight="false" outlineLevel="0" collapsed="false">
      <c r="A13" s="1" t="n">
        <v>12</v>
      </c>
      <c r="B13" s="2" t="s">
        <v>50</v>
      </c>
      <c r="C13" s="1" t="s">
        <v>50</v>
      </c>
      <c r="D13" s="1" t="n">
        <v>8.5</v>
      </c>
    </row>
    <row r="14" customFormat="false" ht="15" hidden="false" customHeight="false" outlineLevel="0" collapsed="false">
      <c r="A14" s="1" t="n">
        <v>13</v>
      </c>
      <c r="B14" s="2" t="s">
        <v>53</v>
      </c>
      <c r="C14" s="1" t="s">
        <v>53</v>
      </c>
      <c r="D14" s="1" t="n">
        <v>4.5</v>
      </c>
    </row>
    <row r="15" customFormat="false" ht="15" hidden="false" customHeight="false" outlineLevel="0" collapsed="false">
      <c r="A15" s="1" t="n">
        <v>14</v>
      </c>
      <c r="B15" s="2" t="s">
        <v>56</v>
      </c>
      <c r="C15" s="1" t="s">
        <v>56</v>
      </c>
      <c r="D15" s="1" t="n">
        <v>8.25</v>
      </c>
    </row>
    <row r="16" customFormat="false" ht="15" hidden="false" customHeight="false" outlineLevel="0" collapsed="false">
      <c r="A16" s="1" t="n">
        <v>15</v>
      </c>
      <c r="B16" s="2" t="s">
        <v>59</v>
      </c>
      <c r="C16" s="1" t="s">
        <v>59</v>
      </c>
      <c r="D16" s="1" t="n">
        <v>7.75</v>
      </c>
    </row>
    <row r="17" customFormat="false" ht="15" hidden="false" customHeight="false" outlineLevel="0" collapsed="false">
      <c r="A17" s="6" t="n">
        <v>16</v>
      </c>
      <c r="B17" s="5" t="s">
        <v>62</v>
      </c>
      <c r="D17" s="1" t="n">
        <v>1</v>
      </c>
    </row>
    <row r="18" customFormat="false" ht="15" hidden="false" customHeight="false" outlineLevel="0" collapsed="false">
      <c r="A18" s="1" t="n">
        <v>17</v>
      </c>
      <c r="B18" s="2" t="s">
        <v>68</v>
      </c>
      <c r="C18" s="1" t="s">
        <v>68</v>
      </c>
      <c r="D18" s="1" t="n">
        <v>4</v>
      </c>
    </row>
    <row r="19" customFormat="false" ht="15" hidden="false" customHeight="false" outlineLevel="0" collapsed="false">
      <c r="A19" s="6" t="n">
        <v>18</v>
      </c>
      <c r="B19" s="5" t="s">
        <v>71</v>
      </c>
      <c r="D19" s="1" t="n">
        <v>1</v>
      </c>
    </row>
    <row r="20" customFormat="false" ht="15" hidden="false" customHeight="false" outlineLevel="0" collapsed="false">
      <c r="A20" s="1" t="n">
        <v>19</v>
      </c>
      <c r="B20" s="2" t="s">
        <v>74</v>
      </c>
      <c r="C20" s="1" t="s">
        <v>74</v>
      </c>
      <c r="D20" s="1" t="n">
        <v>3.25</v>
      </c>
    </row>
    <row r="21" customFormat="false" ht="15" hidden="false" customHeight="false" outlineLevel="0" collapsed="false">
      <c r="A21" s="1" t="n">
        <v>20</v>
      </c>
      <c r="B21" s="2" t="s">
        <v>77</v>
      </c>
      <c r="C21" s="1" t="s">
        <v>77</v>
      </c>
      <c r="D21" s="1" t="n">
        <v>9.75</v>
      </c>
    </row>
    <row r="22" customFormat="false" ht="15" hidden="false" customHeight="false" outlineLevel="0" collapsed="false">
      <c r="A22" s="6" t="n">
        <v>21</v>
      </c>
      <c r="B22" s="5" t="s">
        <v>80</v>
      </c>
      <c r="D22" s="1" t="n">
        <v>1</v>
      </c>
    </row>
    <row r="23" customFormat="false" ht="15" hidden="false" customHeight="false" outlineLevel="0" collapsed="false">
      <c r="C23" s="1" t="s">
        <v>114</v>
      </c>
      <c r="D23" s="1" t="n">
        <f aca="false">COUNTIF(D2:D22,"&gt;0")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6" colorId="64" zoomScale="80" zoomScaleNormal="80" zoomScalePageLayoutView="100" workbookViewId="0">
      <selection pane="topLeft" activeCell="D2" activeCellId="0" sqref="D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5.69"/>
    <col collapsed="false" customWidth="true" hidden="false" outlineLevel="0" max="3" min="3" style="1" width="18.16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111</v>
      </c>
    </row>
    <row r="2" customFormat="false" ht="15" hidden="false" customHeight="false" outlineLevel="0" collapsed="false">
      <c r="A2" s="1" t="n">
        <v>1</v>
      </c>
      <c r="B2" s="2" t="s">
        <v>13</v>
      </c>
      <c r="D2" s="1" t="n">
        <v>1</v>
      </c>
    </row>
    <row r="3" customFormat="false" ht="15" hidden="false" customHeight="false" outlineLevel="0" collapsed="false">
      <c r="A3" s="1" t="n">
        <v>2</v>
      </c>
      <c r="B3" s="2" t="s">
        <v>19</v>
      </c>
      <c r="C3" s="1" t="s">
        <v>19</v>
      </c>
      <c r="D3" s="1" t="n">
        <v>10</v>
      </c>
    </row>
    <row r="4" customFormat="false" ht="15" hidden="false" customHeight="false" outlineLevel="0" collapsed="false">
      <c r="A4" s="1" t="n">
        <v>3</v>
      </c>
      <c r="B4" s="2" t="s">
        <v>22</v>
      </c>
      <c r="C4" s="1" t="s">
        <v>22</v>
      </c>
      <c r="D4" s="1" t="n">
        <v>10</v>
      </c>
    </row>
    <row r="5" customFormat="false" ht="15" hidden="false" customHeight="false" outlineLevel="0" collapsed="false">
      <c r="A5" s="1" t="n">
        <v>4</v>
      </c>
      <c r="B5" s="2" t="s">
        <v>25</v>
      </c>
      <c r="C5" s="1" t="s">
        <v>25</v>
      </c>
      <c r="D5" s="1" t="n">
        <v>10</v>
      </c>
    </row>
    <row r="6" customFormat="false" ht="15" hidden="false" customHeight="false" outlineLevel="0" collapsed="false">
      <c r="A6" s="1" t="n">
        <v>5</v>
      </c>
      <c r="B6" s="2" t="s">
        <v>28</v>
      </c>
      <c r="D6" s="1" t="n">
        <v>1</v>
      </c>
    </row>
    <row r="7" customFormat="false" ht="15" hidden="false" customHeight="false" outlineLevel="0" collapsed="false">
      <c r="A7" s="1" t="n">
        <v>6</v>
      </c>
      <c r="B7" s="2" t="s">
        <v>31</v>
      </c>
      <c r="C7" s="1" t="s">
        <v>31</v>
      </c>
      <c r="D7" s="1" t="n">
        <v>10</v>
      </c>
    </row>
    <row r="8" customFormat="false" ht="15" hidden="false" customHeight="false" outlineLevel="0" collapsed="false">
      <c r="A8" s="1" t="n">
        <v>7</v>
      </c>
      <c r="B8" s="2" t="s">
        <v>35</v>
      </c>
      <c r="C8" s="1" t="s">
        <v>35</v>
      </c>
      <c r="D8" s="1" t="n">
        <v>10</v>
      </c>
    </row>
    <row r="9" customFormat="false" ht="15" hidden="false" customHeight="false" outlineLevel="0" collapsed="false">
      <c r="A9" s="1" t="n">
        <v>8</v>
      </c>
      <c r="B9" s="2" t="s">
        <v>38</v>
      </c>
      <c r="C9" s="1" t="s">
        <v>38</v>
      </c>
      <c r="D9" s="1" t="n">
        <v>10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1" t="s">
        <v>41</v>
      </c>
      <c r="D10" s="1" t="n">
        <v>9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1" t="s">
        <v>44</v>
      </c>
      <c r="D11" s="1" t="n">
        <v>9</v>
      </c>
    </row>
    <row r="12" customFormat="false" ht="15" hidden="false" customHeight="false" outlineLevel="0" collapsed="false">
      <c r="A12" s="1" t="n">
        <v>11</v>
      </c>
      <c r="B12" s="2" t="s">
        <v>47</v>
      </c>
      <c r="C12" s="1" t="s">
        <v>47</v>
      </c>
      <c r="D12" s="1" t="n">
        <v>10</v>
      </c>
    </row>
    <row r="13" customFormat="false" ht="15" hidden="false" customHeight="false" outlineLevel="0" collapsed="false">
      <c r="A13" s="1" t="n">
        <v>12</v>
      </c>
      <c r="B13" s="2" t="s">
        <v>50</v>
      </c>
      <c r="C13" s="1" t="s">
        <v>50</v>
      </c>
      <c r="D13" s="1" t="n">
        <v>10</v>
      </c>
    </row>
    <row r="14" customFormat="false" ht="15" hidden="false" customHeight="false" outlineLevel="0" collapsed="false">
      <c r="A14" s="1" t="n">
        <v>13</v>
      </c>
      <c r="B14" s="2" t="s">
        <v>53</v>
      </c>
      <c r="D14" s="1" t="n">
        <v>1</v>
      </c>
    </row>
    <row r="15" customFormat="false" ht="15" hidden="false" customHeight="false" outlineLevel="0" collapsed="false">
      <c r="A15" s="1" t="n">
        <v>14</v>
      </c>
      <c r="B15" s="2" t="s">
        <v>56</v>
      </c>
      <c r="C15" s="1" t="s">
        <v>56</v>
      </c>
      <c r="D15" s="1" t="n">
        <v>10</v>
      </c>
    </row>
    <row r="16" customFormat="false" ht="15" hidden="false" customHeight="false" outlineLevel="0" collapsed="false">
      <c r="A16" s="1" t="n">
        <v>15</v>
      </c>
      <c r="B16" s="2" t="s">
        <v>59</v>
      </c>
      <c r="C16" s="1" t="s">
        <v>59</v>
      </c>
      <c r="D16" s="1" t="n">
        <v>10</v>
      </c>
    </row>
    <row r="17" customFormat="false" ht="15" hidden="false" customHeight="false" outlineLevel="0" collapsed="false">
      <c r="A17" s="6" t="n">
        <v>16</v>
      </c>
      <c r="B17" s="5" t="s">
        <v>62</v>
      </c>
      <c r="D17" s="1" t="n">
        <v>1</v>
      </c>
    </row>
    <row r="18" customFormat="false" ht="15" hidden="false" customHeight="false" outlineLevel="0" collapsed="false">
      <c r="A18" s="1" t="n">
        <v>17</v>
      </c>
      <c r="B18" s="2" t="s">
        <v>68</v>
      </c>
      <c r="D18" s="1" t="n">
        <v>1</v>
      </c>
    </row>
    <row r="19" customFormat="false" ht="15" hidden="false" customHeight="false" outlineLevel="0" collapsed="false">
      <c r="A19" s="6" t="n">
        <v>18</v>
      </c>
      <c r="B19" s="5" t="s">
        <v>71</v>
      </c>
      <c r="D19" s="1" t="n">
        <v>1</v>
      </c>
    </row>
    <row r="20" customFormat="false" ht="15" hidden="false" customHeight="false" outlineLevel="0" collapsed="false">
      <c r="A20" s="1" t="n">
        <v>19</v>
      </c>
      <c r="B20" s="2" t="s">
        <v>74</v>
      </c>
      <c r="D20" s="1" t="n">
        <v>1</v>
      </c>
    </row>
    <row r="21" customFormat="false" ht="15" hidden="false" customHeight="false" outlineLevel="0" collapsed="false">
      <c r="A21" s="1" t="n">
        <v>20</v>
      </c>
      <c r="B21" s="2" t="s">
        <v>77</v>
      </c>
      <c r="C21" s="1" t="s">
        <v>77</v>
      </c>
      <c r="D21" s="1" t="n">
        <v>10</v>
      </c>
    </row>
    <row r="22" customFormat="false" ht="15" hidden="false" customHeight="false" outlineLevel="0" collapsed="false">
      <c r="A22" s="6" t="n">
        <v>21</v>
      </c>
      <c r="B22" s="5" t="s">
        <v>80</v>
      </c>
      <c r="D2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2" activeCellId="0" sqref="G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5.69"/>
    <col collapsed="false" customWidth="true" hidden="false" outlineLevel="0" max="3" min="3" style="1" width="18.16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111</v>
      </c>
      <c r="E1" s="1" t="s">
        <v>115</v>
      </c>
      <c r="F1" s="1" t="s">
        <v>112</v>
      </c>
      <c r="G1" s="1" t="s">
        <v>113</v>
      </c>
    </row>
    <row r="2" customFormat="false" ht="15" hidden="false" customHeight="false" outlineLevel="0" collapsed="false">
      <c r="A2" s="1" t="n">
        <v>1</v>
      </c>
      <c r="B2" s="2" t="s">
        <v>13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2" t="s">
        <v>19</v>
      </c>
      <c r="C3" s="1" t="s">
        <v>19</v>
      </c>
      <c r="D3" s="1" t="n">
        <v>7</v>
      </c>
      <c r="E3" s="1" t="n">
        <f aca="false">ROUND(AVERAGE(D3:D4),0)</f>
        <v>6</v>
      </c>
      <c r="F3" s="1" t="n">
        <v>5</v>
      </c>
      <c r="G3" s="1" t="n">
        <f aca="false">MAX(E3,F3)</f>
        <v>6</v>
      </c>
    </row>
    <row r="4" customFormat="false" ht="15" hidden="false" customHeight="false" outlineLevel="0" collapsed="false">
      <c r="C4" s="1" t="s">
        <v>19</v>
      </c>
      <c r="D4" s="1" t="n">
        <v>5</v>
      </c>
    </row>
    <row r="5" customFormat="false" ht="15" hidden="false" customHeight="false" outlineLevel="0" collapsed="false">
      <c r="A5" s="1" t="n">
        <v>3</v>
      </c>
      <c r="B5" s="2" t="s">
        <v>22</v>
      </c>
      <c r="D5" s="1" t="n">
        <v>1</v>
      </c>
      <c r="G5" s="1" t="n">
        <v>1</v>
      </c>
    </row>
    <row r="6" customFormat="false" ht="15" hidden="false" customHeight="false" outlineLevel="0" collapsed="false">
      <c r="A6" s="1" t="n">
        <v>4</v>
      </c>
      <c r="B6" s="2" t="s">
        <v>25</v>
      </c>
      <c r="C6" s="1" t="s">
        <v>25</v>
      </c>
      <c r="D6" s="1" t="n">
        <v>9</v>
      </c>
      <c r="G6" s="1" t="n">
        <v>9</v>
      </c>
    </row>
    <row r="7" customFormat="false" ht="15" hidden="false" customHeight="false" outlineLevel="0" collapsed="false">
      <c r="A7" s="1" t="n">
        <v>5</v>
      </c>
      <c r="B7" s="2" t="s">
        <v>28</v>
      </c>
      <c r="D7" s="1" t="n">
        <v>1</v>
      </c>
      <c r="G7" s="1" t="n">
        <v>1</v>
      </c>
    </row>
    <row r="8" customFormat="false" ht="15" hidden="false" customHeight="false" outlineLevel="0" collapsed="false">
      <c r="A8" s="1" t="n">
        <v>6</v>
      </c>
      <c r="B8" s="2" t="s">
        <v>31</v>
      </c>
      <c r="C8" s="1" t="s">
        <v>31</v>
      </c>
      <c r="D8" s="1" t="n">
        <v>10</v>
      </c>
      <c r="E8" s="1" t="n">
        <f aca="false">ROUND(AVERAGE(D8:D10),0)</f>
        <v>6</v>
      </c>
      <c r="F8" s="1" t="n">
        <v>5</v>
      </c>
      <c r="G8" s="1" t="n">
        <f aca="false">MAX(E8,F8)</f>
        <v>6</v>
      </c>
    </row>
    <row r="9" customFormat="false" ht="15" hidden="false" customHeight="false" outlineLevel="0" collapsed="false">
      <c r="C9" s="1" t="s">
        <v>31</v>
      </c>
      <c r="D9" s="1" t="n">
        <v>5</v>
      </c>
    </row>
    <row r="10" customFormat="false" ht="15" hidden="false" customHeight="false" outlineLevel="0" collapsed="false">
      <c r="C10" s="1" t="s">
        <v>31</v>
      </c>
      <c r="D10" s="1" t="n">
        <v>4</v>
      </c>
    </row>
    <row r="11" customFormat="false" ht="15" hidden="false" customHeight="false" outlineLevel="0" collapsed="false">
      <c r="A11" s="1" t="n">
        <v>7</v>
      </c>
      <c r="B11" s="2" t="s">
        <v>35</v>
      </c>
      <c r="C11" s="1" t="s">
        <v>35</v>
      </c>
      <c r="D11" s="1" t="n">
        <v>8</v>
      </c>
      <c r="G11" s="1" t="n">
        <v>8</v>
      </c>
    </row>
    <row r="12" customFormat="false" ht="15" hidden="false" customHeight="false" outlineLevel="0" collapsed="false">
      <c r="A12" s="1" t="n">
        <v>8</v>
      </c>
      <c r="B12" s="2" t="s">
        <v>38</v>
      </c>
      <c r="C12" s="1" t="s">
        <v>38</v>
      </c>
      <c r="D12" s="1" t="n">
        <v>8</v>
      </c>
      <c r="G12" s="1" t="n">
        <v>8</v>
      </c>
    </row>
    <row r="13" customFormat="false" ht="15" hidden="false" customHeight="false" outlineLevel="0" collapsed="false">
      <c r="A13" s="1" t="n">
        <v>9</v>
      </c>
      <c r="B13" s="2" t="s">
        <v>41</v>
      </c>
      <c r="D13" s="1" t="n">
        <v>1</v>
      </c>
      <c r="G13" s="1" t="n">
        <v>1</v>
      </c>
    </row>
    <row r="14" customFormat="false" ht="15" hidden="false" customHeight="false" outlineLevel="0" collapsed="false">
      <c r="A14" s="1" t="n">
        <v>10</v>
      </c>
      <c r="B14" s="2" t="s">
        <v>44</v>
      </c>
      <c r="D14" s="1" t="n">
        <v>1</v>
      </c>
      <c r="G14" s="1" t="n">
        <v>1</v>
      </c>
    </row>
    <row r="15" customFormat="false" ht="15" hidden="false" customHeight="false" outlineLevel="0" collapsed="false">
      <c r="A15" s="1" t="n">
        <v>11</v>
      </c>
      <c r="B15" s="2" t="s">
        <v>47</v>
      </c>
      <c r="C15" s="1" t="s">
        <v>47</v>
      </c>
      <c r="D15" s="1" t="n">
        <v>10</v>
      </c>
      <c r="E15" s="1" t="n">
        <f aca="false">ROUND(AVERAGE(D15:D19),0)</f>
        <v>7</v>
      </c>
      <c r="F15" s="1" t="n">
        <v>8</v>
      </c>
      <c r="G15" s="1" t="n">
        <f aca="false">MAX(E15,F15)</f>
        <v>8</v>
      </c>
    </row>
    <row r="16" customFormat="false" ht="15" hidden="false" customHeight="false" outlineLevel="0" collapsed="false">
      <c r="C16" s="1" t="s">
        <v>47</v>
      </c>
      <c r="D16" s="1" t="n">
        <v>8</v>
      </c>
    </row>
    <row r="17" customFormat="false" ht="15" hidden="false" customHeight="false" outlineLevel="0" collapsed="false">
      <c r="C17" s="1" t="s">
        <v>47</v>
      </c>
      <c r="D17" s="1" t="n">
        <v>7</v>
      </c>
    </row>
    <row r="18" customFormat="false" ht="15" hidden="false" customHeight="false" outlineLevel="0" collapsed="false">
      <c r="C18" s="1" t="s">
        <v>47</v>
      </c>
      <c r="D18" s="1" t="n">
        <v>6</v>
      </c>
    </row>
    <row r="19" customFormat="false" ht="15" hidden="false" customHeight="false" outlineLevel="0" collapsed="false">
      <c r="C19" s="1" t="s">
        <v>47</v>
      </c>
      <c r="D19" s="1" t="n">
        <v>3</v>
      </c>
    </row>
    <row r="20" customFormat="false" ht="15" hidden="false" customHeight="false" outlineLevel="0" collapsed="false">
      <c r="A20" s="1" t="n">
        <v>12</v>
      </c>
      <c r="B20" s="2" t="s">
        <v>50</v>
      </c>
      <c r="C20" s="1" t="s">
        <v>50</v>
      </c>
      <c r="D20" s="1" t="n">
        <v>10</v>
      </c>
      <c r="E20" s="1" t="n">
        <f aca="false">ROUND(AVERAGE(D20:D23),0)</f>
        <v>8</v>
      </c>
      <c r="F20" s="1" t="n">
        <v>9</v>
      </c>
      <c r="G20" s="1" t="n">
        <f aca="false">MAX(E20,F20)</f>
        <v>9</v>
      </c>
    </row>
    <row r="21" customFormat="false" ht="15" hidden="false" customHeight="false" outlineLevel="0" collapsed="false">
      <c r="C21" s="1" t="s">
        <v>50</v>
      </c>
      <c r="D21" s="1" t="n">
        <v>9</v>
      </c>
    </row>
    <row r="22" customFormat="false" ht="15" hidden="false" customHeight="false" outlineLevel="0" collapsed="false">
      <c r="C22" s="1" t="s">
        <v>50</v>
      </c>
      <c r="D22" s="1" t="n">
        <v>7</v>
      </c>
    </row>
    <row r="23" customFormat="false" ht="15" hidden="false" customHeight="false" outlineLevel="0" collapsed="false">
      <c r="C23" s="1" t="s">
        <v>50</v>
      </c>
      <c r="D23" s="1" t="n">
        <v>7</v>
      </c>
    </row>
    <row r="24" customFormat="false" ht="15" hidden="false" customHeight="false" outlineLevel="0" collapsed="false">
      <c r="A24" s="1" t="n">
        <v>13</v>
      </c>
      <c r="B24" s="2" t="s">
        <v>53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14</v>
      </c>
      <c r="B25" s="2" t="s">
        <v>56</v>
      </c>
      <c r="C25" s="1" t="s">
        <v>56</v>
      </c>
      <c r="D25" s="1" t="n">
        <v>9</v>
      </c>
      <c r="G25" s="1" t="n">
        <v>9</v>
      </c>
    </row>
    <row r="26" customFormat="false" ht="15" hidden="false" customHeight="false" outlineLevel="0" collapsed="false">
      <c r="A26" s="1" t="n">
        <v>15</v>
      </c>
      <c r="B26" s="2" t="s">
        <v>59</v>
      </c>
      <c r="C26" s="1" t="s">
        <v>59</v>
      </c>
      <c r="D26" s="1" t="n">
        <v>5</v>
      </c>
      <c r="G26" s="1" t="n">
        <v>5</v>
      </c>
    </row>
    <row r="27" customFormat="false" ht="15" hidden="false" customHeight="false" outlineLevel="0" collapsed="false">
      <c r="A27" s="6" t="n">
        <v>16</v>
      </c>
      <c r="B27" s="5" t="s">
        <v>62</v>
      </c>
      <c r="D27" s="1" t="n">
        <v>1</v>
      </c>
      <c r="G27" s="1" t="n">
        <v>1</v>
      </c>
    </row>
    <row r="28" customFormat="false" ht="15" hidden="false" customHeight="false" outlineLevel="0" collapsed="false">
      <c r="A28" s="1" t="n">
        <v>17</v>
      </c>
      <c r="B28" s="2" t="s">
        <v>68</v>
      </c>
      <c r="D28" s="1" t="n">
        <v>1</v>
      </c>
      <c r="G28" s="1" t="n">
        <v>1</v>
      </c>
    </row>
    <row r="29" customFormat="false" ht="15" hidden="false" customHeight="false" outlineLevel="0" collapsed="false">
      <c r="A29" s="6" t="n">
        <v>18</v>
      </c>
      <c r="B29" s="5" t="s">
        <v>71</v>
      </c>
      <c r="D29" s="1" t="n">
        <v>1</v>
      </c>
      <c r="G29" s="1" t="n">
        <v>1</v>
      </c>
    </row>
    <row r="30" customFormat="false" ht="15" hidden="false" customHeight="false" outlineLevel="0" collapsed="false">
      <c r="A30" s="1" t="n">
        <v>19</v>
      </c>
      <c r="B30" s="2" t="s">
        <v>74</v>
      </c>
      <c r="D30" s="1" t="n">
        <v>1</v>
      </c>
      <c r="G30" s="1" t="n">
        <v>1</v>
      </c>
    </row>
    <row r="31" customFormat="false" ht="15" hidden="false" customHeight="false" outlineLevel="0" collapsed="false">
      <c r="A31" s="1" t="n">
        <v>20</v>
      </c>
      <c r="B31" s="2" t="s">
        <v>77</v>
      </c>
      <c r="C31" s="1" t="s">
        <v>77</v>
      </c>
      <c r="D31" s="1" t="n">
        <v>6</v>
      </c>
      <c r="E31" s="1" t="n">
        <f aca="false">ROUND(AVERAGE(D31:D32),0)</f>
        <v>6</v>
      </c>
      <c r="F31" s="1" t="n">
        <v>6</v>
      </c>
      <c r="G31" s="1" t="n">
        <f aca="false">MAX(E31,F31)</f>
        <v>6</v>
      </c>
    </row>
    <row r="32" customFormat="false" ht="15" hidden="false" customHeight="false" outlineLevel="0" collapsed="false">
      <c r="C32" s="1" t="s">
        <v>77</v>
      </c>
      <c r="D32" s="1" t="n">
        <v>6</v>
      </c>
    </row>
    <row r="33" customFormat="false" ht="15" hidden="false" customHeight="false" outlineLevel="0" collapsed="false">
      <c r="A33" s="6" t="n">
        <v>21</v>
      </c>
      <c r="B33" s="5" t="s">
        <v>80</v>
      </c>
      <c r="D33" s="1" t="n">
        <v>1</v>
      </c>
      <c r="G33" s="1" t="n">
        <v>1</v>
      </c>
    </row>
    <row r="34" customFormat="false" ht="15" hidden="false" customHeight="false" outlineLevel="0" collapsed="false">
      <c r="F34" s="1" t="s">
        <v>10</v>
      </c>
      <c r="G34" s="1" t="n">
        <f aca="false">COUNT(G2:G34,"&gt;0")</f>
        <v>21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" activeCellId="0" sqref="D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5.69"/>
    <col collapsed="false" customWidth="true" hidden="false" outlineLevel="0" max="3" min="3" style="1" width="17.4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111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n">
        <v>9</v>
      </c>
    </row>
    <row r="3" customFormat="false" ht="15" hidden="false" customHeight="false" outlineLevel="0" collapsed="false">
      <c r="A3" s="1" t="n">
        <v>2</v>
      </c>
      <c r="B3" s="2" t="s">
        <v>19</v>
      </c>
      <c r="D3" s="1" t="n">
        <v>1</v>
      </c>
    </row>
    <row r="4" customFormat="false" ht="15" hidden="false" customHeight="false" outlineLevel="0" collapsed="false">
      <c r="A4" s="1" t="n">
        <v>3</v>
      </c>
      <c r="B4" s="2" t="s">
        <v>22</v>
      </c>
      <c r="D4" s="1" t="n">
        <v>1</v>
      </c>
    </row>
    <row r="5" customFormat="false" ht="15" hidden="false" customHeight="false" outlineLevel="0" collapsed="false">
      <c r="A5" s="1" t="n">
        <v>4</v>
      </c>
      <c r="B5" s="2" t="s">
        <v>25</v>
      </c>
      <c r="C5" s="1" t="s">
        <v>25</v>
      </c>
      <c r="D5" s="1" t="n">
        <v>10</v>
      </c>
    </row>
    <row r="6" customFormat="false" ht="15" hidden="false" customHeight="false" outlineLevel="0" collapsed="false">
      <c r="A6" s="1" t="n">
        <v>5</v>
      </c>
      <c r="B6" s="2" t="s">
        <v>28</v>
      </c>
      <c r="D6" s="1" t="n">
        <v>1</v>
      </c>
    </row>
    <row r="7" customFormat="false" ht="15" hidden="false" customHeight="false" outlineLevel="0" collapsed="false">
      <c r="A7" s="1" t="n">
        <v>6</v>
      </c>
      <c r="B7" s="2" t="s">
        <v>31</v>
      </c>
      <c r="C7" s="1" t="s">
        <v>31</v>
      </c>
      <c r="D7" s="1" t="n">
        <v>9</v>
      </c>
    </row>
    <row r="8" customFormat="false" ht="15" hidden="false" customHeight="false" outlineLevel="0" collapsed="false">
      <c r="A8" s="1" t="n">
        <v>7</v>
      </c>
      <c r="B8" s="2" t="s">
        <v>35</v>
      </c>
      <c r="D8" s="1" t="n">
        <v>1</v>
      </c>
    </row>
    <row r="9" customFormat="false" ht="15" hidden="false" customHeight="false" outlineLevel="0" collapsed="false">
      <c r="A9" s="1" t="n">
        <v>8</v>
      </c>
      <c r="B9" s="2" t="s">
        <v>38</v>
      </c>
      <c r="C9" s="1" t="s">
        <v>38</v>
      </c>
      <c r="D9" s="1" t="n">
        <v>10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1" t="s">
        <v>41</v>
      </c>
      <c r="D10" s="1" t="n">
        <v>9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1" t="s">
        <v>44</v>
      </c>
      <c r="D11" s="1" t="n">
        <v>9</v>
      </c>
    </row>
    <row r="12" customFormat="false" ht="15" hidden="false" customHeight="false" outlineLevel="0" collapsed="false">
      <c r="A12" s="1" t="n">
        <v>11</v>
      </c>
      <c r="B12" s="2" t="s">
        <v>47</v>
      </c>
      <c r="C12" s="1" t="s">
        <v>47</v>
      </c>
      <c r="D12" s="1" t="n">
        <v>9</v>
      </c>
    </row>
    <row r="13" customFormat="false" ht="15" hidden="false" customHeight="false" outlineLevel="0" collapsed="false">
      <c r="A13" s="1" t="n">
        <v>12</v>
      </c>
      <c r="B13" s="2" t="s">
        <v>50</v>
      </c>
      <c r="C13" s="1" t="s">
        <v>50</v>
      </c>
      <c r="D13" s="1" t="n">
        <v>10</v>
      </c>
    </row>
    <row r="14" customFormat="false" ht="15" hidden="false" customHeight="false" outlineLevel="0" collapsed="false">
      <c r="A14" s="1" t="n">
        <v>13</v>
      </c>
      <c r="B14" s="2" t="s">
        <v>53</v>
      </c>
      <c r="D14" s="1" t="n">
        <v>1</v>
      </c>
    </row>
    <row r="15" customFormat="false" ht="15" hidden="false" customHeight="false" outlineLevel="0" collapsed="false">
      <c r="A15" s="1" t="n">
        <v>14</v>
      </c>
      <c r="B15" s="2" t="s">
        <v>56</v>
      </c>
      <c r="C15" s="1" t="s">
        <v>56</v>
      </c>
      <c r="D15" s="1" t="n">
        <v>10</v>
      </c>
    </row>
    <row r="16" customFormat="false" ht="15" hidden="false" customHeight="false" outlineLevel="0" collapsed="false">
      <c r="A16" s="1" t="n">
        <v>15</v>
      </c>
      <c r="B16" s="2" t="s">
        <v>59</v>
      </c>
      <c r="D16" s="1" t="n">
        <v>1</v>
      </c>
    </row>
    <row r="17" customFormat="false" ht="15" hidden="false" customHeight="false" outlineLevel="0" collapsed="false">
      <c r="A17" s="6" t="n">
        <v>16</v>
      </c>
      <c r="B17" s="5" t="s">
        <v>62</v>
      </c>
      <c r="D17" s="1" t="n">
        <v>1</v>
      </c>
    </row>
    <row r="18" customFormat="false" ht="15" hidden="false" customHeight="false" outlineLevel="0" collapsed="false">
      <c r="A18" s="1" t="n">
        <v>17</v>
      </c>
      <c r="B18" s="2" t="s">
        <v>68</v>
      </c>
      <c r="D18" s="1" t="n">
        <v>1</v>
      </c>
    </row>
    <row r="19" customFormat="false" ht="15" hidden="false" customHeight="false" outlineLevel="0" collapsed="false">
      <c r="A19" s="6" t="n">
        <v>18</v>
      </c>
      <c r="B19" s="5" t="s">
        <v>71</v>
      </c>
      <c r="D19" s="1" t="n">
        <v>1</v>
      </c>
    </row>
    <row r="20" customFormat="false" ht="15" hidden="false" customHeight="false" outlineLevel="0" collapsed="false">
      <c r="A20" s="1" t="n">
        <v>19</v>
      </c>
      <c r="B20" s="2" t="s">
        <v>74</v>
      </c>
      <c r="C20" s="1" t="s">
        <v>74</v>
      </c>
      <c r="D20" s="1" t="n">
        <v>8</v>
      </c>
    </row>
    <row r="21" customFormat="false" ht="15" hidden="false" customHeight="false" outlineLevel="0" collapsed="false">
      <c r="A21" s="1" t="n">
        <v>20</v>
      </c>
      <c r="B21" s="2" t="s">
        <v>77</v>
      </c>
      <c r="C21" s="1" t="s">
        <v>77</v>
      </c>
      <c r="D21" s="1" t="n">
        <v>10</v>
      </c>
    </row>
    <row r="22" customFormat="false" ht="15" hidden="false" customHeight="false" outlineLevel="0" collapsed="false">
      <c r="A22" s="6" t="n">
        <v>21</v>
      </c>
      <c r="B22" s="5" t="s">
        <v>80</v>
      </c>
      <c r="D22" s="1" t="n">
        <v>1</v>
      </c>
    </row>
    <row r="23" customFormat="false" ht="15" hidden="false" customHeight="false" outlineLevel="0" collapsed="false">
      <c r="C23" s="1" t="s">
        <v>10</v>
      </c>
      <c r="D23" s="2" t="n">
        <f aca="false">COUNTIF(D2:D22,"&gt;0")</f>
        <v>21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2026-07-17T21:18:43Z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