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" sheetId="2" state="visible" r:id="rId4"/>
    <sheet name="positivos" sheetId="3" state="visible" r:id="rId5"/>
    <sheet name="1-af" sheetId="4" state="visible" r:id="rId6"/>
    <sheet name="2-zif" sheetId="5" state="visible" r:id="rId7"/>
    <sheet name="3-zof" sheetId="6" state="visible" r:id="rId8"/>
    <sheet name="Evaluacion" sheetId="7" state="visible" r:id="rId9"/>
    <sheet name="31-fuente swithing" sheetId="8" state="visible" r:id="rId10"/>
    <sheet name="5-buffer" sheetId="9" state="visible" r:id="rId11"/>
    <sheet name="6.3-pw" sheetId="10" state="visible" r:id="rId1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<sst xmlns="http://schemas.openxmlformats.org/spreadsheetml/2006/main" count="996" uniqueCount="122">
  <si>
    <t xml:space="preserve">nro</t>
  </si>
  <si>
    <t xml:space="preserve">Nombre</t>
  </si>
  <si>
    <t xml:space="preserve">Apellido(s)</t>
  </si>
  <si>
    <t xml:space="preserve">Dirección de correo</t>
  </si>
  <si>
    <t xml:space="preserve">observacio</t>
  </si>
  <si>
    <t xml:space="preserve">obs</t>
  </si>
  <si>
    <t xml:space="preserve">presentes</t>
  </si>
  <si>
    <t xml:space="preserve">media</t>
  </si>
  <si>
    <t xml:space="preserve">tarde</t>
  </si>
  <si>
    <t xml:space="preserve">ausentes</t>
  </si>
  <si>
    <t xml:space="preserve">total</t>
  </si>
  <si>
    <t xml:space="preserve">nota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</si>
  <si>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</si>
  <si>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</si>
  <si>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</si>
  <si>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</si>
  <si>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p</t>
  </si>
  <si>
    <t xml:space="preserve">A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</si>
  <si>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</si>
  <si>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</si>
  <si>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</si>
  <si>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</si>
  <si>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</si>
  <si>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</si>
  <si>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T</t>
  </si>
  <si>
    <t xml:space="preserve">Lautaro Francisco</t>
  </si>
  <si>
    <t xml:space="preserve">AYBAR</t>
  </si>
  <si>
    <t xml:space="preserve">aybarguillermo@gmail.com</t>
  </si>
  <si>
    <t xml:space="preserve">Sathya</t>
  </si>
  <si>
    <t xml:space="preserve">bertola galizzi</t>
  </si>
  <si>
    <t xml:space="preserve">sathyxzz@gmail.com</t>
  </si>
  <si>
    <t xml:space="preserve">Santiago</t>
  </si>
  <si>
    <t xml:space="preserve">BIROCCO FRETES</t>
  </si>
  <si>
    <t xml:space="preserve">SANTIAGOBIROCCOFRETES@GMAIL.COM</t>
  </si>
  <si>
    <t xml:space="preserve">enfermedad</t>
  </si>
  <si>
    <t xml:space="preserve">Mateo Ignacio</t>
  </si>
  <si>
    <t xml:space="preserve">BRUNO</t>
  </si>
  <si>
    <t xml:space="preserve">mateoibruno5@gmail.com</t>
  </si>
  <si>
    <t xml:space="preserve">Mirko</t>
  </si>
  <si>
    <t xml:space="preserve">Dellana</t>
  </si>
  <si>
    <t xml:space="preserve">mirkod2009@gmail.com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</si>
  <si>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</si>
  <si>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</si>
  <si>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</si>
  <si>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</si>
  <si>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</si>
  <si>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</si>
  <si>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</si>
  <si>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</si>
  <si>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</si>
  <si>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</si>
  <si>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</si>
  <si>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</si>
  <si>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</si>
  <si>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</si>
  <si>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</si>
  <si>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</si>
  <si>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</si>
  <si>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</si>
  <si>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</si>
  <si>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</si>
  <si>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</si>
  <si>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</si>
  <si>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 (Recur)</t>
  </si>
  <si>
    <t xml:space="preserve">gabrieladelpino10@gmail.com</t>
  </si>
  <si>
    <t xml:space="preserve">Recursa 15:00hs</t>
  </si>
  <si>
    <t xml:space="preserve">Recursa a las 15:00</t>
  </si>
  <si>
    <t xml:space="preserve">recursante</t>
  </si>
  <si>
    <t xml:space="preserve">Facundo Ariel</t>
  </si>
  <si>
    <t xml:space="preserve">MEDINA</t>
  </si>
  <si>
    <t xml:space="preserve">48376287@gmail.com</t>
  </si>
  <si>
    <t xml:space="preserve">Araceli Rosario Abigail</t>
  </si>
  <si>
    <t xml:space="preserve">SANTIBAÑEZ RAMÍREZ(recur)</t>
  </si>
  <si>
    <t xml:space="preserve">habibiaraceli08@gmail.com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</si>
  <si>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</si>
  <si>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</si>
  <si>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</si>
  <si>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</si>
  <si>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</si>
  <si>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</si>
  <si>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</si>
  <si>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 (Recur)</t>
  </si>
  <si>
    <t xml:space="preserve">zarragaramiro01@gmail.com</t>
  </si>
  <si>
    <t xml:space="preserve">no cursa</t>
  </si>
  <si>
    <t xml:space="preserve">media falta</t>
  </si>
  <si>
    <t xml:space="preserve">val media</t>
  </si>
  <si>
    <t xml:space="preserve">Carpeta</t>
  </si>
  <si>
    <t xml:space="preserve">1-af</t>
  </si>
  <si>
    <t xml:space="preserve">2-zidf</t>
  </si>
  <si>
    <t xml:space="preserve">3-zof</t>
  </si>
  <si>
    <t xml:space="preserve">Recuperacion</t>
  </si>
  <si>
    <t xml:space="preserve">4-Evaluacion</t>
  </si>
  <si>
    <t xml:space="preserve">Asistencia</t>
  </si>
  <si>
    <t xml:space="preserve">promedio</t>
  </si>
  <si>
    <t xml:space="preserve">valoracion</t>
  </si>
  <si>
    <t xml:space="preserve">3-1 – fuene switchin</t>
  </si>
  <si>
    <t xml:space="preserve">Recup</t>
  </si>
  <si>
    <t xml:space="preserve">5- AO-Buffer</t>
  </si>
  <si>
    <t xml:space="preserve">6.1- comparador</t>
  </si>
  <si>
    <t xml:space="preserve">Recu</t>
  </si>
  <si>
    <t xml:space="preserve">6.2 cto</t>
  </si>
  <si>
    <t xml:space="preserve">recup</t>
  </si>
  <si>
    <t xml:space="preserve">pw-1</t>
  </si>
  <si>
    <t xml:space="preserve">pw-2</t>
  </si>
  <si>
    <t xml:space="preserve">pw-3</t>
  </si>
  <si>
    <t xml:space="preserve">val ped</t>
  </si>
  <si>
    <t xml:space="preserve">F1-pasabajos</t>
  </si>
  <si>
    <t xml:space="preserve">F1-simulacion</t>
  </si>
  <si>
    <t xml:space="preserve">9-ARINC-429-cto</t>
  </si>
  <si>
    <t xml:space="preserve">9.2</t>
  </si>
  <si>
    <t xml:space="preserve">9.3</t>
  </si>
  <si>
    <t xml:space="preserve">MARTINEZ DEL PINO</t>
  </si>
  <si>
    <t xml:space="preserve">SANTIBAÑEZ RAMÍREZ (recursa)</t>
  </si>
  <si>
    <t xml:space="preserve">ZARRAGA (recursa)</t>
  </si>
  <si>
    <t xml:space="preserve">RODRIGUEZ MIÑO</t>
  </si>
  <si>
    <t xml:space="preserve">SANTIBAÑEZ RAMÍREZ</t>
  </si>
  <si>
    <t xml:space="preserve">ZARRAGA</t>
  </si>
  <si>
    <t xml:space="preserve">Calificación/10,00</t>
  </si>
  <si>
    <t xml:space="preserve">segundo</t>
  </si>
  <si>
    <t xml:space="preserve">final</t>
  </si>
  <si>
    <t xml:space="preserve">total </t>
  </si>
  <si>
    <t xml:space="preserve">prom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</si>
</sst>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BF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7"/>
  <sheetViews>
    <sheetView showFormulas="false" showGridLines="true" showRowColHeaders="true" showZeros="true" rightToLeft="false" tabSelected="false" showOutlineSymbols="true" defaultGridColor="true" view="normal" topLeftCell="AC10" colorId="64" zoomScale="100" zoomScaleNormal="100" zoomScalePageLayoutView="100" workbookViewId="0">
      <selection pane="topLeft" activeCell="AQ2" activeCellId="0" sqref="AQ2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5.24"/>
    <col collapsed="false" customWidth="true" hidden="true" outlineLevel="0" max="4" min="4" style="1" width="35.71"/>
    <col collapsed="false" customWidth="true" hidden="true" outlineLevel="0" max="5" min="5" style="1" width="8.68"/>
    <col collapsed="false" customWidth="false" hidden="true" outlineLevel="0" max="6" min="6" style="1" width="8.75"/>
    <col collapsed="false" customWidth="true" hidden="true" outlineLevel="0" max="7" min="7" style="1" width="11.28"/>
    <col collapsed="false" customWidth="false" hidden="true" outlineLevel="0" max="8" min="8" style="1" width="8.75"/>
    <col collapsed="false" customWidth="true" hidden="true" outlineLevel="0" max="10" min="9" style="1" width="14.54"/>
    <col collapsed="false" customWidth="true" hidden="true" outlineLevel="0" max="11" min="11" style="1" width="16.81"/>
    <col collapsed="false" customWidth="false" hidden="true" outlineLevel="0" max="28" min="12" style="1" width="8.75"/>
    <col collapsed="false" customWidth="true" hidden="false" outlineLevel="0" max="16384" min="16205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46092</v>
      </c>
      <c r="F2" s="3" t="n">
        <v>46099</v>
      </c>
      <c r="G2" s="3" t="s">
        <v>4</v>
      </c>
      <c r="H2" s="3" t="n">
        <v>46106</v>
      </c>
      <c r="I2" s="3" t="s">
        <v>5</v>
      </c>
      <c r="J2" s="3" t="n">
        <v>46113</v>
      </c>
      <c r="K2" s="3" t="s">
        <v>5</v>
      </c>
      <c r="L2" s="3" t="n">
        <v>46120</v>
      </c>
      <c r="M2" s="3" t="s">
        <v>5</v>
      </c>
      <c r="N2" s="3" t="n">
        <v>46127</v>
      </c>
      <c r="O2" s="3" t="n">
        <v>46134</v>
      </c>
      <c r="P2" s="3" t="s">
        <v>5</v>
      </c>
      <c r="Q2" s="3" t="n">
        <v>46141</v>
      </c>
      <c r="R2" s="3" t="s">
        <v>5</v>
      </c>
      <c r="S2" s="3" t="n">
        <v>46148</v>
      </c>
      <c r="T2" s="3" t="n">
        <v>46155</v>
      </c>
      <c r="U2" s="3" t="n">
        <v>46169</v>
      </c>
      <c r="V2" s="3" t="s">
        <v>6</v>
      </c>
      <c r="W2" s="3" t="s">
        <v>7</v>
      </c>
      <c r="X2" s="3" t="s">
        <v>8</v>
      </c>
      <c r="Y2" s="3" t="s">
        <v>9</v>
      </c>
      <c r="Z2" s="3" t="s">
        <v>10</v>
      </c>
      <c r="AA2" s="3" t="s">
        <v>11</v>
      </c>
      <c r="AB2" s="3" t="n">
        <v>46176</v>
      </c>
      <c r="AC2" s="3" t="n">
        <v>46183</v>
      </c>
      <c r="AD2" s="3" t="n">
        <v>46232</v>
      </c>
      <c r="AE2" s="3" t="n">
        <v>46190</v>
      </c>
      <c r="AF2" s="3" t="n">
        <v>46197</v>
      </c>
      <c r="AG2" s="3" t="n">
        <v>46204</v>
      </c>
      <c r="AH2" s="3" t="n">
        <v>46211</v>
      </c>
      <c r="AI2" s="3" t="n">
        <v>46267</v>
      </c>
      <c r="AJ2" s="3" t="n">
        <v>46274</v>
      </c>
      <c r="AK2" s="3" t="s">
        <v>5</v>
      </c>
      <c r="AL2" s="3" t="n">
        <v>46281</v>
      </c>
      <c r="AM2" s="3" t="s">
        <v>5</v>
      </c>
      <c r="AN2" s="3" t="n">
        <v>46288</v>
      </c>
      <c r="AO2" s="3" t="n">
        <v>46295</v>
      </c>
      <c r="AP2" s="0" t="s">
        <v>5</v>
      </c>
      <c r="AQ2" s="3" t="n">
        <v>46302</v>
      </c>
      <c r="AR2" s="3" t="n">
        <v>46309</v>
      </c>
      <c r="AS2" s="3" t="n">
        <v>46316</v>
      </c>
      <c r="AT2" s="3"/>
      <c r="AU2" s="3" t="n">
        <v>46330</v>
      </c>
      <c r="AV2" s="3" t="n">
        <v>46337</v>
      </c>
      <c r="AW2" s="3" t="n">
        <v>46344</v>
      </c>
      <c r="AX2" s="3" t="n">
        <v>46351</v>
      </c>
      <c r="AY2" s="3" t="n">
        <v>46358</v>
      </c>
      <c r="AZ2" s="3" t="n">
        <v>46365</v>
      </c>
      <c r="BA2" s="3" t="n">
        <v>46372</v>
      </c>
      <c r="BB2" s="3" t="n">
        <v>46379</v>
      </c>
      <c r="BC2" s="3" t="n">
        <v>46386</v>
      </c>
    </row>
    <row r="3" customFormat="false" ht="15.65" hidden="false" customHeight="false" outlineLevel="0" collapsed="false">
      <c r="A3" s="1" t="n">
        <v>1</v>
      </c>
      <c r="B3" s="2" t="s">
        <v>12</v>
      </c>
      <c r="C3" s="2" t="s">
        <v>13</v>
      </c>
      <c r="D3" s="2" t="s">
        <v>14</v>
      </c>
      <c r="E3" s="1" t="s">
        <v>15</v>
      </c>
      <c r="F3" s="2" t="s">
        <v>16</v>
      </c>
      <c r="G3" s="2"/>
      <c r="H3" s="2" t="s">
        <v>15</v>
      </c>
      <c r="I3" s="2"/>
      <c r="J3" s="1" t="s">
        <v>15</v>
      </c>
      <c r="L3" s="2" t="s">
        <v>15</v>
      </c>
      <c r="M3" s="2"/>
      <c r="N3" s="2" t="s">
        <v>17</v>
      </c>
      <c r="O3" s="2" t="s">
        <v>17</v>
      </c>
      <c r="Q3" s="2" t="s">
        <v>15</v>
      </c>
      <c r="R3" s="2"/>
      <c r="S3" s="2" t="s">
        <v>15</v>
      </c>
      <c r="T3" s="2" t="s">
        <v>17</v>
      </c>
      <c r="U3" s="2" t="s">
        <v>15</v>
      </c>
      <c r="V3" s="2" t="n">
        <f aca="false">COUNTIF(E3:U3,"P")</f>
        <v>8</v>
      </c>
      <c r="W3" s="2" t="n">
        <f aca="false">COUNTIF(E3:U3,"M")</f>
        <v>0</v>
      </c>
      <c r="X3" s="2" t="n">
        <f aca="false">COUNTIF(E3:U3,"T")</f>
        <v>0</v>
      </c>
      <c r="Y3" s="2" t="n">
        <f aca="false">COUNTIF(E3:U3,"A")</f>
        <v>3</v>
      </c>
      <c r="Z3" s="2" t="n">
        <f aca="false">SUM(V3:Y3)</f>
        <v>11</v>
      </c>
      <c r="AA3" s="4" t="n">
        <f aca="false">ROUND((V3+W3/2+X3/4)*10/Z3,0)</f>
        <v>7</v>
      </c>
      <c r="AB3" s="2" t="s">
        <v>15</v>
      </c>
      <c r="AC3" s="2" t="s">
        <v>15</v>
      </c>
      <c r="AE3" s="2" t="s">
        <v>15</v>
      </c>
      <c r="AF3" s="2" t="s">
        <v>15</v>
      </c>
      <c r="AG3" s="2" t="s">
        <v>15</v>
      </c>
      <c r="AH3" s="2" t="s">
        <v>15</v>
      </c>
      <c r="AI3" s="2" t="s">
        <v>15</v>
      </c>
      <c r="AJ3" s="2" t="s">
        <v>15</v>
      </c>
      <c r="AL3" s="2" t="s">
        <v>15</v>
      </c>
      <c r="AN3" s="2" t="s">
        <v>15</v>
      </c>
      <c r="AO3" s="5" t="s">
        <v>15</v>
      </c>
    </row>
    <row r="4" customFormat="false" ht="15.65" hidden="false" customHeight="false" outlineLevel="0" collapsed="false">
      <c r="A4" s="1" t="n">
        <v>2</v>
      </c>
      <c r="B4" s="2" t="s">
        <v>18</v>
      </c>
      <c r="C4" s="2" t="s">
        <v>19</v>
      </c>
      <c r="D4" s="2" t="s">
        <v>20</v>
      </c>
      <c r="E4" s="1" t="s">
        <v>15</v>
      </c>
      <c r="F4" s="2" t="s">
        <v>16</v>
      </c>
      <c r="G4" s="2"/>
      <c r="H4" s="2" t="s">
        <v>15</v>
      </c>
      <c r="J4" s="1" t="s">
        <v>15</v>
      </c>
      <c r="L4" s="2" t="s">
        <v>15</v>
      </c>
      <c r="M4" s="2"/>
      <c r="N4" s="2" t="s">
        <v>15</v>
      </c>
      <c r="O4" s="2" t="s">
        <v>15</v>
      </c>
      <c r="Q4" s="2" t="s">
        <v>15</v>
      </c>
      <c r="R4" s="2"/>
      <c r="S4" s="2" t="s">
        <v>15</v>
      </c>
      <c r="T4" s="2" t="s">
        <v>15</v>
      </c>
      <c r="U4" s="2" t="s">
        <v>15</v>
      </c>
      <c r="V4" s="2" t="n">
        <f aca="false">COUNTIF(E4:U4,"P")</f>
        <v>11</v>
      </c>
      <c r="W4" s="2" t="n">
        <f aca="false">COUNTIF(E4:U4,"M")</f>
        <v>0</v>
      </c>
      <c r="X4" s="2" t="n">
        <f aca="false">COUNTIF(E4:U4,"T")</f>
        <v>0</v>
      </c>
      <c r="Y4" s="2" t="n">
        <f aca="false">COUNTIF(E4:U4,"A")</f>
        <v>0</v>
      </c>
      <c r="Z4" s="2" t="n">
        <f aca="false">SUM(V4:Y4)</f>
        <v>11</v>
      </c>
      <c r="AA4" s="4" t="n">
        <f aca="false">ROUND((V4+W4/2+X4/4)*10/Z4,0)</f>
        <v>10</v>
      </c>
      <c r="AB4" s="2" t="s">
        <v>15</v>
      </c>
      <c r="AC4" s="2" t="s">
        <v>15</v>
      </c>
      <c r="AE4" s="2" t="s">
        <v>15</v>
      </c>
      <c r="AF4" s="2" t="s">
        <v>15</v>
      </c>
      <c r="AG4" s="2" t="s">
        <v>15</v>
      </c>
      <c r="AH4" s="2" t="s">
        <v>15</v>
      </c>
      <c r="AI4" s="2" t="s">
        <v>15</v>
      </c>
      <c r="AJ4" s="2" t="s">
        <v>15</v>
      </c>
      <c r="AL4" s="2" t="s">
        <v>15</v>
      </c>
      <c r="AN4" s="2" t="s">
        <v>15</v>
      </c>
      <c r="AO4" s="5" t="s">
        <v>15</v>
      </c>
    </row>
    <row r="5" customFormat="false" ht="15.65" hidden="false" customHeight="false" outlineLevel="0" collapsed="false">
      <c r="A5" s="1" t="n">
        <v>3</v>
      </c>
      <c r="B5" s="2" t="s">
        <v>21</v>
      </c>
      <c r="C5" s="2" t="s">
        <v>22</v>
      </c>
      <c r="D5" s="2" t="s">
        <v>23</v>
      </c>
      <c r="E5" s="1" t="s">
        <v>15</v>
      </c>
      <c r="F5" s="2" t="s">
        <v>16</v>
      </c>
      <c r="G5" s="2"/>
      <c r="H5" s="2" t="s">
        <v>15</v>
      </c>
      <c r="J5" s="1" t="s">
        <v>15</v>
      </c>
      <c r="L5" s="2" t="s">
        <v>15</v>
      </c>
      <c r="M5" s="2"/>
      <c r="N5" s="2" t="s">
        <v>15</v>
      </c>
      <c r="O5" s="2" t="s">
        <v>15</v>
      </c>
      <c r="Q5" s="2" t="s">
        <v>15</v>
      </c>
      <c r="R5" s="2"/>
      <c r="S5" s="2" t="s">
        <v>15</v>
      </c>
      <c r="T5" s="2" t="s">
        <v>17</v>
      </c>
      <c r="U5" s="2" t="s">
        <v>15</v>
      </c>
      <c r="V5" s="2" t="n">
        <f aca="false">COUNTIF(E5:U5,"P")</f>
        <v>10</v>
      </c>
      <c r="W5" s="2" t="n">
        <f aca="false">COUNTIF(E5:U5,"M")</f>
        <v>0</v>
      </c>
      <c r="X5" s="2" t="n">
        <f aca="false">COUNTIF(E5:U5,"T")</f>
        <v>0</v>
      </c>
      <c r="Y5" s="2" t="n">
        <f aca="false">COUNTIF(E5:U5,"A")</f>
        <v>1</v>
      </c>
      <c r="Z5" s="2" t="n">
        <f aca="false">SUM(V5:Y5)</f>
        <v>11</v>
      </c>
      <c r="AA5" s="4" t="n">
        <f aca="false">ROUND((V5+W5/2+X5/4)*10/Z5,0)</f>
        <v>9</v>
      </c>
      <c r="AB5" s="2" t="s">
        <v>15</v>
      </c>
      <c r="AC5" s="2" t="s">
        <v>15</v>
      </c>
      <c r="AE5" s="2" t="s">
        <v>15</v>
      </c>
      <c r="AF5" s="2" t="s">
        <v>15</v>
      </c>
      <c r="AG5" s="2" t="s">
        <v>15</v>
      </c>
      <c r="AH5" s="2" t="s">
        <v>17</v>
      </c>
      <c r="AI5" s="2" t="s">
        <v>15</v>
      </c>
      <c r="AJ5" s="2" t="s">
        <v>15</v>
      </c>
      <c r="AL5" s="2" t="s">
        <v>15</v>
      </c>
      <c r="AN5" s="2" t="s">
        <v>15</v>
      </c>
      <c r="AO5" s="5" t="s">
        <v>24</v>
      </c>
      <c r="AP5" s="6" t="n">
        <v>0.597222222222222</v>
      </c>
    </row>
    <row r="6" customFormat="false" ht="15.65" hidden="false" customHeight="false" outlineLevel="0" collapsed="false">
      <c r="A6" s="1" t="n">
        <v>4</v>
      </c>
      <c r="B6" s="2" t="s">
        <v>25</v>
      </c>
      <c r="C6" s="2" t="s">
        <v>26</v>
      </c>
      <c r="D6" s="2" t="s">
        <v>27</v>
      </c>
      <c r="E6" s="1" t="s">
        <v>15</v>
      </c>
      <c r="F6" s="2" t="s">
        <v>16</v>
      </c>
      <c r="G6" s="2"/>
      <c r="H6" s="2" t="s">
        <v>15</v>
      </c>
      <c r="J6" s="1" t="s">
        <v>15</v>
      </c>
      <c r="L6" s="2" t="s">
        <v>15</v>
      </c>
      <c r="M6" s="2"/>
      <c r="N6" s="2" t="s">
        <v>15</v>
      </c>
      <c r="O6" s="2" t="s">
        <v>15</v>
      </c>
      <c r="Q6" s="2" t="s">
        <v>15</v>
      </c>
      <c r="R6" s="2"/>
      <c r="S6" s="2" t="s">
        <v>15</v>
      </c>
      <c r="T6" s="2" t="s">
        <v>15</v>
      </c>
      <c r="U6" s="2" t="s">
        <v>15</v>
      </c>
      <c r="V6" s="2" t="n">
        <f aca="false">COUNTIF(E6:U6,"P")</f>
        <v>11</v>
      </c>
      <c r="W6" s="2" t="n">
        <f aca="false">COUNTIF(E6:U6,"M")</f>
        <v>0</v>
      </c>
      <c r="X6" s="2" t="n">
        <f aca="false">COUNTIF(E6:U6,"T")</f>
        <v>0</v>
      </c>
      <c r="Y6" s="2" t="n">
        <f aca="false">COUNTIF(E6:U6,"A")</f>
        <v>0</v>
      </c>
      <c r="Z6" s="2" t="n">
        <f aca="false">SUM(V6:Y6)</f>
        <v>11</v>
      </c>
      <c r="AA6" s="4" t="n">
        <f aca="false">ROUND((V6+W6/2+X6/4)*10/Z6,0)</f>
        <v>10</v>
      </c>
      <c r="AB6" s="2" t="s">
        <v>15</v>
      </c>
      <c r="AC6" s="2" t="s">
        <v>15</v>
      </c>
      <c r="AE6" s="2" t="s">
        <v>15</v>
      </c>
      <c r="AF6" s="2" t="s">
        <v>15</v>
      </c>
      <c r="AG6" s="2" t="s">
        <v>15</v>
      </c>
      <c r="AH6" s="2" t="s">
        <v>15</v>
      </c>
      <c r="AI6" s="2" t="s">
        <v>16</v>
      </c>
      <c r="AJ6" s="2" t="s">
        <v>15</v>
      </c>
      <c r="AL6" s="2" t="s">
        <v>15</v>
      </c>
      <c r="AN6" s="2" t="s">
        <v>15</v>
      </c>
      <c r="AO6" s="5" t="s">
        <v>15</v>
      </c>
    </row>
    <row r="7" customFormat="false" ht="15.65" hidden="false" customHeight="false" outlineLevel="0" collapsed="false">
      <c r="A7" s="1" t="n">
        <v>5</v>
      </c>
      <c r="B7" s="2" t="s">
        <v>28</v>
      </c>
      <c r="C7" s="2" t="s">
        <v>29</v>
      </c>
      <c r="D7" s="2" t="s">
        <v>30</v>
      </c>
      <c r="E7" s="1" t="s">
        <v>15</v>
      </c>
      <c r="F7" s="2" t="s">
        <v>16</v>
      </c>
      <c r="G7" s="2"/>
      <c r="H7" s="2" t="s">
        <v>15</v>
      </c>
      <c r="J7" s="1" t="s">
        <v>17</v>
      </c>
      <c r="L7" s="2" t="s">
        <v>15</v>
      </c>
      <c r="M7" s="2"/>
      <c r="N7" s="2" t="s">
        <v>15</v>
      </c>
      <c r="O7" s="2" t="s">
        <v>17</v>
      </c>
      <c r="Q7" s="2" t="s">
        <v>15</v>
      </c>
      <c r="R7" s="2"/>
      <c r="S7" s="2" t="s">
        <v>15</v>
      </c>
      <c r="T7" s="2" t="s">
        <v>17</v>
      </c>
      <c r="U7" s="2" t="s">
        <v>17</v>
      </c>
      <c r="V7" s="2" t="n">
        <f aca="false">COUNTIF(E7:U7,"P")</f>
        <v>7</v>
      </c>
      <c r="W7" s="2" t="n">
        <f aca="false">COUNTIF(E7:U7,"M")</f>
        <v>0</v>
      </c>
      <c r="X7" s="2" t="n">
        <f aca="false">COUNTIF(E7:U7,"T")</f>
        <v>0</v>
      </c>
      <c r="Y7" s="2" t="n">
        <f aca="false">COUNTIF(E7:U7,"A")</f>
        <v>4</v>
      </c>
      <c r="Z7" s="2" t="n">
        <f aca="false">SUM(V7:Y7)</f>
        <v>11</v>
      </c>
      <c r="AA7" s="4" t="n">
        <f aca="false">ROUND((V7+W7/2+X7/4)*10/Z7,0)</f>
        <v>6</v>
      </c>
      <c r="AB7" s="2" t="s">
        <v>17</v>
      </c>
      <c r="AC7" s="2" t="s">
        <v>15</v>
      </c>
      <c r="AE7" s="2" t="s">
        <v>15</v>
      </c>
      <c r="AF7" s="2" t="s">
        <v>17</v>
      </c>
      <c r="AG7" s="2" t="s">
        <v>15</v>
      </c>
      <c r="AH7" s="2" t="s">
        <v>15</v>
      </c>
      <c r="AI7" s="2" t="s">
        <v>15</v>
      </c>
      <c r="AJ7" s="2" t="s">
        <v>24</v>
      </c>
      <c r="AK7" s="7" t="n">
        <v>0.645833333333333</v>
      </c>
      <c r="AL7" s="2" t="s">
        <v>15</v>
      </c>
      <c r="AN7" s="2" t="s">
        <v>17</v>
      </c>
      <c r="AO7" s="5" t="s">
        <v>15</v>
      </c>
    </row>
    <row r="8" s="2" customFormat="true" ht="15.65" hidden="false" customHeight="false" outlineLevel="0" collapsed="false">
      <c r="A8" s="1" t="n">
        <v>6</v>
      </c>
      <c r="B8" s="2" t="s">
        <v>31</v>
      </c>
      <c r="C8" s="2" t="s">
        <v>32</v>
      </c>
      <c r="D8" s="2" t="s">
        <v>33</v>
      </c>
      <c r="E8" s="1" t="s">
        <v>15</v>
      </c>
      <c r="F8" s="1" t="s">
        <v>15</v>
      </c>
      <c r="G8" s="1" t="s">
        <v>34</v>
      </c>
      <c r="H8" s="1" t="s">
        <v>15</v>
      </c>
      <c r="I8" s="1"/>
      <c r="J8" s="1" t="s">
        <v>15</v>
      </c>
      <c r="K8" s="1"/>
      <c r="L8" s="1" t="s">
        <v>15</v>
      </c>
      <c r="M8" s="1"/>
      <c r="N8" s="1" t="s">
        <v>15</v>
      </c>
      <c r="O8" s="1" t="s">
        <v>15</v>
      </c>
      <c r="P8" s="1"/>
      <c r="Q8" s="1" t="s">
        <v>15</v>
      </c>
      <c r="R8" s="1" t="s">
        <v>34</v>
      </c>
      <c r="S8" s="1" t="s">
        <v>15</v>
      </c>
      <c r="T8" s="1" t="s">
        <v>15</v>
      </c>
      <c r="U8" s="1" t="s">
        <v>15</v>
      </c>
      <c r="V8" s="2" t="n">
        <f aca="false">COUNTIF(E8:U8,"P")</f>
        <v>11</v>
      </c>
      <c r="W8" s="2" t="n">
        <f aca="false">COUNTIF(E8:U8,"M")</f>
        <v>0</v>
      </c>
      <c r="X8" s="2" t="n">
        <f aca="false">COUNTIF(E8:U8,"T")</f>
        <v>0</v>
      </c>
      <c r="Y8" s="2" t="n">
        <f aca="false">COUNTIF(E8:U8,"A")</f>
        <v>0</v>
      </c>
      <c r="Z8" s="2" t="n">
        <f aca="false">SUM(V8:Y8)</f>
        <v>11</v>
      </c>
      <c r="AA8" s="4" t="n">
        <f aca="false">ROUND((V8+W8/2+X8/4)*10/Z8,0)</f>
        <v>10</v>
      </c>
      <c r="AB8" s="1" t="s">
        <v>15</v>
      </c>
      <c r="AC8" s="2" t="s">
        <v>15</v>
      </c>
      <c r="AD8" s="1"/>
      <c r="AE8" s="1" t="s">
        <v>15</v>
      </c>
      <c r="AF8" s="1" t="s">
        <v>15</v>
      </c>
      <c r="AG8" s="1" t="s">
        <v>17</v>
      </c>
      <c r="AH8" s="1" t="s">
        <v>17</v>
      </c>
      <c r="AI8" s="1" t="s">
        <v>15</v>
      </c>
      <c r="AJ8" s="1" t="s">
        <v>15</v>
      </c>
      <c r="AK8" s="1"/>
      <c r="AL8" s="1" t="s">
        <v>15</v>
      </c>
      <c r="AM8" s="1"/>
      <c r="AN8" s="1" t="s">
        <v>15</v>
      </c>
      <c r="AO8" s="1" t="s">
        <v>15</v>
      </c>
      <c r="AP8" s="0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WYG8" s="1"/>
      <c r="WYH8" s="1"/>
      <c r="WYI8" s="1"/>
      <c r="WYJ8" s="1"/>
      <c r="WYK8" s="1"/>
      <c r="WYL8" s="1"/>
      <c r="WYM8" s="1"/>
      <c r="WYN8" s="1"/>
      <c r="WYO8" s="1"/>
      <c r="WYP8" s="1"/>
      <c r="WYQ8" s="1"/>
      <c r="WYR8" s="1"/>
      <c r="WYS8" s="1"/>
      <c r="WYT8" s="1"/>
      <c r="WYU8" s="1"/>
      <c r="WYV8" s="1"/>
      <c r="WYW8" s="1"/>
      <c r="WYX8" s="1"/>
      <c r="WYY8" s="1"/>
      <c r="WYZ8" s="1"/>
      <c r="WZA8" s="1"/>
      <c r="WZB8" s="1"/>
      <c r="WZC8" s="1"/>
      <c r="WZD8" s="1"/>
      <c r="WZE8" s="1"/>
      <c r="WZF8" s="1"/>
      <c r="WZG8" s="1"/>
      <c r="WZH8" s="1"/>
      <c r="WZI8" s="1"/>
      <c r="WZJ8" s="1"/>
      <c r="WZK8" s="1"/>
      <c r="WZL8" s="1"/>
      <c r="WZM8" s="1"/>
      <c r="WZN8" s="1"/>
      <c r="WZO8" s="1"/>
      <c r="WZP8" s="1"/>
      <c r="WZQ8" s="1"/>
      <c r="WZR8" s="1"/>
      <c r="WZS8" s="1"/>
      <c r="WZT8" s="1"/>
      <c r="WZU8" s="1"/>
      <c r="WZV8" s="1"/>
      <c r="WZW8" s="1"/>
      <c r="WZX8" s="1"/>
      <c r="WZY8" s="1"/>
      <c r="WZZ8" s="1"/>
      <c r="XAA8" s="1"/>
      <c r="XAB8" s="1"/>
      <c r="XAC8" s="1"/>
      <c r="XAD8" s="1"/>
      <c r="XAE8" s="1"/>
      <c r="XAF8" s="1"/>
      <c r="XAG8" s="1"/>
      <c r="XAH8" s="1"/>
      <c r="XAI8" s="1"/>
      <c r="XAJ8" s="1"/>
      <c r="XAK8" s="1"/>
      <c r="XAL8" s="1"/>
      <c r="XAM8" s="1"/>
      <c r="XAN8" s="1"/>
      <c r="XAO8" s="1"/>
      <c r="XAP8" s="1"/>
      <c r="XAQ8" s="1"/>
      <c r="XAR8" s="1"/>
      <c r="XAS8" s="1"/>
      <c r="XAT8" s="1"/>
      <c r="XAU8" s="1"/>
      <c r="XAV8" s="1"/>
      <c r="XAW8" s="1"/>
      <c r="XAX8" s="1"/>
      <c r="XAY8" s="1"/>
      <c r="XAZ8" s="1"/>
      <c r="XBA8" s="1"/>
      <c r="XBB8" s="1"/>
      <c r="XBC8" s="1"/>
      <c r="XBD8" s="1"/>
      <c r="XBE8" s="1"/>
      <c r="XBF8" s="1"/>
      <c r="XBG8" s="1"/>
      <c r="XBH8" s="1"/>
      <c r="XBI8" s="1"/>
      <c r="XBJ8" s="1"/>
      <c r="XBK8" s="1"/>
      <c r="XBL8" s="1"/>
      <c r="XBM8" s="1"/>
      <c r="XBN8" s="1"/>
      <c r="XBO8" s="1"/>
      <c r="XBP8" s="1"/>
      <c r="XBQ8" s="1"/>
      <c r="XBR8" s="1"/>
      <c r="XBS8" s="1"/>
      <c r="XBT8" s="1"/>
      <c r="XBU8" s="1"/>
      <c r="XBV8" s="1"/>
      <c r="XBW8" s="1"/>
      <c r="XBX8" s="1"/>
      <c r="XBY8" s="1"/>
      <c r="XBZ8" s="1"/>
      <c r="XCA8" s="1"/>
      <c r="XCB8" s="1"/>
      <c r="XCC8" s="1"/>
      <c r="XCD8" s="1"/>
      <c r="XCE8" s="1"/>
      <c r="XCF8" s="1"/>
      <c r="XCG8" s="1"/>
      <c r="XCH8" s="1"/>
      <c r="XCI8" s="1"/>
      <c r="XCJ8" s="1"/>
      <c r="XCK8" s="1"/>
      <c r="XCL8" s="1"/>
      <c r="XCM8" s="1"/>
      <c r="XCN8" s="1"/>
      <c r="XCO8" s="1"/>
      <c r="XCP8" s="1"/>
      <c r="XCQ8" s="1"/>
      <c r="XCR8" s="1"/>
      <c r="XCS8" s="1"/>
      <c r="XCT8" s="1"/>
      <c r="XCU8" s="1"/>
      <c r="XCV8" s="1"/>
      <c r="XCW8" s="1"/>
      <c r="XCX8" s="1"/>
      <c r="XCY8" s="1"/>
      <c r="XCZ8" s="1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false" ht="15.65" hidden="false" customHeight="false" outlineLevel="0" collapsed="false">
      <c r="A9" s="1" t="n">
        <v>7</v>
      </c>
      <c r="B9" s="2" t="s">
        <v>35</v>
      </c>
      <c r="C9" s="2" t="s">
        <v>36</v>
      </c>
      <c r="D9" s="2" t="s">
        <v>37</v>
      </c>
      <c r="E9" s="1" t="s">
        <v>15</v>
      </c>
      <c r="F9" s="2" t="s">
        <v>15</v>
      </c>
      <c r="G9" s="2"/>
      <c r="H9" s="2" t="s">
        <v>15</v>
      </c>
      <c r="J9" s="1" t="s">
        <v>15</v>
      </c>
      <c r="L9" s="2" t="s">
        <v>15</v>
      </c>
      <c r="M9" s="2"/>
      <c r="N9" s="2" t="s">
        <v>17</v>
      </c>
      <c r="O9" s="2" t="s">
        <v>15</v>
      </c>
      <c r="Q9" s="2" t="s">
        <v>15</v>
      </c>
      <c r="R9" s="2"/>
      <c r="S9" s="2" t="s">
        <v>15</v>
      </c>
      <c r="T9" s="2" t="s">
        <v>15</v>
      </c>
      <c r="U9" s="2" t="s">
        <v>15</v>
      </c>
      <c r="V9" s="2" t="n">
        <f aca="false">COUNTIF(E9:U9,"P")</f>
        <v>10</v>
      </c>
      <c r="W9" s="2" t="n">
        <f aca="false">COUNTIF(E9:U9,"M")</f>
        <v>0</v>
      </c>
      <c r="X9" s="2" t="n">
        <f aca="false">COUNTIF(E9:U9,"T")</f>
        <v>0</v>
      </c>
      <c r="Y9" s="2" t="n">
        <f aca="false">COUNTIF(E9:U9,"A")</f>
        <v>1</v>
      </c>
      <c r="Z9" s="2" t="n">
        <f aca="false">SUM(V9:Y9)</f>
        <v>11</v>
      </c>
      <c r="AA9" s="4" t="n">
        <f aca="false">ROUND((V9+W9/2+X9/4)*10/Z9,0)</f>
        <v>9</v>
      </c>
      <c r="AB9" s="2" t="s">
        <v>15</v>
      </c>
      <c r="AC9" s="2" t="s">
        <v>15</v>
      </c>
      <c r="AE9" s="2" t="s">
        <v>15</v>
      </c>
      <c r="AF9" s="2" t="s">
        <v>15</v>
      </c>
      <c r="AG9" s="2" t="s">
        <v>15</v>
      </c>
      <c r="AH9" s="2" t="s">
        <v>15</v>
      </c>
      <c r="AI9" s="2" t="s">
        <v>15</v>
      </c>
      <c r="AJ9" s="2" t="s">
        <v>15</v>
      </c>
      <c r="AL9" s="2" t="s">
        <v>15</v>
      </c>
      <c r="AN9" s="2" t="s">
        <v>15</v>
      </c>
      <c r="AO9" s="5" t="s">
        <v>15</v>
      </c>
    </row>
    <row r="10" customFormat="false" ht="15.65" hidden="false" customHeight="false" outlineLevel="0" collapsed="false">
      <c r="A10" s="1" t="n">
        <v>8</v>
      </c>
      <c r="B10" s="2" t="s">
        <v>38</v>
      </c>
      <c r="C10" s="2" t="s">
        <v>39</v>
      </c>
      <c r="D10" s="2" t="s">
        <v>40</v>
      </c>
      <c r="E10" s="1" t="s">
        <v>15</v>
      </c>
      <c r="F10" s="2" t="s">
        <v>15</v>
      </c>
      <c r="G10" s="2"/>
      <c r="H10" s="2" t="s">
        <v>15</v>
      </c>
      <c r="J10" s="1" t="s">
        <v>15</v>
      </c>
      <c r="L10" s="2" t="s">
        <v>15</v>
      </c>
      <c r="M10" s="2"/>
      <c r="N10" s="2" t="s">
        <v>15</v>
      </c>
      <c r="O10" s="2" t="s">
        <v>15</v>
      </c>
      <c r="Q10" s="2" t="s">
        <v>15</v>
      </c>
      <c r="R10" s="2"/>
      <c r="S10" s="2" t="s">
        <v>15</v>
      </c>
      <c r="T10" s="2" t="s">
        <v>15</v>
      </c>
      <c r="U10" s="2" t="s">
        <v>15</v>
      </c>
      <c r="V10" s="2" t="n">
        <f aca="false">COUNTIF(E10:U10,"P")</f>
        <v>11</v>
      </c>
      <c r="W10" s="2" t="n">
        <f aca="false">COUNTIF(E10:U10,"M")</f>
        <v>0</v>
      </c>
      <c r="X10" s="2" t="n">
        <f aca="false">COUNTIF(E10:U10,"T")</f>
        <v>0</v>
      </c>
      <c r="Y10" s="2" t="n">
        <f aca="false">COUNTIF(E10:U10,"A")</f>
        <v>0</v>
      </c>
      <c r="Z10" s="2" t="n">
        <f aca="false">SUM(V10:Y10)</f>
        <v>11</v>
      </c>
      <c r="AA10" s="4" t="n">
        <f aca="false">ROUND((V10+W10/2+X10/4)*10/Z10,0)</f>
        <v>10</v>
      </c>
      <c r="AB10" s="2" t="s">
        <v>15</v>
      </c>
      <c r="AC10" s="2" t="s">
        <v>15</v>
      </c>
      <c r="AE10" s="2" t="s">
        <v>15</v>
      </c>
      <c r="AF10" s="2" t="s">
        <v>15</v>
      </c>
      <c r="AG10" s="2" t="s">
        <v>15</v>
      </c>
      <c r="AH10" s="2" t="s">
        <v>15</v>
      </c>
      <c r="AI10" s="2" t="s">
        <v>15</v>
      </c>
      <c r="AJ10" s="2" t="s">
        <v>15</v>
      </c>
      <c r="AL10" s="2" t="s">
        <v>15</v>
      </c>
      <c r="AN10" s="2" t="s">
        <v>15</v>
      </c>
      <c r="AO10" s="5" t="s">
        <v>15</v>
      </c>
    </row>
    <row r="11" customFormat="false" ht="15.65" hidden="false" customHeight="false" outlineLevel="0" collapsed="false">
      <c r="A11" s="1" t="n">
        <v>9</v>
      </c>
      <c r="B11" s="2" t="s">
        <v>41</v>
      </c>
      <c r="C11" s="2" t="s">
        <v>42</v>
      </c>
      <c r="D11" s="2" t="s">
        <v>43</v>
      </c>
      <c r="E11" s="1" t="s">
        <v>15</v>
      </c>
      <c r="F11" s="2" t="s">
        <v>15</v>
      </c>
      <c r="G11" s="2"/>
      <c r="H11" s="2" t="s">
        <v>15</v>
      </c>
      <c r="J11" s="1" t="s">
        <v>15</v>
      </c>
      <c r="L11" s="2" t="s">
        <v>15</v>
      </c>
      <c r="M11" s="2"/>
      <c r="N11" s="2" t="s">
        <v>17</v>
      </c>
      <c r="O11" s="2" t="s">
        <v>15</v>
      </c>
      <c r="Q11" s="2" t="s">
        <v>15</v>
      </c>
      <c r="R11" s="2"/>
      <c r="S11" s="2" t="s">
        <v>17</v>
      </c>
      <c r="T11" s="2" t="s">
        <v>15</v>
      </c>
      <c r="U11" s="2" t="s">
        <v>15</v>
      </c>
      <c r="V11" s="2" t="n">
        <f aca="false">COUNTIF(E11:U11,"P")</f>
        <v>9</v>
      </c>
      <c r="W11" s="2" t="n">
        <f aca="false">COUNTIF(E11:U11,"M")</f>
        <v>0</v>
      </c>
      <c r="X11" s="2" t="n">
        <f aca="false">COUNTIF(E11:U11,"T")</f>
        <v>0</v>
      </c>
      <c r="Y11" s="2" t="n">
        <f aca="false">COUNTIF(E11:U11,"A")</f>
        <v>2</v>
      </c>
      <c r="Z11" s="2" t="n">
        <f aca="false">SUM(V11:Y11)</f>
        <v>11</v>
      </c>
      <c r="AA11" s="4" t="n">
        <f aca="false">ROUND((V11+W11/2+X11/4)*10/Z11,0)</f>
        <v>8</v>
      </c>
      <c r="AB11" s="2" t="s">
        <v>15</v>
      </c>
      <c r="AC11" s="2" t="s">
        <v>15</v>
      </c>
      <c r="AE11" s="2" t="s">
        <v>15</v>
      </c>
      <c r="AF11" s="2" t="s">
        <v>15</v>
      </c>
      <c r="AG11" s="2" t="s">
        <v>15</v>
      </c>
      <c r="AH11" s="2" t="s">
        <v>15</v>
      </c>
      <c r="AI11" s="2" t="s">
        <v>15</v>
      </c>
      <c r="AJ11" s="2" t="s">
        <v>24</v>
      </c>
      <c r="AK11" s="7" t="n">
        <v>0.604166666666667</v>
      </c>
      <c r="AL11" s="2" t="s">
        <v>24</v>
      </c>
      <c r="AM11" s="7" t="n">
        <v>0.611111111111111</v>
      </c>
      <c r="AN11" s="2" t="s">
        <v>15</v>
      </c>
      <c r="AO11" s="5" t="s">
        <v>24</v>
      </c>
      <c r="AP11" s="6" t="n">
        <v>0.597222222222222</v>
      </c>
      <c r="WYH11" s="2"/>
      <c r="WYI11" s="2"/>
      <c r="WYJ11" s="2"/>
      <c r="WYK11" s="2"/>
      <c r="WYL11" s="2"/>
      <c r="WYM11" s="2"/>
      <c r="WYN11" s="2"/>
      <c r="WYO11" s="2"/>
      <c r="WYP11" s="2"/>
      <c r="WYQ11" s="2"/>
      <c r="WYR11" s="2"/>
      <c r="WYS11" s="2"/>
      <c r="WYT11" s="2"/>
      <c r="WYU11" s="2"/>
      <c r="WYV11" s="2"/>
      <c r="WYW11" s="2"/>
      <c r="WYX11" s="2"/>
      <c r="WYY11" s="2"/>
      <c r="WYZ11" s="2"/>
      <c r="WZA11" s="2"/>
      <c r="WZB11" s="2"/>
      <c r="WZC11" s="2"/>
      <c r="WZD11" s="2"/>
      <c r="WZE11" s="2"/>
      <c r="WZF11" s="2"/>
      <c r="WZG11" s="2"/>
      <c r="WZH11" s="2"/>
      <c r="WZI11" s="2"/>
      <c r="WZJ11" s="2"/>
      <c r="WZK11" s="2"/>
      <c r="WZL11" s="2"/>
      <c r="WZM11" s="2"/>
      <c r="WZN11" s="2"/>
      <c r="WZO11" s="2"/>
      <c r="WZP11" s="2"/>
      <c r="WZQ11" s="2"/>
      <c r="WZR11" s="2"/>
      <c r="WZS11" s="2"/>
      <c r="WZT11" s="2"/>
      <c r="WZU11" s="2"/>
      <c r="WZV11" s="2"/>
      <c r="WZW11" s="2"/>
      <c r="WZX11" s="2"/>
      <c r="WZY11" s="2"/>
      <c r="WZZ11" s="2"/>
      <c r="XAA11" s="2"/>
      <c r="XAB11" s="2"/>
      <c r="XAC11" s="2"/>
      <c r="XAD11" s="2"/>
      <c r="XAE11" s="2"/>
      <c r="XAF11" s="2"/>
      <c r="XAG11" s="2"/>
      <c r="XAH11" s="2"/>
      <c r="XAI11" s="2"/>
      <c r="XAJ11" s="2"/>
      <c r="XAK11" s="2"/>
      <c r="XAL11" s="2"/>
      <c r="XAM11" s="2"/>
      <c r="XAN11" s="2"/>
      <c r="XAO11" s="2"/>
      <c r="XAP11" s="2"/>
      <c r="XAQ11" s="2"/>
      <c r="XAR11" s="2"/>
      <c r="XAS11" s="2"/>
      <c r="XAT11" s="2"/>
      <c r="XAU11" s="2"/>
      <c r="XAV11" s="2"/>
      <c r="XAW11" s="2"/>
      <c r="XAX11" s="2"/>
      <c r="XAY11" s="2"/>
      <c r="XAZ11" s="2"/>
      <c r="XBA11" s="2"/>
      <c r="XBB11" s="2"/>
      <c r="XBC11" s="2"/>
      <c r="XBD11" s="2"/>
      <c r="XBE11" s="2"/>
      <c r="XBF11" s="2"/>
      <c r="XBG11" s="2"/>
      <c r="XBH11" s="2"/>
      <c r="XBI11" s="2"/>
      <c r="XBJ11" s="2"/>
      <c r="XBK11" s="2"/>
      <c r="XBL11" s="2"/>
      <c r="XBM11" s="2"/>
      <c r="XBN11" s="2"/>
      <c r="XBO11" s="2"/>
      <c r="XBP11" s="2"/>
      <c r="XBQ11" s="2"/>
      <c r="XBR11" s="2"/>
      <c r="XBS11" s="2"/>
      <c r="XBT11" s="2"/>
      <c r="XBU11" s="2"/>
      <c r="XBV11" s="2"/>
      <c r="XBW11" s="2"/>
      <c r="XBX11" s="2"/>
      <c r="XBY11" s="2"/>
      <c r="XBZ11" s="2"/>
      <c r="XCA11" s="2"/>
      <c r="XCB11" s="2"/>
      <c r="XCC11" s="2"/>
      <c r="XCD11" s="2"/>
      <c r="XCE11" s="2"/>
      <c r="XCF11" s="2"/>
      <c r="XCG11" s="2"/>
      <c r="XCH11" s="2"/>
      <c r="XCI11" s="2"/>
      <c r="XCJ11" s="2"/>
      <c r="XCK11" s="2"/>
      <c r="XCL11" s="2"/>
      <c r="XCM11" s="2"/>
      <c r="XCN11" s="2"/>
      <c r="XCO11" s="2"/>
      <c r="XCP11" s="2"/>
      <c r="XCQ11" s="2"/>
      <c r="XCR11" s="2"/>
      <c r="XCS11" s="2"/>
      <c r="XCT11" s="2"/>
      <c r="XCU11" s="2"/>
      <c r="XCV11" s="2"/>
      <c r="XCW11" s="2"/>
      <c r="XCX11" s="2"/>
      <c r="XCY11" s="2"/>
      <c r="XCZ11" s="2"/>
      <c r="XDA11" s="2"/>
      <c r="XDB11" s="2"/>
      <c r="XDC11" s="2"/>
      <c r="XDD11" s="2"/>
      <c r="XDE11" s="2"/>
      <c r="XDF11" s="2"/>
      <c r="XDG11" s="2"/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  <c r="XEM11" s="2"/>
      <c r="XEN11" s="2"/>
      <c r="XEO11" s="2"/>
      <c r="XEP11" s="2"/>
      <c r="XEQ11" s="2"/>
      <c r="XER11" s="2"/>
      <c r="XES11" s="2"/>
      <c r="XET11" s="2"/>
      <c r="XEU11" s="2"/>
      <c r="XEV11" s="2"/>
      <c r="XEW11" s="2"/>
      <c r="XEX11" s="2"/>
      <c r="XEY11" s="2"/>
      <c r="XEZ11" s="2"/>
      <c r="XFA11" s="2"/>
      <c r="XFB11" s="2"/>
      <c r="XFC11" s="2"/>
      <c r="XFD11" s="2"/>
    </row>
    <row r="12" s="2" customFormat="true" ht="15.65" hidden="false" customHeight="false" outlineLevel="0" collapsed="false">
      <c r="A12" s="1" t="n">
        <v>10</v>
      </c>
      <c r="B12" s="2" t="s">
        <v>44</v>
      </c>
      <c r="C12" s="2" t="s">
        <v>45</v>
      </c>
      <c r="D12" s="2" t="s">
        <v>46</v>
      </c>
      <c r="E12" s="1" t="s">
        <v>15</v>
      </c>
      <c r="F12" s="1" t="s">
        <v>15</v>
      </c>
      <c r="G12" s="1"/>
      <c r="H12" s="1" t="s">
        <v>15</v>
      </c>
      <c r="I12" s="1"/>
      <c r="J12" s="1" t="s">
        <v>15</v>
      </c>
      <c r="K12" s="1"/>
      <c r="L12" s="1" t="s">
        <v>15</v>
      </c>
      <c r="M12" s="1"/>
      <c r="N12" s="1" t="s">
        <v>15</v>
      </c>
      <c r="O12" s="1" t="s">
        <v>15</v>
      </c>
      <c r="P12" s="1"/>
      <c r="Q12" s="1" t="s">
        <v>15</v>
      </c>
      <c r="R12" s="1"/>
      <c r="S12" s="1" t="s">
        <v>15</v>
      </c>
      <c r="T12" s="1" t="s">
        <v>15</v>
      </c>
      <c r="U12" s="1" t="s">
        <v>15</v>
      </c>
      <c r="V12" s="2" t="n">
        <f aca="false">COUNTIF(E12:U12,"P")</f>
        <v>11</v>
      </c>
      <c r="W12" s="2" t="n">
        <f aca="false">COUNTIF(E12:U12,"M")</f>
        <v>0</v>
      </c>
      <c r="X12" s="2" t="n">
        <f aca="false">COUNTIF(E12:U12,"T")</f>
        <v>0</v>
      </c>
      <c r="Y12" s="2" t="n">
        <f aca="false">COUNTIF(E12:U12,"A")</f>
        <v>0</v>
      </c>
      <c r="Z12" s="2" t="n">
        <f aca="false">SUM(V12:Y12)</f>
        <v>11</v>
      </c>
      <c r="AA12" s="4" t="n">
        <f aca="false">ROUND((V12+W12/2+X12/4)*10/Z12,0)</f>
        <v>10</v>
      </c>
      <c r="AB12" s="1" t="s">
        <v>15</v>
      </c>
      <c r="AC12" s="2" t="s">
        <v>15</v>
      </c>
      <c r="AD12" s="1"/>
      <c r="AE12" s="1" t="s">
        <v>15</v>
      </c>
      <c r="AF12" s="1" t="s">
        <v>15</v>
      </c>
      <c r="AG12" s="1" t="s">
        <v>15</v>
      </c>
      <c r="AH12" s="1" t="s">
        <v>15</v>
      </c>
      <c r="AI12" s="1" t="s">
        <v>15</v>
      </c>
      <c r="AJ12" s="1" t="s">
        <v>15</v>
      </c>
      <c r="AK12" s="1"/>
      <c r="AL12" s="1" t="s">
        <v>15</v>
      </c>
      <c r="AM12" s="1"/>
      <c r="AN12" s="1" t="s">
        <v>15</v>
      </c>
      <c r="AO12" s="1" t="s">
        <v>24</v>
      </c>
      <c r="AP12" s="6" t="n">
        <v>0.597222222222222</v>
      </c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WYG12" s="1"/>
      <c r="WYH12" s="1"/>
      <c r="WYI12" s="1"/>
      <c r="WYJ12" s="1"/>
      <c r="WYK12" s="1"/>
      <c r="WYL12" s="1"/>
      <c r="WYM12" s="1"/>
      <c r="WYN12" s="1"/>
      <c r="WYO12" s="1"/>
      <c r="WYP12" s="1"/>
      <c r="WYQ12" s="1"/>
      <c r="WYR12" s="1"/>
      <c r="WYS12" s="1"/>
      <c r="WYT12" s="1"/>
      <c r="WYU12" s="1"/>
      <c r="WYV12" s="1"/>
      <c r="WYW12" s="1"/>
      <c r="WYX12" s="1"/>
      <c r="WYY12" s="1"/>
      <c r="WYZ12" s="1"/>
      <c r="WZA12" s="1"/>
      <c r="WZB12" s="1"/>
      <c r="WZC12" s="1"/>
      <c r="WZD12" s="1"/>
      <c r="WZE12" s="1"/>
      <c r="WZF12" s="1"/>
      <c r="WZG12" s="1"/>
      <c r="WZH12" s="1"/>
      <c r="WZI12" s="1"/>
      <c r="WZJ12" s="1"/>
      <c r="WZK12" s="1"/>
      <c r="WZL12" s="1"/>
      <c r="WZM12" s="1"/>
      <c r="WZN12" s="1"/>
      <c r="WZO12" s="1"/>
      <c r="WZP12" s="1"/>
      <c r="WZQ12" s="1"/>
      <c r="WZR12" s="1"/>
      <c r="WZS12" s="1"/>
      <c r="WZT12" s="1"/>
      <c r="WZU12" s="1"/>
      <c r="WZV12" s="1"/>
      <c r="WZW12" s="1"/>
      <c r="WZX12" s="1"/>
      <c r="WZY12" s="1"/>
      <c r="WZZ12" s="1"/>
      <c r="XAA12" s="1"/>
      <c r="XAB12" s="1"/>
      <c r="XAC12" s="1"/>
      <c r="XAD12" s="1"/>
      <c r="XAE12" s="1"/>
      <c r="XAF12" s="1"/>
      <c r="XAG12" s="1"/>
      <c r="XAH12" s="1"/>
      <c r="XAI12" s="1"/>
      <c r="XAJ12" s="1"/>
      <c r="XAK12" s="1"/>
      <c r="XAL12" s="1"/>
      <c r="XAM12" s="1"/>
      <c r="XAN12" s="1"/>
      <c r="XAO12" s="1"/>
      <c r="XAP12" s="1"/>
      <c r="XAQ12" s="1"/>
      <c r="XAR12" s="1"/>
      <c r="XAS12" s="1"/>
      <c r="XAT12" s="1"/>
      <c r="XAU12" s="1"/>
      <c r="XAV12" s="1"/>
      <c r="XAW12" s="1"/>
      <c r="XAX12" s="1"/>
      <c r="XAY12" s="1"/>
      <c r="XAZ12" s="1"/>
      <c r="XBA12" s="1"/>
      <c r="XBB12" s="1"/>
      <c r="XBC12" s="1"/>
      <c r="XBD12" s="1"/>
      <c r="XBE12" s="1"/>
      <c r="XBF12" s="1"/>
      <c r="XBG12" s="1"/>
      <c r="XBH12" s="1"/>
      <c r="XBI12" s="1"/>
      <c r="XBJ12" s="1"/>
      <c r="XBK12" s="1"/>
      <c r="XBL12" s="1"/>
      <c r="XBM12" s="1"/>
      <c r="XBN12" s="1"/>
      <c r="XBO12" s="1"/>
      <c r="XBP12" s="1"/>
      <c r="XBQ12" s="1"/>
      <c r="XBR12" s="1"/>
      <c r="XBS12" s="1"/>
      <c r="XBT12" s="1"/>
      <c r="XBU12" s="1"/>
      <c r="XBV12" s="1"/>
      <c r="XBW12" s="1"/>
      <c r="XBX12" s="1"/>
      <c r="XBY12" s="1"/>
      <c r="XBZ12" s="1"/>
      <c r="XCA12" s="1"/>
      <c r="XCB12" s="1"/>
      <c r="XCC12" s="1"/>
      <c r="XCD12" s="1"/>
      <c r="XCE12" s="1"/>
      <c r="XCF12" s="1"/>
      <c r="XCG12" s="1"/>
      <c r="XCH12" s="1"/>
      <c r="XCI12" s="1"/>
      <c r="XCJ12" s="1"/>
      <c r="XCK12" s="1"/>
      <c r="XCL12" s="1"/>
      <c r="XCM12" s="1"/>
      <c r="XCN12" s="1"/>
      <c r="XCO12" s="1"/>
      <c r="XCP12" s="1"/>
      <c r="XCQ12" s="1"/>
      <c r="XCR12" s="1"/>
      <c r="XCS12" s="1"/>
      <c r="XCT12" s="1"/>
      <c r="XCU12" s="1"/>
      <c r="XCV12" s="1"/>
      <c r="XCW12" s="1"/>
      <c r="XCX12" s="1"/>
      <c r="XCY12" s="1"/>
      <c r="XCZ12" s="1"/>
      <c r="XDA12" s="1"/>
      <c r="XDB12" s="1"/>
      <c r="XDC12" s="1"/>
      <c r="XDD12" s="1"/>
      <c r="XDE12" s="1"/>
      <c r="XDF12" s="1"/>
      <c r="XDG12" s="1"/>
      <c r="XDH12" s="1"/>
      <c r="XDI12" s="1"/>
      <c r="XDJ12" s="1"/>
      <c r="XDK12" s="1"/>
      <c r="XDL12" s="1"/>
      <c r="XDM12" s="1"/>
      <c r="XDN12" s="1"/>
      <c r="XDO12" s="1"/>
      <c r="XDP12" s="1"/>
      <c r="XDQ12" s="1"/>
      <c r="XDR12" s="1"/>
      <c r="XDS12" s="1"/>
      <c r="XDT12" s="1"/>
      <c r="XDU12" s="1"/>
      <c r="XDV12" s="1"/>
      <c r="XDW12" s="1"/>
      <c r="XDX12" s="1"/>
      <c r="XDY12" s="1"/>
      <c r="XDZ12" s="1"/>
      <c r="XEA12" s="1"/>
      <c r="XEB12" s="1"/>
      <c r="XEC12" s="1"/>
      <c r="XED12" s="1"/>
      <c r="XEE12" s="1"/>
      <c r="XEF12" s="1"/>
      <c r="XEG12" s="1"/>
      <c r="XEH12" s="1"/>
      <c r="XEI12" s="1"/>
      <c r="XEJ12" s="1"/>
      <c r="XEK12" s="1"/>
      <c r="XEL12" s="1"/>
      <c r="XEM12" s="1"/>
      <c r="XEN12" s="1"/>
      <c r="XEO12" s="1"/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1" customFormat="true" ht="15.65" hidden="false" customHeight="false" outlineLevel="0" collapsed="false">
      <c r="A13" s="1" t="n">
        <v>11</v>
      </c>
      <c r="B13" s="2" t="s">
        <v>47</v>
      </c>
      <c r="C13" s="2" t="s">
        <v>48</v>
      </c>
      <c r="D13" s="2" t="s">
        <v>49</v>
      </c>
      <c r="E13" s="1" t="s">
        <v>15</v>
      </c>
      <c r="F13" s="1" t="s">
        <v>15</v>
      </c>
      <c r="H13" s="1" t="s">
        <v>15</v>
      </c>
      <c r="J13" s="1" t="s">
        <v>15</v>
      </c>
      <c r="L13" s="1" t="s">
        <v>15</v>
      </c>
      <c r="N13" s="1" t="s">
        <v>15</v>
      </c>
      <c r="O13" s="1" t="s">
        <v>15</v>
      </c>
      <c r="Q13" s="1" t="s">
        <v>15</v>
      </c>
      <c r="S13" s="1" t="s">
        <v>15</v>
      </c>
      <c r="T13" s="1" t="s">
        <v>15</v>
      </c>
      <c r="U13" s="1" t="s">
        <v>15</v>
      </c>
      <c r="V13" s="2" t="n">
        <f aca="false">COUNTIF(E13:U13,"P")</f>
        <v>11</v>
      </c>
      <c r="W13" s="2" t="n">
        <f aca="false">COUNTIF(E13:U13,"M")</f>
        <v>0</v>
      </c>
      <c r="X13" s="2" t="n">
        <f aca="false">COUNTIF(E13:U13,"T")</f>
        <v>0</v>
      </c>
      <c r="Y13" s="2" t="n">
        <f aca="false">COUNTIF(E13:U13,"A")</f>
        <v>0</v>
      </c>
      <c r="Z13" s="2" t="n">
        <f aca="false">SUM(V13:Y13)</f>
        <v>11</v>
      </c>
      <c r="AA13" s="4" t="n">
        <f aca="false">ROUND((V13+W13/2+X13/4)*10/Z13,0)</f>
        <v>10</v>
      </c>
      <c r="AB13" s="1" t="s">
        <v>15</v>
      </c>
      <c r="AC13" s="2" t="s">
        <v>15</v>
      </c>
      <c r="AE13" s="1" t="s">
        <v>15</v>
      </c>
      <c r="AF13" s="1" t="s">
        <v>15</v>
      </c>
      <c r="AG13" s="1" t="s">
        <v>15</v>
      </c>
      <c r="AH13" s="1" t="s">
        <v>15</v>
      </c>
      <c r="AI13" s="1" t="s">
        <v>15</v>
      </c>
      <c r="AJ13" s="1" t="s">
        <v>15</v>
      </c>
      <c r="AL13" s="1" t="s">
        <v>15</v>
      </c>
      <c r="AN13" s="1" t="s">
        <v>15</v>
      </c>
      <c r="AO13" s="1" t="s">
        <v>15</v>
      </c>
      <c r="AP13" s="0"/>
    </row>
    <row r="14" s="1" customFormat="true" ht="15.65" hidden="false" customHeight="false" outlineLevel="0" collapsed="false">
      <c r="A14" s="1" t="n">
        <v>12</v>
      </c>
      <c r="B14" s="2" t="s">
        <v>50</v>
      </c>
      <c r="C14" s="2" t="s">
        <v>51</v>
      </c>
      <c r="D14" s="2" t="s">
        <v>52</v>
      </c>
      <c r="E14" s="1" t="s">
        <v>15</v>
      </c>
      <c r="F14" s="1" t="s">
        <v>15</v>
      </c>
      <c r="H14" s="1" t="s">
        <v>15</v>
      </c>
      <c r="J14" s="1" t="s">
        <v>15</v>
      </c>
      <c r="L14" s="1" t="s">
        <v>15</v>
      </c>
      <c r="N14" s="1" t="s">
        <v>15</v>
      </c>
      <c r="O14" s="1" t="s">
        <v>15</v>
      </c>
      <c r="Q14" s="1" t="s">
        <v>15</v>
      </c>
      <c r="S14" s="1" t="s">
        <v>15</v>
      </c>
      <c r="T14" s="1" t="s">
        <v>15</v>
      </c>
      <c r="U14" s="1" t="s">
        <v>15</v>
      </c>
      <c r="V14" s="2" t="n">
        <f aca="false">COUNTIF(E14:U14,"P")</f>
        <v>11</v>
      </c>
      <c r="W14" s="2" t="n">
        <f aca="false">COUNTIF(E14:U14,"M")</f>
        <v>0</v>
      </c>
      <c r="X14" s="2" t="n">
        <f aca="false">COUNTIF(E14:U14,"T")</f>
        <v>0</v>
      </c>
      <c r="Y14" s="2" t="n">
        <f aca="false">COUNTIF(E14:U14,"A")</f>
        <v>0</v>
      </c>
      <c r="Z14" s="2" t="n">
        <f aca="false">SUM(V14:Y14)</f>
        <v>11</v>
      </c>
      <c r="AA14" s="4" t="n">
        <f aca="false">ROUND((V14+W14/2+X14/4)*10/Z14,0)</f>
        <v>10</v>
      </c>
      <c r="AB14" s="1" t="s">
        <v>15</v>
      </c>
      <c r="AC14" s="2" t="s">
        <v>15</v>
      </c>
      <c r="AE14" s="1" t="s">
        <v>15</v>
      </c>
      <c r="AF14" s="1" t="s">
        <v>15</v>
      </c>
      <c r="AG14" s="1" t="s">
        <v>15</v>
      </c>
      <c r="AH14" s="1" t="s">
        <v>15</v>
      </c>
      <c r="AI14" s="1" t="s">
        <v>17</v>
      </c>
      <c r="AJ14" s="1" t="s">
        <v>15</v>
      </c>
      <c r="AL14" s="1" t="s">
        <v>15</v>
      </c>
      <c r="AN14" s="1" t="s">
        <v>15</v>
      </c>
      <c r="AO14" s="1" t="s">
        <v>15</v>
      </c>
      <c r="AP14" s="0"/>
      <c r="WYH14" s="2"/>
      <c r="WYI14" s="2"/>
      <c r="WYJ14" s="2"/>
      <c r="WYK14" s="2"/>
      <c r="WYL14" s="2"/>
      <c r="WYM14" s="2"/>
      <c r="WYN14" s="2"/>
      <c r="WYO14" s="2"/>
      <c r="WYP14" s="2"/>
      <c r="WYQ14" s="2"/>
      <c r="WYR14" s="2"/>
      <c r="WYS14" s="2"/>
      <c r="WYT14" s="2"/>
      <c r="WYU14" s="2"/>
      <c r="WYV14" s="2"/>
      <c r="WYW14" s="2"/>
      <c r="WYX14" s="2"/>
      <c r="WYY14" s="2"/>
      <c r="WYZ14" s="2"/>
      <c r="WZA14" s="2"/>
      <c r="WZB14" s="2"/>
      <c r="WZC14" s="2"/>
      <c r="WZD14" s="2"/>
      <c r="WZE14" s="2"/>
      <c r="WZF14" s="2"/>
      <c r="WZG14" s="2"/>
      <c r="WZH14" s="2"/>
      <c r="WZI14" s="2"/>
      <c r="WZJ14" s="2"/>
      <c r="WZK14" s="2"/>
      <c r="WZL14" s="2"/>
      <c r="WZM14" s="2"/>
      <c r="WZN14" s="2"/>
      <c r="WZO14" s="2"/>
      <c r="WZP14" s="2"/>
      <c r="WZQ14" s="2"/>
      <c r="WZR14" s="2"/>
      <c r="WZS14" s="2"/>
      <c r="WZT14" s="2"/>
      <c r="WZU14" s="2"/>
      <c r="WZV14" s="2"/>
      <c r="WZW14" s="2"/>
      <c r="WZX14" s="2"/>
      <c r="WZY14" s="2"/>
      <c r="WZZ14" s="2"/>
      <c r="XAA14" s="2"/>
      <c r="XAB14" s="2"/>
      <c r="XAC14" s="2"/>
      <c r="XAD14" s="2"/>
      <c r="XAE14" s="2"/>
      <c r="XAF14" s="2"/>
      <c r="XAG14" s="2"/>
      <c r="XAH14" s="2"/>
      <c r="XAI14" s="2"/>
      <c r="XAJ14" s="2"/>
      <c r="XAK14" s="2"/>
      <c r="XAL14" s="2"/>
      <c r="XAM14" s="2"/>
      <c r="XAN14" s="2"/>
      <c r="XAO14" s="2"/>
      <c r="XAP14" s="2"/>
      <c r="XAQ14" s="2"/>
      <c r="XAR14" s="2"/>
      <c r="XAS14" s="2"/>
      <c r="XAT14" s="2"/>
      <c r="XAU14" s="2"/>
      <c r="XAV14" s="2"/>
      <c r="XAW14" s="2"/>
      <c r="XAX14" s="2"/>
      <c r="XAY14" s="2"/>
      <c r="XAZ14" s="2"/>
      <c r="XBA14" s="2"/>
      <c r="XBB14" s="2"/>
      <c r="XBC14" s="2"/>
      <c r="XBD14" s="2"/>
      <c r="XBE14" s="2"/>
      <c r="XBF14" s="2"/>
      <c r="XBG14" s="2"/>
      <c r="XBH14" s="2"/>
      <c r="XBI14" s="2"/>
      <c r="XBJ14" s="2"/>
      <c r="XBK14" s="2"/>
      <c r="XBL14" s="2"/>
      <c r="XBM14" s="2"/>
      <c r="XBN14" s="2"/>
      <c r="XBO14" s="2"/>
      <c r="XBP14" s="2"/>
      <c r="XBQ14" s="2"/>
      <c r="XBR14" s="2"/>
      <c r="XBS14" s="2"/>
      <c r="XBT14" s="2"/>
      <c r="XBU14" s="2"/>
      <c r="XBV14" s="2"/>
      <c r="XBW14" s="2"/>
      <c r="XBX14" s="2"/>
      <c r="XBY14" s="2"/>
      <c r="XBZ14" s="2"/>
      <c r="XCA14" s="2"/>
      <c r="XCB14" s="2"/>
      <c r="XCC14" s="2"/>
      <c r="XCD14" s="2"/>
      <c r="XCE14" s="2"/>
      <c r="XCF14" s="2"/>
      <c r="XCG14" s="2"/>
      <c r="XCH14" s="2"/>
      <c r="XCI14" s="2"/>
      <c r="XCJ14" s="2"/>
      <c r="XCK14" s="2"/>
      <c r="XCL14" s="2"/>
      <c r="XCM14" s="2"/>
      <c r="XCN14" s="2"/>
      <c r="XCO14" s="2"/>
      <c r="XCP14" s="2"/>
      <c r="XCQ14" s="2"/>
      <c r="XCR14" s="2"/>
      <c r="XCS14" s="2"/>
      <c r="XCT14" s="2"/>
      <c r="XCU14" s="2"/>
      <c r="XCV14" s="2"/>
      <c r="XCW14" s="2"/>
      <c r="XCX14" s="2"/>
      <c r="XCY14" s="2"/>
      <c r="XCZ14" s="2"/>
      <c r="XDA14" s="2"/>
      <c r="XDB14" s="2"/>
      <c r="XDC14" s="2"/>
      <c r="XDD14" s="2"/>
      <c r="XDE14" s="2"/>
      <c r="XDF14" s="2"/>
      <c r="XDG14" s="2"/>
      <c r="XDH14" s="2"/>
      <c r="XDI14" s="2"/>
      <c r="XDJ14" s="2"/>
      <c r="XDK14" s="2"/>
      <c r="XDL14" s="2"/>
      <c r="XDM14" s="2"/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  <c r="XEM14" s="2"/>
      <c r="XEN14" s="2"/>
      <c r="XEO14" s="2"/>
      <c r="XEP14" s="2"/>
      <c r="XEQ14" s="2"/>
      <c r="XER14" s="2"/>
      <c r="XES14" s="2"/>
      <c r="XET14" s="2"/>
      <c r="XEU14" s="2"/>
      <c r="XEV14" s="2"/>
      <c r="XEW14" s="2"/>
      <c r="XEX14" s="2"/>
      <c r="XEY14" s="2"/>
      <c r="XEZ14" s="2"/>
      <c r="XFA14" s="2"/>
      <c r="XFB14" s="2"/>
      <c r="XFC14" s="2"/>
      <c r="XFD14" s="2"/>
    </row>
    <row r="15" s="2" customFormat="true" ht="15.65" hidden="false" customHeight="false" outlineLevel="0" collapsed="false">
      <c r="A15" s="1" t="n">
        <v>13</v>
      </c>
      <c r="B15" s="2" t="s">
        <v>53</v>
      </c>
      <c r="C15" s="2" t="s">
        <v>54</v>
      </c>
      <c r="D15" s="2" t="s">
        <v>55</v>
      </c>
      <c r="E15" s="1" t="s">
        <v>15</v>
      </c>
      <c r="F15" s="1" t="s">
        <v>15</v>
      </c>
      <c r="G15" s="1"/>
      <c r="H15" s="1" t="s">
        <v>15</v>
      </c>
      <c r="I15" s="1"/>
      <c r="J15" s="1" t="s">
        <v>15</v>
      </c>
      <c r="K15" s="1"/>
      <c r="L15" s="1" t="s">
        <v>15</v>
      </c>
      <c r="M15" s="1"/>
      <c r="N15" s="1" t="s">
        <v>15</v>
      </c>
      <c r="O15" s="1" t="s">
        <v>15</v>
      </c>
      <c r="P15" s="1"/>
      <c r="Q15" s="1" t="s">
        <v>15</v>
      </c>
      <c r="R15" s="1"/>
      <c r="S15" s="1" t="s">
        <v>15</v>
      </c>
      <c r="T15" s="1" t="s">
        <v>17</v>
      </c>
      <c r="U15" s="1" t="s">
        <v>15</v>
      </c>
      <c r="V15" s="2" t="n">
        <f aca="false">COUNTIF(E15:U15,"P")</f>
        <v>10</v>
      </c>
      <c r="W15" s="2" t="n">
        <f aca="false">COUNTIF(E15:U15,"M")</f>
        <v>0</v>
      </c>
      <c r="X15" s="2" t="n">
        <f aca="false">COUNTIF(E15:U15,"T")</f>
        <v>0</v>
      </c>
      <c r="Y15" s="2" t="n">
        <f aca="false">COUNTIF(E15:U15,"A")</f>
        <v>1</v>
      </c>
      <c r="Z15" s="2" t="n">
        <f aca="false">SUM(V15:Y15)</f>
        <v>11</v>
      </c>
      <c r="AA15" s="4" t="n">
        <f aca="false">ROUND((V15+W15/2+X15/4)*10/Z15,0)</f>
        <v>9</v>
      </c>
      <c r="AB15" s="1" t="s">
        <v>15</v>
      </c>
      <c r="AC15" s="2" t="s">
        <v>15</v>
      </c>
      <c r="AD15" s="1"/>
      <c r="AE15" s="1" t="s">
        <v>15</v>
      </c>
      <c r="AF15" s="1" t="s">
        <v>15</v>
      </c>
      <c r="AG15" s="1" t="s">
        <v>15</v>
      </c>
      <c r="AH15" s="1" t="s">
        <v>15</v>
      </c>
      <c r="AI15" s="1" t="s">
        <v>15</v>
      </c>
      <c r="AJ15" s="1" t="s">
        <v>15</v>
      </c>
      <c r="AK15" s="1"/>
      <c r="AL15" s="1" t="s">
        <v>15</v>
      </c>
      <c r="AM15" s="1"/>
      <c r="AN15" s="1" t="s">
        <v>15</v>
      </c>
      <c r="AO15" s="1" t="s">
        <v>15</v>
      </c>
      <c r="AP15" s="0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.65" hidden="false" customHeight="false" outlineLevel="0" collapsed="false">
      <c r="A16" s="1" t="n">
        <v>14</v>
      </c>
      <c r="B16" s="2" t="s">
        <v>56</v>
      </c>
      <c r="C16" s="2" t="s">
        <v>57</v>
      </c>
      <c r="D16" s="2" t="s">
        <v>58</v>
      </c>
      <c r="E16" s="1" t="s">
        <v>15</v>
      </c>
      <c r="F16" s="1" t="s">
        <v>15</v>
      </c>
      <c r="H16" s="1" t="s">
        <v>15</v>
      </c>
      <c r="J16" s="1" t="s">
        <v>15</v>
      </c>
      <c r="L16" s="1" t="s">
        <v>15</v>
      </c>
      <c r="N16" s="1" t="s">
        <v>15</v>
      </c>
      <c r="O16" s="1" t="s">
        <v>15</v>
      </c>
      <c r="Q16" s="1" t="s">
        <v>15</v>
      </c>
      <c r="S16" s="1" t="s">
        <v>15</v>
      </c>
      <c r="T16" s="1" t="s">
        <v>15</v>
      </c>
      <c r="U16" s="1" t="s">
        <v>15</v>
      </c>
      <c r="V16" s="2" t="n">
        <f aca="false">COUNTIF(E16:U16,"P")</f>
        <v>11</v>
      </c>
      <c r="W16" s="2" t="n">
        <f aca="false">COUNTIF(E16:U16,"M")</f>
        <v>0</v>
      </c>
      <c r="X16" s="2" t="n">
        <f aca="false">COUNTIF(E16:U16,"T")</f>
        <v>0</v>
      </c>
      <c r="Y16" s="2" t="n">
        <f aca="false">COUNTIF(E16:U16,"A")</f>
        <v>0</v>
      </c>
      <c r="Z16" s="2" t="n">
        <f aca="false">SUM(V16:Y16)</f>
        <v>11</v>
      </c>
      <c r="AA16" s="4" t="n">
        <f aca="false">ROUND((V16+W16/2+X16/4)*10/Z16,0)</f>
        <v>10</v>
      </c>
      <c r="AB16" s="1" t="s">
        <v>15</v>
      </c>
      <c r="AC16" s="2" t="s">
        <v>15</v>
      </c>
      <c r="AE16" s="1" t="s">
        <v>15</v>
      </c>
      <c r="AF16" s="1" t="s">
        <v>15</v>
      </c>
      <c r="AG16" s="1" t="s">
        <v>15</v>
      </c>
      <c r="AH16" s="1" t="s">
        <v>15</v>
      </c>
      <c r="AI16" s="1" t="s">
        <v>15</v>
      </c>
      <c r="AJ16" s="1" t="s">
        <v>15</v>
      </c>
      <c r="AL16" s="1" t="s">
        <v>15</v>
      </c>
      <c r="AN16" s="1" t="s">
        <v>15</v>
      </c>
      <c r="AO16" s="1" t="s">
        <v>15</v>
      </c>
      <c r="AP16" s="0"/>
    </row>
    <row r="17" s="1" customFormat="true" ht="15.65" hidden="false" customHeight="false" outlineLevel="0" collapsed="false">
      <c r="A17" s="1" t="n">
        <v>15</v>
      </c>
      <c r="B17" s="2" t="s">
        <v>59</v>
      </c>
      <c r="C17" s="2" t="s">
        <v>60</v>
      </c>
      <c r="D17" s="2" t="s">
        <v>61</v>
      </c>
      <c r="E17" s="1" t="s">
        <v>15</v>
      </c>
      <c r="F17" s="1" t="s">
        <v>15</v>
      </c>
      <c r="H17" s="1" t="s">
        <v>15</v>
      </c>
      <c r="I17" s="2"/>
      <c r="J17" s="1" t="s">
        <v>15</v>
      </c>
      <c r="L17" s="1" t="s">
        <v>15</v>
      </c>
      <c r="N17" s="1" t="s">
        <v>15</v>
      </c>
      <c r="O17" s="1" t="s">
        <v>15</v>
      </c>
      <c r="Q17" s="1" t="s">
        <v>15</v>
      </c>
      <c r="S17" s="1" t="s">
        <v>15</v>
      </c>
      <c r="T17" s="1" t="s">
        <v>15</v>
      </c>
      <c r="U17" s="1" t="s">
        <v>15</v>
      </c>
      <c r="V17" s="2" t="n">
        <f aca="false">COUNTIF(E17:U17,"P")</f>
        <v>11</v>
      </c>
      <c r="W17" s="2" t="n">
        <f aca="false">COUNTIF(E17:U17,"M")</f>
        <v>0</v>
      </c>
      <c r="X17" s="2" t="n">
        <f aca="false">COUNTIF(E17:U17,"T")</f>
        <v>0</v>
      </c>
      <c r="Y17" s="2" t="n">
        <f aca="false">COUNTIF(E17:U17,"A")</f>
        <v>0</v>
      </c>
      <c r="Z17" s="2" t="n">
        <f aca="false">SUM(V17:Y17)</f>
        <v>11</v>
      </c>
      <c r="AA17" s="4" t="n">
        <f aca="false">ROUND((V17+W17/2+X17/4)*10/Z17,0)</f>
        <v>10</v>
      </c>
      <c r="AB17" s="1" t="s">
        <v>15</v>
      </c>
      <c r="AC17" s="2" t="s">
        <v>15</v>
      </c>
      <c r="AE17" s="1" t="s">
        <v>15</v>
      </c>
      <c r="AF17" s="1" t="s">
        <v>15</v>
      </c>
      <c r="AG17" s="1" t="s">
        <v>15</v>
      </c>
      <c r="AH17" s="1" t="s">
        <v>15</v>
      </c>
      <c r="AI17" s="1" t="s">
        <v>15</v>
      </c>
      <c r="AJ17" s="1" t="s">
        <v>15</v>
      </c>
      <c r="AL17" s="1" t="s">
        <v>15</v>
      </c>
      <c r="AN17" s="1" t="s">
        <v>15</v>
      </c>
      <c r="AO17" s="1" t="s">
        <v>17</v>
      </c>
      <c r="AP17" s="0"/>
      <c r="WYH17" s="8"/>
      <c r="WYI17" s="8"/>
      <c r="WYJ17" s="8"/>
      <c r="WYK17" s="8"/>
      <c r="WYL17" s="8"/>
      <c r="WYM17" s="8"/>
      <c r="WYN17" s="8"/>
      <c r="WYO17" s="8"/>
      <c r="WYP17" s="8"/>
      <c r="WYQ17" s="8"/>
      <c r="WYR17" s="8"/>
      <c r="WYS17" s="8"/>
      <c r="WYT17" s="8"/>
      <c r="WYU17" s="8"/>
      <c r="WYV17" s="8"/>
      <c r="WYW17" s="8"/>
      <c r="WYX17" s="8"/>
      <c r="WYY17" s="8"/>
      <c r="WYZ17" s="8"/>
      <c r="WZA17" s="8"/>
      <c r="WZB17" s="8"/>
      <c r="WZC17" s="8"/>
      <c r="WZD17" s="8"/>
      <c r="WZE17" s="8"/>
      <c r="WZF17" s="8"/>
      <c r="WZG17" s="8"/>
      <c r="WZH17" s="8"/>
      <c r="WZI17" s="8"/>
      <c r="WZJ17" s="8"/>
      <c r="WZK17" s="8"/>
      <c r="WZL17" s="8"/>
      <c r="WZM17" s="8"/>
      <c r="WZN17" s="8"/>
      <c r="WZO17" s="8"/>
      <c r="WZP17" s="8"/>
      <c r="WZQ17" s="8"/>
      <c r="WZR17" s="8"/>
      <c r="WZS17" s="8"/>
      <c r="WZT17" s="8"/>
      <c r="WZU17" s="8"/>
      <c r="WZV17" s="8"/>
      <c r="WZW17" s="8"/>
      <c r="WZX17" s="8"/>
      <c r="WZY17" s="8"/>
      <c r="WZZ17" s="8"/>
      <c r="XAA17" s="8"/>
      <c r="XAB17" s="8"/>
      <c r="XAC17" s="8"/>
      <c r="XAD17" s="8"/>
      <c r="XAE17" s="8"/>
      <c r="XAF17" s="8"/>
      <c r="XAG17" s="8"/>
      <c r="XAH17" s="8"/>
      <c r="XAI17" s="8"/>
      <c r="XAJ17" s="8"/>
      <c r="XAK17" s="8"/>
      <c r="XAL17" s="8"/>
      <c r="XAM17" s="8"/>
      <c r="XAN17" s="8"/>
      <c r="XAO17" s="8"/>
      <c r="XAP17" s="8"/>
      <c r="XAQ17" s="8"/>
      <c r="XAR17" s="8"/>
      <c r="XAS17" s="8"/>
      <c r="XAT17" s="8"/>
      <c r="XAU17" s="8"/>
      <c r="XAV17" s="8"/>
      <c r="XAW17" s="8"/>
      <c r="XAX17" s="8"/>
      <c r="XAY17" s="8"/>
      <c r="XAZ17" s="8"/>
      <c r="XBA17" s="8"/>
      <c r="XBB17" s="8"/>
      <c r="XBC17" s="8"/>
      <c r="XBD17" s="8"/>
      <c r="XBE17" s="8"/>
      <c r="XBF17" s="8"/>
      <c r="XBG17" s="8"/>
      <c r="XBH17" s="8"/>
      <c r="XBI17" s="8"/>
      <c r="XBJ17" s="8"/>
      <c r="XBK17" s="8"/>
      <c r="XBL17" s="8"/>
      <c r="XBM17" s="8"/>
      <c r="XBN17" s="8"/>
      <c r="XBO17" s="8"/>
      <c r="XBP17" s="8"/>
      <c r="XBQ17" s="8"/>
      <c r="XBR17" s="8"/>
      <c r="XBS17" s="8"/>
      <c r="XBT17" s="8"/>
      <c r="XBU17" s="8"/>
      <c r="XBV17" s="8"/>
      <c r="XBW17" s="8"/>
      <c r="XBX17" s="8"/>
      <c r="XBY17" s="8"/>
      <c r="XBZ17" s="8"/>
      <c r="XCA17" s="8"/>
      <c r="XCB17" s="8"/>
      <c r="XCC17" s="8"/>
      <c r="XCD17" s="8"/>
      <c r="XCE17" s="8"/>
      <c r="XCF17" s="8"/>
      <c r="XCG17" s="8"/>
      <c r="XCH17" s="8"/>
      <c r="XCI17" s="8"/>
      <c r="XCJ17" s="8"/>
      <c r="XCK17" s="8"/>
      <c r="XCL17" s="8"/>
      <c r="XCM17" s="8"/>
      <c r="XCN17" s="8"/>
      <c r="XCO17" s="8"/>
      <c r="XCP17" s="8"/>
      <c r="XCQ17" s="8"/>
      <c r="XCR17" s="8"/>
      <c r="XCS17" s="8"/>
      <c r="XCT17" s="8"/>
      <c r="XCU17" s="8"/>
      <c r="XCV17" s="8"/>
      <c r="XCW17" s="8"/>
      <c r="XCX17" s="8"/>
      <c r="XCY17" s="8"/>
      <c r="XCZ17" s="8"/>
      <c r="XDA17" s="8"/>
      <c r="XDB17" s="8"/>
      <c r="XDC17" s="8"/>
      <c r="XDD17" s="8"/>
      <c r="XDE17" s="8"/>
      <c r="XDF17" s="8"/>
      <c r="XDG17" s="8"/>
      <c r="XDH17" s="8"/>
      <c r="XDI17" s="8"/>
      <c r="XDJ17" s="8"/>
      <c r="XDK17" s="8"/>
      <c r="XDL17" s="8"/>
      <c r="XDM17" s="8"/>
      <c r="XDN17" s="8"/>
      <c r="XDO17" s="8"/>
      <c r="XDP17" s="8"/>
      <c r="XDQ17" s="8"/>
      <c r="XDR17" s="8"/>
      <c r="XDS17" s="8"/>
      <c r="XDT17" s="8"/>
      <c r="XDU17" s="8"/>
      <c r="XDV17" s="8"/>
      <c r="XDW17" s="8"/>
      <c r="XDX17" s="8"/>
      <c r="XDY17" s="8"/>
      <c r="XDZ17" s="8"/>
      <c r="XEA17" s="8"/>
      <c r="XEB17" s="8"/>
      <c r="XEC17" s="8"/>
      <c r="XED17" s="8"/>
      <c r="XEE17" s="8"/>
      <c r="XEF17" s="8"/>
      <c r="XEG17" s="8"/>
      <c r="XEH17" s="8"/>
      <c r="XEI17" s="8"/>
      <c r="XEJ17" s="8"/>
      <c r="XEK17" s="8"/>
      <c r="XEL17" s="8"/>
      <c r="XEM17" s="8"/>
      <c r="XEN17" s="8"/>
      <c r="XEO17" s="8"/>
      <c r="XEP17" s="8"/>
      <c r="XEQ17" s="8"/>
      <c r="XER17" s="8"/>
      <c r="XES17" s="8"/>
      <c r="XET17" s="8"/>
      <c r="XEU17" s="8"/>
      <c r="XEV17" s="8"/>
      <c r="XEW17" s="8"/>
      <c r="XEX17" s="8"/>
      <c r="XEY17" s="8"/>
      <c r="XEZ17" s="8"/>
      <c r="XFA17" s="8"/>
      <c r="XFB17" s="8"/>
      <c r="XFC17" s="8"/>
      <c r="XFD17" s="8"/>
    </row>
    <row r="18" s="8" customFormat="true" ht="15.65" hidden="false" customHeight="false" outlineLevel="0" collapsed="false">
      <c r="A18" s="9" t="n">
        <v>16</v>
      </c>
      <c r="B18" s="8" t="s">
        <v>62</v>
      </c>
      <c r="C18" s="8" t="s">
        <v>63</v>
      </c>
      <c r="D18" s="8" t="s">
        <v>64</v>
      </c>
      <c r="E18" s="9" t="s">
        <v>15</v>
      </c>
      <c r="F18" s="9" t="s">
        <v>17</v>
      </c>
      <c r="G18" s="9"/>
      <c r="H18" s="9" t="s">
        <v>17</v>
      </c>
      <c r="I18" s="8" t="s">
        <v>65</v>
      </c>
      <c r="J18" s="9" t="s">
        <v>15</v>
      </c>
      <c r="K18" s="9" t="s">
        <v>66</v>
      </c>
      <c r="L18" s="9" t="s">
        <v>17</v>
      </c>
      <c r="M18" s="9"/>
      <c r="N18" s="9" t="s">
        <v>17</v>
      </c>
      <c r="O18" s="9" t="s">
        <v>15</v>
      </c>
      <c r="P18" s="9" t="s">
        <v>67</v>
      </c>
      <c r="Q18" s="9" t="s">
        <v>17</v>
      </c>
      <c r="R18" s="9"/>
      <c r="S18" s="9" t="s">
        <v>17</v>
      </c>
      <c r="T18" s="9" t="s">
        <v>17</v>
      </c>
      <c r="U18" s="9" t="s">
        <v>17</v>
      </c>
      <c r="V18" s="9" t="n">
        <f aca="false">COUNTIF(E18:U18,"P")</f>
        <v>3</v>
      </c>
      <c r="W18" s="9" t="n">
        <f aca="false">COUNTIF(E18:U18,"M")</f>
        <v>0</v>
      </c>
      <c r="X18" s="9" t="n">
        <f aca="false">COUNTIF(E18:U18,"T")</f>
        <v>0</v>
      </c>
      <c r="Y18" s="9" t="n">
        <f aca="false">COUNTIF(E18:U18,"A")</f>
        <v>8</v>
      </c>
      <c r="Z18" s="9" t="n">
        <f aca="false">SUM(V18:Y18)</f>
        <v>11</v>
      </c>
      <c r="AA18" s="10" t="n">
        <f aca="false">ROUND((V18+W18/2+X18/4)*10/Z18,0)</f>
        <v>3</v>
      </c>
      <c r="AB18" s="9" t="s">
        <v>17</v>
      </c>
      <c r="AC18" s="2" t="s">
        <v>15</v>
      </c>
      <c r="AD18" s="9"/>
      <c r="AE18" s="9" t="s">
        <v>17</v>
      </c>
      <c r="AF18" s="9" t="s">
        <v>17</v>
      </c>
      <c r="AG18" s="9" t="s">
        <v>17</v>
      </c>
      <c r="AH18" s="9" t="s">
        <v>17</v>
      </c>
      <c r="AI18" s="9" t="s">
        <v>17</v>
      </c>
      <c r="AJ18" s="9" t="s">
        <v>17</v>
      </c>
      <c r="AK18" s="9"/>
      <c r="AL18" s="9" t="s">
        <v>17</v>
      </c>
      <c r="AM18" s="9"/>
      <c r="AN18" s="9" t="s">
        <v>17</v>
      </c>
      <c r="AO18" s="9" t="s">
        <v>17</v>
      </c>
      <c r="AP18" s="0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9"/>
      <c r="EO18" s="9"/>
      <c r="EP18" s="9"/>
      <c r="EQ18" s="9"/>
      <c r="ER18" s="9"/>
      <c r="ES18" s="9"/>
      <c r="ET18" s="9"/>
      <c r="EU18" s="9"/>
      <c r="EV18" s="9"/>
      <c r="EW18" s="9"/>
      <c r="EX18" s="9"/>
      <c r="EY18" s="9"/>
      <c r="EZ18" s="9"/>
      <c r="FA18" s="9"/>
      <c r="FB18" s="9"/>
      <c r="FC18" s="9"/>
      <c r="FD18" s="9"/>
      <c r="FE18" s="9"/>
      <c r="FF18" s="9"/>
      <c r="FG18" s="9"/>
      <c r="FH18" s="9"/>
      <c r="FI18" s="9"/>
      <c r="FJ18" s="9"/>
      <c r="FK18" s="9"/>
      <c r="FL18" s="9"/>
      <c r="FM18" s="9"/>
      <c r="FN18" s="9"/>
      <c r="WYG18" s="9"/>
      <c r="WYH18" s="2"/>
      <c r="WYI18" s="2"/>
      <c r="WYJ18" s="2"/>
      <c r="WYK18" s="2"/>
      <c r="WYL18" s="2"/>
      <c r="WYM18" s="2"/>
      <c r="WYN18" s="2"/>
      <c r="WYO18" s="2"/>
      <c r="WYP18" s="2"/>
      <c r="WYQ18" s="2"/>
      <c r="WYR18" s="2"/>
      <c r="WYS18" s="2"/>
      <c r="WYT18" s="2"/>
      <c r="WYU18" s="2"/>
      <c r="WYV18" s="2"/>
      <c r="WYW18" s="2"/>
      <c r="WYX18" s="2"/>
      <c r="WYY18" s="2"/>
      <c r="WYZ18" s="2"/>
      <c r="WZA18" s="2"/>
      <c r="WZB18" s="2"/>
      <c r="WZC18" s="2"/>
      <c r="WZD18" s="2"/>
      <c r="WZE18" s="2"/>
      <c r="WZF18" s="2"/>
      <c r="WZG18" s="2"/>
      <c r="WZH18" s="2"/>
      <c r="WZI18" s="2"/>
      <c r="WZJ18" s="2"/>
      <c r="WZK18" s="2"/>
      <c r="WZL18" s="2"/>
      <c r="WZM18" s="2"/>
      <c r="WZN18" s="2"/>
      <c r="WZO18" s="2"/>
      <c r="WZP18" s="2"/>
      <c r="WZQ18" s="2"/>
      <c r="WZR18" s="2"/>
      <c r="WZS18" s="2"/>
      <c r="WZT18" s="2"/>
      <c r="WZU18" s="2"/>
      <c r="WZV18" s="2"/>
      <c r="WZW18" s="2"/>
      <c r="WZX18" s="2"/>
      <c r="WZY18" s="2"/>
      <c r="WZZ18" s="2"/>
      <c r="XAA18" s="2"/>
      <c r="XAB18" s="2"/>
      <c r="XAC18" s="2"/>
      <c r="XAD18" s="2"/>
      <c r="XAE18" s="2"/>
      <c r="XAF18" s="2"/>
      <c r="XAG18" s="2"/>
      <c r="XAH18" s="2"/>
      <c r="XAI18" s="2"/>
      <c r="XAJ18" s="2"/>
      <c r="XAK18" s="2"/>
      <c r="XAL18" s="2"/>
      <c r="XAM18" s="2"/>
      <c r="XAN18" s="2"/>
      <c r="XAO18" s="2"/>
      <c r="XAP18" s="2"/>
      <c r="XAQ18" s="2"/>
      <c r="XAR18" s="2"/>
      <c r="XAS18" s="2"/>
      <c r="XAT18" s="2"/>
      <c r="XAU18" s="2"/>
      <c r="XAV18" s="2"/>
      <c r="XAW18" s="2"/>
      <c r="XAX18" s="2"/>
      <c r="XAY18" s="2"/>
      <c r="XAZ18" s="2"/>
      <c r="XBA18" s="2"/>
      <c r="XBB18" s="2"/>
      <c r="XBC18" s="2"/>
      <c r="XBD18" s="2"/>
      <c r="XBE18" s="2"/>
      <c r="XBF18" s="2"/>
      <c r="XBG18" s="2"/>
      <c r="XBH18" s="2"/>
      <c r="XBI18" s="2"/>
      <c r="XBJ18" s="2"/>
      <c r="XBK18" s="2"/>
      <c r="XBL18" s="2"/>
      <c r="XBM18" s="2"/>
      <c r="XBN18" s="2"/>
      <c r="XBO18" s="2"/>
      <c r="XBP18" s="2"/>
      <c r="XBQ18" s="2"/>
      <c r="XBR18" s="2"/>
      <c r="XBS18" s="2"/>
      <c r="XBT18" s="2"/>
      <c r="XBU18" s="2"/>
      <c r="XBV18" s="2"/>
      <c r="XBW18" s="2"/>
      <c r="XBX18" s="2"/>
      <c r="XBY18" s="2"/>
      <c r="XBZ18" s="2"/>
      <c r="XCA18" s="2"/>
      <c r="XCB18" s="2"/>
      <c r="XCC18" s="2"/>
      <c r="XCD18" s="2"/>
      <c r="XCE18" s="2"/>
      <c r="XCF18" s="2"/>
      <c r="XCG18" s="2"/>
      <c r="XCH18" s="2"/>
      <c r="XCI18" s="2"/>
      <c r="XCJ18" s="2"/>
      <c r="XCK18" s="2"/>
      <c r="XCL18" s="2"/>
      <c r="XCM18" s="2"/>
      <c r="XCN18" s="2"/>
      <c r="XCO18" s="2"/>
      <c r="XCP18" s="2"/>
      <c r="XCQ18" s="2"/>
      <c r="XCR18" s="2"/>
      <c r="XCS18" s="2"/>
      <c r="XCT18" s="2"/>
      <c r="XCU18" s="2"/>
      <c r="XCV18" s="2"/>
      <c r="XCW18" s="2"/>
      <c r="XCX18" s="2"/>
      <c r="XCY18" s="2"/>
      <c r="XCZ18" s="2"/>
      <c r="XDA18" s="2"/>
      <c r="XDB18" s="2"/>
      <c r="XDC18" s="2"/>
      <c r="XDD18" s="2"/>
      <c r="XDE18" s="2"/>
      <c r="XDF18" s="2"/>
      <c r="XDG18" s="2"/>
      <c r="XDH18" s="2"/>
      <c r="XDI18" s="2"/>
      <c r="XDJ18" s="2"/>
      <c r="XDK18" s="2"/>
      <c r="XDL18" s="2"/>
      <c r="XDM18" s="2"/>
      <c r="XDN18" s="2"/>
      <c r="XDO18" s="2"/>
      <c r="XDP18" s="2"/>
      <c r="XDQ18" s="2"/>
      <c r="XDR18" s="2"/>
      <c r="XDS18" s="2"/>
      <c r="XDT18" s="2"/>
      <c r="XDU18" s="2"/>
      <c r="XDV18" s="2"/>
      <c r="XDW18" s="2"/>
      <c r="XDX18" s="2"/>
      <c r="XDY18" s="2"/>
      <c r="XDZ18" s="2"/>
      <c r="XEA18" s="2"/>
      <c r="XEB18" s="2"/>
      <c r="XEC18" s="2"/>
      <c r="XED18" s="2"/>
      <c r="XEE18" s="2"/>
      <c r="XEF18" s="2"/>
      <c r="XEG18" s="2"/>
      <c r="XEH18" s="2"/>
      <c r="XEI18" s="2"/>
      <c r="XEJ18" s="2"/>
      <c r="XEK18" s="2"/>
      <c r="XEL18" s="2"/>
      <c r="XEM18" s="2"/>
      <c r="XEN18" s="2"/>
      <c r="XEO18" s="2"/>
      <c r="XEP18" s="2"/>
      <c r="XEQ18" s="2"/>
      <c r="XER18" s="2"/>
      <c r="XES18" s="2"/>
      <c r="XET18" s="2"/>
      <c r="XEU18" s="2"/>
      <c r="XEV18" s="2"/>
      <c r="XEW18" s="2"/>
      <c r="XEX18" s="2"/>
      <c r="XEY18" s="2"/>
      <c r="XEZ18" s="2"/>
      <c r="XFA18" s="2"/>
      <c r="XFB18" s="2"/>
      <c r="XFC18" s="2"/>
      <c r="XFD18" s="2"/>
    </row>
    <row r="19" s="2" customFormat="true" ht="15.65" hidden="false" customHeight="false" outlineLevel="0" collapsed="false">
      <c r="A19" s="1" t="n">
        <v>17</v>
      </c>
      <c r="B19" s="2" t="s">
        <v>68</v>
      </c>
      <c r="C19" s="2" t="s">
        <v>69</v>
      </c>
      <c r="D19" s="2" t="s">
        <v>70</v>
      </c>
      <c r="E19" s="1" t="s">
        <v>15</v>
      </c>
      <c r="F19" s="1" t="s">
        <v>17</v>
      </c>
      <c r="G19" s="1"/>
      <c r="H19" s="1" t="s">
        <v>15</v>
      </c>
      <c r="I19" s="1"/>
      <c r="J19" s="1" t="s">
        <v>15</v>
      </c>
      <c r="K19" s="1"/>
      <c r="L19" s="1" t="s">
        <v>15</v>
      </c>
      <c r="M19" s="1"/>
      <c r="N19" s="1" t="s">
        <v>15</v>
      </c>
      <c r="O19" s="1" t="s">
        <v>15</v>
      </c>
      <c r="P19" s="1"/>
      <c r="Q19" s="1" t="s">
        <v>15</v>
      </c>
      <c r="R19" s="1"/>
      <c r="S19" s="1" t="s">
        <v>17</v>
      </c>
      <c r="T19" s="1" t="s">
        <v>17</v>
      </c>
      <c r="U19" s="1" t="s">
        <v>17</v>
      </c>
      <c r="V19" s="2" t="n">
        <f aca="false">COUNTIF(E19:U19,"P")</f>
        <v>7</v>
      </c>
      <c r="W19" s="2" t="n">
        <f aca="false">COUNTIF(E19:U19,"M")</f>
        <v>0</v>
      </c>
      <c r="X19" s="2" t="n">
        <f aca="false">COUNTIF(E19:U19,"T")</f>
        <v>0</v>
      </c>
      <c r="Y19" s="2" t="n">
        <f aca="false">COUNTIF(E19:U19,"A")</f>
        <v>4</v>
      </c>
      <c r="Z19" s="2" t="n">
        <f aca="false">SUM(V19:Y19)</f>
        <v>11</v>
      </c>
      <c r="AA19" s="4" t="n">
        <f aca="false">ROUND((V19+W19/2+X19/4)*10/Z19,0)</f>
        <v>6</v>
      </c>
      <c r="AB19" s="1" t="s">
        <v>17</v>
      </c>
      <c r="AC19" s="2" t="s">
        <v>15</v>
      </c>
      <c r="AD19" s="1"/>
      <c r="AE19" s="1" t="s">
        <v>15</v>
      </c>
      <c r="AF19" s="1" t="s">
        <v>17</v>
      </c>
      <c r="AG19" s="1" t="s">
        <v>17</v>
      </c>
      <c r="AH19" s="1" t="s">
        <v>15</v>
      </c>
      <c r="AI19" s="1" t="s">
        <v>15</v>
      </c>
      <c r="AJ19" s="1" t="s">
        <v>24</v>
      </c>
      <c r="AK19" s="7" t="n">
        <v>0.645833333333333</v>
      </c>
      <c r="AL19" s="1" t="s">
        <v>15</v>
      </c>
      <c r="AM19" s="1"/>
      <c r="AN19" s="1" t="s">
        <v>17</v>
      </c>
      <c r="AO19" s="1" t="s">
        <v>15</v>
      </c>
      <c r="AP19" s="0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WYG19" s="1"/>
      <c r="WYH19" s="9"/>
      <c r="WYI19" s="9"/>
      <c r="WYJ19" s="9"/>
      <c r="WYK19" s="9"/>
      <c r="WYL19" s="9"/>
      <c r="WYM19" s="9"/>
      <c r="WYN19" s="9"/>
      <c r="WYO19" s="9"/>
      <c r="WYP19" s="9"/>
      <c r="WYQ19" s="9"/>
      <c r="WYR19" s="9"/>
      <c r="WYS19" s="9"/>
      <c r="WYT19" s="9"/>
      <c r="WYU19" s="9"/>
      <c r="WYV19" s="9"/>
      <c r="WYW19" s="9"/>
      <c r="WYX19" s="9"/>
      <c r="WYY19" s="9"/>
      <c r="WYZ19" s="9"/>
      <c r="WZA19" s="9"/>
      <c r="WZB19" s="9"/>
      <c r="WZC19" s="9"/>
      <c r="WZD19" s="9"/>
      <c r="WZE19" s="9"/>
      <c r="WZF19" s="9"/>
      <c r="WZG19" s="9"/>
      <c r="WZH19" s="9"/>
      <c r="WZI19" s="9"/>
      <c r="WZJ19" s="9"/>
      <c r="WZK19" s="9"/>
      <c r="WZL19" s="9"/>
      <c r="WZM19" s="9"/>
      <c r="WZN19" s="9"/>
      <c r="WZO19" s="9"/>
      <c r="WZP19" s="9"/>
      <c r="WZQ19" s="9"/>
      <c r="WZR19" s="9"/>
      <c r="WZS19" s="9"/>
      <c r="WZT19" s="9"/>
      <c r="WZU19" s="9"/>
      <c r="WZV19" s="9"/>
      <c r="WZW19" s="9"/>
      <c r="WZX19" s="9"/>
      <c r="WZY19" s="9"/>
      <c r="WZZ19" s="9"/>
      <c r="XAA19" s="9"/>
      <c r="XAB19" s="9"/>
      <c r="XAC19" s="9"/>
      <c r="XAD19" s="9"/>
      <c r="XAE19" s="9"/>
      <c r="XAF19" s="9"/>
      <c r="XAG19" s="9"/>
      <c r="XAH19" s="9"/>
      <c r="XAI19" s="9"/>
      <c r="XAJ19" s="9"/>
      <c r="XAK19" s="9"/>
      <c r="XAL19" s="9"/>
      <c r="XAM19" s="9"/>
      <c r="XAN19" s="9"/>
      <c r="XAO19" s="9"/>
      <c r="XAP19" s="9"/>
      <c r="XAQ19" s="9"/>
      <c r="XAR19" s="9"/>
      <c r="XAS19" s="9"/>
      <c r="XAT19" s="9"/>
      <c r="XAU19" s="9"/>
      <c r="XAV19" s="9"/>
      <c r="XAW19" s="9"/>
      <c r="XAX19" s="9"/>
      <c r="XAY19" s="9"/>
      <c r="XAZ19" s="9"/>
      <c r="XBA19" s="9"/>
      <c r="XBB19" s="9"/>
      <c r="XBC19" s="9"/>
      <c r="XBD19" s="9"/>
      <c r="XBE19" s="9"/>
      <c r="XBF19" s="9"/>
      <c r="XBG19" s="9"/>
      <c r="XBH19" s="9"/>
      <c r="XBI19" s="9"/>
      <c r="XBJ19" s="9"/>
      <c r="XBK19" s="9"/>
      <c r="XBL19" s="9"/>
      <c r="XBM19" s="9"/>
      <c r="XBN19" s="9"/>
      <c r="XBO19" s="9"/>
      <c r="XBP19" s="9"/>
      <c r="XBQ19" s="9"/>
      <c r="XBR19" s="9"/>
      <c r="XBS19" s="9"/>
      <c r="XBT19" s="9"/>
      <c r="XBU19" s="9"/>
      <c r="XBV19" s="9"/>
      <c r="XBW19" s="9"/>
      <c r="XBX19" s="9"/>
      <c r="XBY19" s="9"/>
      <c r="XBZ19" s="9"/>
      <c r="XCA19" s="9"/>
      <c r="XCB19" s="9"/>
      <c r="XCC19" s="9"/>
      <c r="XCD19" s="9"/>
      <c r="XCE19" s="9"/>
      <c r="XCF19" s="9"/>
      <c r="XCG19" s="9"/>
      <c r="XCH19" s="9"/>
      <c r="XCI19" s="9"/>
      <c r="XCJ19" s="9"/>
      <c r="XCK19" s="9"/>
      <c r="XCL19" s="9"/>
      <c r="XCM19" s="9"/>
      <c r="XCN19" s="9"/>
      <c r="XCO19" s="9"/>
      <c r="XCP19" s="9"/>
      <c r="XCQ19" s="9"/>
      <c r="XCR19" s="9"/>
      <c r="XCS19" s="9"/>
      <c r="XCT19" s="9"/>
      <c r="XCU19" s="9"/>
      <c r="XCV19" s="9"/>
      <c r="XCW19" s="9"/>
      <c r="XCX19" s="9"/>
      <c r="XCY19" s="9"/>
      <c r="XCZ19" s="9"/>
      <c r="XDA19" s="9"/>
      <c r="XDB19" s="9"/>
      <c r="XDC19" s="9"/>
      <c r="XDD19" s="9"/>
      <c r="XDE19" s="9"/>
      <c r="XDF19" s="9"/>
      <c r="XDG19" s="9"/>
      <c r="XDH19" s="9"/>
      <c r="XDI19" s="9"/>
      <c r="XDJ19" s="9"/>
      <c r="XDK19" s="9"/>
      <c r="XDL19" s="9"/>
      <c r="XDM19" s="9"/>
      <c r="XDN19" s="9"/>
      <c r="XDO19" s="9"/>
      <c r="XDP19" s="9"/>
      <c r="XDQ19" s="9"/>
      <c r="XDR19" s="9"/>
      <c r="XDS19" s="9"/>
      <c r="XDT19" s="9"/>
      <c r="XDU19" s="9"/>
      <c r="XDV19" s="9"/>
      <c r="XDW19" s="9"/>
      <c r="XDX19" s="9"/>
      <c r="XDY19" s="9"/>
      <c r="XDZ19" s="9"/>
      <c r="XEA19" s="9"/>
      <c r="XEB19" s="9"/>
      <c r="XEC19" s="9"/>
      <c r="XED19" s="9"/>
      <c r="XEE19" s="9"/>
      <c r="XEF19" s="9"/>
      <c r="XEG19" s="9"/>
      <c r="XEH19" s="9"/>
      <c r="XEI19" s="9"/>
      <c r="XEJ19" s="9"/>
      <c r="XEK19" s="9"/>
      <c r="XEL19" s="9"/>
      <c r="XEM19" s="9"/>
      <c r="XEN19" s="9"/>
      <c r="XEO19" s="9"/>
      <c r="XEP19" s="9"/>
      <c r="XEQ19" s="9"/>
      <c r="XER19" s="9"/>
      <c r="XES19" s="9"/>
      <c r="XET19" s="9"/>
      <c r="XEU19" s="9"/>
      <c r="XEV19" s="9"/>
      <c r="XEW19" s="9"/>
      <c r="XEX19" s="9"/>
      <c r="XEY19" s="9"/>
      <c r="XEZ19" s="9"/>
      <c r="XFA19" s="9"/>
      <c r="XFB19" s="9"/>
      <c r="XFC19" s="9"/>
      <c r="XFD19" s="9"/>
    </row>
    <row r="20" s="9" customFormat="true" ht="15.65" hidden="false" customHeight="false" outlineLevel="0" collapsed="false">
      <c r="A20" s="9" t="n">
        <v>18</v>
      </c>
      <c r="B20" s="8" t="s">
        <v>71</v>
      </c>
      <c r="C20" s="8" t="s">
        <v>72</v>
      </c>
      <c r="D20" s="8" t="s">
        <v>73</v>
      </c>
      <c r="E20" s="9" t="s">
        <v>15</v>
      </c>
      <c r="F20" s="9" t="s">
        <v>15</v>
      </c>
      <c r="H20" s="9" t="s">
        <v>17</v>
      </c>
      <c r="J20" s="9" t="s">
        <v>17</v>
      </c>
      <c r="L20" s="9" t="s">
        <v>15</v>
      </c>
      <c r="N20" s="9" t="s">
        <v>17</v>
      </c>
      <c r="O20" s="9" t="s">
        <v>15</v>
      </c>
      <c r="P20" s="9" t="s">
        <v>67</v>
      </c>
      <c r="Q20" s="9" t="s">
        <v>15</v>
      </c>
      <c r="S20" s="9" t="s">
        <v>15</v>
      </c>
      <c r="U20" s="9" t="s">
        <v>17</v>
      </c>
      <c r="V20" s="9" t="n">
        <f aca="false">COUNTIF(E20:U20,"P")</f>
        <v>6</v>
      </c>
      <c r="W20" s="9" t="n">
        <f aca="false">COUNTIF(E20:U20,"M")</f>
        <v>0</v>
      </c>
      <c r="X20" s="9" t="n">
        <f aca="false">COUNTIF(E20:U20,"T")</f>
        <v>0</v>
      </c>
      <c r="Y20" s="9" t="n">
        <f aca="false">COUNTIF(E20:U20,"A")</f>
        <v>4</v>
      </c>
      <c r="Z20" s="9" t="n">
        <f aca="false">SUM(V20:Y20)</f>
        <v>10</v>
      </c>
      <c r="AA20" s="10" t="n">
        <f aca="false">ROUND((V20+W20/2+X20/4)*10/Z20,0)</f>
        <v>6</v>
      </c>
      <c r="AB20" s="9" t="s">
        <v>17</v>
      </c>
      <c r="AC20" s="2" t="s">
        <v>17</v>
      </c>
      <c r="AE20" s="9" t="s">
        <v>17</v>
      </c>
      <c r="AF20" s="9" t="s">
        <v>17</v>
      </c>
      <c r="AG20" s="9" t="s">
        <v>17</v>
      </c>
      <c r="AH20" s="9" t="s">
        <v>17</v>
      </c>
      <c r="AI20" s="9" t="s">
        <v>17</v>
      </c>
      <c r="AJ20" s="9" t="s">
        <v>17</v>
      </c>
      <c r="AL20" s="9" t="s">
        <v>17</v>
      </c>
      <c r="AN20" s="9" t="s">
        <v>17</v>
      </c>
      <c r="AO20" s="9" t="s">
        <v>17</v>
      </c>
      <c r="AP20" s="0"/>
      <c r="WYH20" s="1"/>
      <c r="WYI20" s="1"/>
      <c r="WYJ20" s="1"/>
      <c r="WYK20" s="1"/>
      <c r="WYL20" s="1"/>
      <c r="WYM20" s="1"/>
      <c r="WYN20" s="1"/>
      <c r="WYO20" s="1"/>
      <c r="WYP20" s="1"/>
      <c r="WYQ20" s="1"/>
      <c r="WYR20" s="1"/>
      <c r="WYS20" s="1"/>
      <c r="WYT20" s="1"/>
      <c r="WYU20" s="1"/>
      <c r="WYV20" s="1"/>
      <c r="WYW20" s="1"/>
      <c r="WYX20" s="1"/>
      <c r="WYY20" s="1"/>
      <c r="WYZ20" s="1"/>
      <c r="WZA20" s="1"/>
      <c r="WZB20" s="1"/>
      <c r="WZC20" s="1"/>
      <c r="WZD20" s="1"/>
      <c r="WZE20" s="1"/>
      <c r="WZF20" s="1"/>
      <c r="WZG20" s="1"/>
      <c r="WZH20" s="1"/>
      <c r="WZI20" s="1"/>
      <c r="WZJ20" s="1"/>
      <c r="WZK20" s="1"/>
      <c r="WZL20" s="1"/>
      <c r="WZM20" s="1"/>
      <c r="WZN20" s="1"/>
      <c r="WZO20" s="1"/>
      <c r="WZP20" s="1"/>
      <c r="WZQ20" s="1"/>
      <c r="WZR20" s="1"/>
      <c r="WZS20" s="1"/>
      <c r="WZT20" s="1"/>
      <c r="WZU20" s="1"/>
      <c r="WZV20" s="1"/>
      <c r="WZW20" s="1"/>
      <c r="WZX20" s="1"/>
      <c r="WZY20" s="1"/>
      <c r="WZZ20" s="1"/>
      <c r="XAA20" s="1"/>
      <c r="XAB20" s="1"/>
      <c r="XAC20" s="1"/>
      <c r="XAD20" s="1"/>
      <c r="XAE20" s="1"/>
      <c r="XAF20" s="1"/>
      <c r="XAG20" s="1"/>
      <c r="XAH20" s="1"/>
      <c r="XAI20" s="1"/>
      <c r="XAJ20" s="1"/>
      <c r="XAK20" s="1"/>
      <c r="XAL20" s="1"/>
      <c r="XAM20" s="1"/>
      <c r="XAN20" s="1"/>
      <c r="XAO20" s="1"/>
      <c r="XAP20" s="1"/>
      <c r="XAQ20" s="1"/>
      <c r="XAR20" s="1"/>
      <c r="XAS20" s="1"/>
      <c r="XAT20" s="1"/>
      <c r="XAU20" s="1"/>
      <c r="XAV20" s="1"/>
      <c r="XAW20" s="1"/>
      <c r="XAX20" s="1"/>
      <c r="XAY20" s="1"/>
      <c r="XAZ20" s="1"/>
      <c r="XBA20" s="1"/>
      <c r="XBB20" s="1"/>
      <c r="XBC20" s="1"/>
      <c r="XBD20" s="1"/>
      <c r="XBE20" s="1"/>
      <c r="XBF20" s="1"/>
      <c r="XBG20" s="1"/>
      <c r="XBH20" s="1"/>
      <c r="XBI20" s="1"/>
      <c r="XBJ20" s="1"/>
      <c r="XBK20" s="1"/>
      <c r="XBL20" s="1"/>
      <c r="XBM20" s="1"/>
      <c r="XBN20" s="1"/>
      <c r="XBO20" s="1"/>
      <c r="XBP20" s="1"/>
      <c r="XBQ20" s="1"/>
      <c r="XBR20" s="1"/>
      <c r="XBS20" s="1"/>
      <c r="XBT20" s="1"/>
      <c r="XBU20" s="1"/>
      <c r="XBV20" s="1"/>
      <c r="XBW20" s="1"/>
      <c r="XBX20" s="1"/>
      <c r="XBY20" s="1"/>
      <c r="XBZ20" s="1"/>
      <c r="XCA20" s="1"/>
      <c r="XCB20" s="1"/>
      <c r="XCC20" s="1"/>
      <c r="XCD20" s="1"/>
      <c r="XCE20" s="1"/>
      <c r="XCF20" s="1"/>
      <c r="XCG20" s="1"/>
      <c r="XCH20" s="1"/>
      <c r="XCI20" s="1"/>
      <c r="XCJ20" s="1"/>
      <c r="XCK20" s="1"/>
      <c r="XCL20" s="1"/>
      <c r="XCM20" s="1"/>
      <c r="XCN20" s="1"/>
      <c r="XCO20" s="1"/>
      <c r="XCP20" s="1"/>
      <c r="XCQ20" s="1"/>
      <c r="XCR20" s="1"/>
      <c r="XCS20" s="1"/>
      <c r="XCT20" s="1"/>
      <c r="XCU20" s="1"/>
      <c r="XCV20" s="1"/>
      <c r="XCW20" s="1"/>
      <c r="XCX20" s="1"/>
      <c r="XCY20" s="1"/>
      <c r="XCZ20" s="1"/>
      <c r="XDA20" s="1"/>
      <c r="XDB20" s="1"/>
      <c r="XDC20" s="1"/>
      <c r="XDD20" s="1"/>
      <c r="XDE20" s="1"/>
      <c r="XDF20" s="1"/>
      <c r="XDG20" s="1"/>
      <c r="XDH20" s="1"/>
      <c r="XDI20" s="1"/>
      <c r="XDJ20" s="1"/>
      <c r="XDK20" s="1"/>
      <c r="XDL20" s="1"/>
      <c r="XDM20" s="1"/>
      <c r="XDN20" s="1"/>
      <c r="XDO20" s="1"/>
      <c r="XDP20" s="1"/>
      <c r="XDQ20" s="1"/>
      <c r="XDR20" s="1"/>
      <c r="XDS20" s="1"/>
      <c r="XDT20" s="1"/>
      <c r="XDU20" s="1"/>
      <c r="XDV20" s="1"/>
      <c r="XDW20" s="1"/>
      <c r="XDX20" s="1"/>
      <c r="XDY20" s="1"/>
      <c r="XDZ20" s="1"/>
      <c r="XEA20" s="1"/>
      <c r="XEB20" s="1"/>
      <c r="XEC20" s="1"/>
      <c r="XED20" s="1"/>
      <c r="XEE20" s="1"/>
      <c r="XEF20" s="1"/>
      <c r="XEG20" s="1"/>
      <c r="XEH20" s="1"/>
      <c r="XEI20" s="1"/>
      <c r="XEJ20" s="1"/>
      <c r="XEK20" s="1"/>
      <c r="XEL20" s="1"/>
      <c r="XEM20" s="1"/>
      <c r="XEN20" s="1"/>
      <c r="XEO20" s="1"/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1" customFormat="true" ht="15.65" hidden="false" customHeight="false" outlineLevel="0" collapsed="false">
      <c r="A21" s="1" t="n">
        <v>19</v>
      </c>
      <c r="B21" s="2" t="s">
        <v>74</v>
      </c>
      <c r="C21" s="2" t="s">
        <v>75</v>
      </c>
      <c r="D21" s="2" t="s">
        <v>76</v>
      </c>
      <c r="E21" s="1" t="s">
        <v>15</v>
      </c>
      <c r="F21" s="1" t="s">
        <v>15</v>
      </c>
      <c r="H21" s="1" t="s">
        <v>15</v>
      </c>
      <c r="J21" s="1" t="s">
        <v>15</v>
      </c>
      <c r="L21" s="1" t="s">
        <v>15</v>
      </c>
      <c r="N21" s="1" t="s">
        <v>15</v>
      </c>
      <c r="O21" s="1" t="s">
        <v>17</v>
      </c>
      <c r="Q21" s="1" t="s">
        <v>15</v>
      </c>
      <c r="S21" s="1" t="s">
        <v>15</v>
      </c>
      <c r="T21" s="1" t="s">
        <v>17</v>
      </c>
      <c r="U21" s="1" t="s">
        <v>15</v>
      </c>
      <c r="V21" s="2" t="n">
        <f aca="false">COUNTIF(E21:U21,"P")</f>
        <v>9</v>
      </c>
      <c r="W21" s="2" t="n">
        <f aca="false">COUNTIF(E21:U21,"M")</f>
        <v>0</v>
      </c>
      <c r="X21" s="2" t="n">
        <f aca="false">COUNTIF(E21:U21,"T")</f>
        <v>0</v>
      </c>
      <c r="Y21" s="2" t="n">
        <f aca="false">COUNTIF(E21:U21,"A")</f>
        <v>2</v>
      </c>
      <c r="Z21" s="2" t="n">
        <f aca="false">SUM(V21:Y21)</f>
        <v>11</v>
      </c>
      <c r="AA21" s="4" t="n">
        <f aca="false">ROUND((V21+W21/2+X21/4)*10/Z21,0)</f>
        <v>8</v>
      </c>
      <c r="AB21" s="1" t="s">
        <v>15</v>
      </c>
      <c r="AC21" s="2" t="s">
        <v>15</v>
      </c>
      <c r="AE21" s="1" t="s">
        <v>15</v>
      </c>
      <c r="AF21" s="1" t="s">
        <v>15</v>
      </c>
      <c r="AG21" s="1" t="s">
        <v>15</v>
      </c>
      <c r="AH21" s="1" t="s">
        <v>15</v>
      </c>
      <c r="AI21" s="1" t="s">
        <v>15</v>
      </c>
      <c r="AJ21" s="1" t="s">
        <v>15</v>
      </c>
      <c r="AL21" s="1" t="s">
        <v>15</v>
      </c>
      <c r="AN21" s="1" t="s">
        <v>15</v>
      </c>
      <c r="AO21" s="1" t="s">
        <v>15</v>
      </c>
      <c r="AP21" s="0"/>
      <c r="WYH21" s="2"/>
      <c r="WYI21" s="2"/>
      <c r="WYJ21" s="2"/>
      <c r="WYK21" s="2"/>
      <c r="WYL21" s="2"/>
      <c r="WYM21" s="2"/>
      <c r="WYN21" s="2"/>
      <c r="WYO21" s="2"/>
      <c r="WYP21" s="2"/>
      <c r="WYQ21" s="2"/>
      <c r="WYR21" s="2"/>
      <c r="WYS21" s="2"/>
      <c r="WYT21" s="2"/>
      <c r="WYU21" s="2"/>
      <c r="WYV21" s="2"/>
      <c r="WYW21" s="2"/>
      <c r="WYX21" s="2"/>
      <c r="WYY21" s="2"/>
      <c r="WYZ21" s="2"/>
      <c r="WZA21" s="2"/>
      <c r="WZB21" s="2"/>
      <c r="WZC21" s="2"/>
      <c r="WZD21" s="2"/>
      <c r="WZE21" s="2"/>
      <c r="WZF21" s="2"/>
      <c r="WZG21" s="2"/>
      <c r="WZH21" s="2"/>
      <c r="WZI21" s="2"/>
      <c r="WZJ21" s="2"/>
      <c r="WZK21" s="2"/>
      <c r="WZL21" s="2"/>
      <c r="WZM21" s="2"/>
      <c r="WZN21" s="2"/>
      <c r="WZO21" s="2"/>
      <c r="WZP21" s="2"/>
      <c r="WZQ21" s="2"/>
      <c r="WZR21" s="2"/>
      <c r="WZS21" s="2"/>
      <c r="WZT21" s="2"/>
      <c r="WZU21" s="2"/>
      <c r="WZV21" s="2"/>
      <c r="WZW21" s="2"/>
      <c r="WZX21" s="2"/>
      <c r="WZY21" s="2"/>
      <c r="WZZ21" s="2"/>
      <c r="XAA21" s="2"/>
      <c r="XAB21" s="2"/>
      <c r="XAC21" s="2"/>
      <c r="XAD21" s="2"/>
      <c r="XAE21" s="2"/>
      <c r="XAF21" s="2"/>
      <c r="XAG21" s="2"/>
      <c r="XAH21" s="2"/>
      <c r="XAI21" s="2"/>
      <c r="XAJ21" s="2"/>
      <c r="XAK21" s="2"/>
      <c r="XAL21" s="2"/>
      <c r="XAM21" s="2"/>
      <c r="XAN21" s="2"/>
      <c r="XAO21" s="2"/>
      <c r="XAP21" s="2"/>
      <c r="XAQ21" s="2"/>
      <c r="XAR21" s="2"/>
      <c r="XAS21" s="2"/>
      <c r="XAT21" s="2"/>
      <c r="XAU21" s="2"/>
      <c r="XAV21" s="2"/>
      <c r="XAW21" s="2"/>
      <c r="XAX21" s="2"/>
      <c r="XAY21" s="2"/>
      <c r="XAZ21" s="2"/>
      <c r="XBA21" s="2"/>
      <c r="XBB21" s="2"/>
      <c r="XBC21" s="2"/>
      <c r="XBD21" s="2"/>
      <c r="XBE21" s="2"/>
      <c r="XBF21" s="2"/>
      <c r="XBG21" s="2"/>
      <c r="XBH21" s="2"/>
      <c r="XBI21" s="2"/>
      <c r="XBJ21" s="2"/>
      <c r="XBK21" s="2"/>
      <c r="XBL21" s="2"/>
      <c r="XBM21" s="2"/>
      <c r="XBN21" s="2"/>
      <c r="XBO21" s="2"/>
      <c r="XBP21" s="2"/>
      <c r="XBQ21" s="2"/>
      <c r="XBR21" s="2"/>
      <c r="XBS21" s="2"/>
      <c r="XBT21" s="2"/>
      <c r="XBU21" s="2"/>
      <c r="XBV21" s="2"/>
      <c r="XBW21" s="2"/>
      <c r="XBX21" s="2"/>
      <c r="XBY21" s="2"/>
      <c r="XBZ21" s="2"/>
      <c r="XCA21" s="2"/>
      <c r="XCB21" s="2"/>
      <c r="XCC21" s="2"/>
      <c r="XCD21" s="2"/>
      <c r="XCE21" s="2"/>
      <c r="XCF21" s="2"/>
      <c r="XCG21" s="2"/>
      <c r="XCH21" s="2"/>
      <c r="XCI21" s="2"/>
      <c r="XCJ21" s="2"/>
      <c r="XCK21" s="2"/>
      <c r="XCL21" s="2"/>
      <c r="XCM21" s="2"/>
      <c r="XCN21" s="2"/>
      <c r="XCO21" s="2"/>
      <c r="XCP21" s="2"/>
      <c r="XCQ21" s="2"/>
      <c r="XCR21" s="2"/>
      <c r="XCS21" s="2"/>
      <c r="XCT21" s="2"/>
      <c r="XCU21" s="2"/>
      <c r="XCV21" s="2"/>
      <c r="XCW21" s="2"/>
      <c r="XCX21" s="2"/>
      <c r="XCY21" s="2"/>
      <c r="XCZ21" s="2"/>
      <c r="XDA21" s="2"/>
      <c r="XDB21" s="2"/>
      <c r="XDC21" s="2"/>
      <c r="XDD21" s="2"/>
      <c r="XDE21" s="2"/>
      <c r="XDF21" s="2"/>
      <c r="XDG21" s="2"/>
      <c r="XDH21" s="2"/>
      <c r="XDI21" s="2"/>
      <c r="XDJ21" s="2"/>
      <c r="XDK21" s="2"/>
      <c r="XDL21" s="2"/>
      <c r="XDM21" s="2"/>
      <c r="XDN21" s="2"/>
      <c r="XDO21" s="2"/>
      <c r="XDP21" s="2"/>
      <c r="XDQ21" s="2"/>
      <c r="XDR21" s="2"/>
      <c r="XDS21" s="2"/>
      <c r="XDT21" s="2"/>
      <c r="XDU21" s="2"/>
      <c r="XDV21" s="2"/>
      <c r="XDW21" s="2"/>
      <c r="XDX21" s="2"/>
      <c r="XDY21" s="2"/>
      <c r="XDZ21" s="2"/>
      <c r="XEA21" s="2"/>
      <c r="XEB21" s="2"/>
      <c r="XEC21" s="2"/>
      <c r="XED21" s="2"/>
      <c r="XEE21" s="2"/>
      <c r="XEF21" s="2"/>
      <c r="XEG21" s="2"/>
      <c r="XEH21" s="2"/>
      <c r="XEI21" s="2"/>
      <c r="XEJ21" s="2"/>
      <c r="XEK21" s="2"/>
      <c r="XEL21" s="2"/>
      <c r="XEM21" s="2"/>
      <c r="XEN21" s="2"/>
      <c r="XEO21" s="2"/>
      <c r="XEP21" s="2"/>
      <c r="XEQ21" s="2"/>
      <c r="XER21" s="2"/>
      <c r="XES21" s="2"/>
      <c r="XET21" s="2"/>
      <c r="XEU21" s="2"/>
      <c r="XEV21" s="2"/>
      <c r="XEW21" s="2"/>
      <c r="XEX21" s="2"/>
      <c r="XEY21" s="2"/>
      <c r="XEZ21" s="2"/>
      <c r="XFA21" s="2"/>
      <c r="XFB21" s="2"/>
      <c r="XFC21" s="2"/>
      <c r="XFD21" s="2"/>
    </row>
    <row r="22" s="1" customFormat="true" ht="15.65" hidden="false" customHeight="false" outlineLevel="0" collapsed="false">
      <c r="A22" s="1" t="n">
        <v>20</v>
      </c>
      <c r="B22" s="2" t="s">
        <v>77</v>
      </c>
      <c r="C22" s="2" t="s">
        <v>78</v>
      </c>
      <c r="D22" s="2" t="s">
        <v>79</v>
      </c>
      <c r="E22" s="1" t="s">
        <v>15</v>
      </c>
      <c r="F22" s="1" t="s">
        <v>15</v>
      </c>
      <c r="H22" s="1" t="s">
        <v>15</v>
      </c>
      <c r="J22" s="1" t="s">
        <v>15</v>
      </c>
      <c r="L22" s="1" t="s">
        <v>17</v>
      </c>
      <c r="N22" s="1" t="s">
        <v>15</v>
      </c>
      <c r="O22" s="1" t="s">
        <v>15</v>
      </c>
      <c r="Q22" s="1" t="s">
        <v>15</v>
      </c>
      <c r="S22" s="1" t="s">
        <v>15</v>
      </c>
      <c r="T22" s="1" t="s">
        <v>15</v>
      </c>
      <c r="U22" s="1" t="s">
        <v>15</v>
      </c>
      <c r="V22" s="2" t="n">
        <f aca="false">COUNTIF(E22:U22,"P")</f>
        <v>10</v>
      </c>
      <c r="W22" s="2" t="n">
        <f aca="false">COUNTIF(E22:U22,"M")</f>
        <v>0</v>
      </c>
      <c r="X22" s="2" t="n">
        <f aca="false">COUNTIF(E22:U22,"T")</f>
        <v>0</v>
      </c>
      <c r="Y22" s="2" t="n">
        <f aca="false">COUNTIF(E22:U22,"A")</f>
        <v>1</v>
      </c>
      <c r="Z22" s="2" t="n">
        <f aca="false">SUM(V22:Y22)</f>
        <v>11</v>
      </c>
      <c r="AA22" s="4" t="n">
        <f aca="false">ROUND((V22+W22/2+X22/4)*10/Z22,0)</f>
        <v>9</v>
      </c>
      <c r="AB22" s="1" t="s">
        <v>15</v>
      </c>
      <c r="AC22" s="2" t="s">
        <v>15</v>
      </c>
      <c r="AE22" s="1" t="s">
        <v>15</v>
      </c>
      <c r="AF22" s="1" t="s">
        <v>15</v>
      </c>
      <c r="AG22" s="1" t="s">
        <v>15</v>
      </c>
      <c r="AH22" s="1" t="s">
        <v>15</v>
      </c>
      <c r="AI22" s="1" t="s">
        <v>15</v>
      </c>
      <c r="AJ22" s="1" t="s">
        <v>15</v>
      </c>
      <c r="AL22" s="1" t="s">
        <v>15</v>
      </c>
      <c r="AN22" s="1" t="s">
        <v>15</v>
      </c>
      <c r="AO22" s="1" t="s">
        <v>15</v>
      </c>
      <c r="AP22" s="0"/>
      <c r="WYH22" s="9"/>
      <c r="WYI22" s="9"/>
      <c r="WYJ22" s="9"/>
      <c r="WYK22" s="9"/>
      <c r="WYL22" s="9"/>
      <c r="WYM22" s="9"/>
      <c r="WYN22" s="9"/>
      <c r="WYO22" s="9"/>
      <c r="WYP22" s="9"/>
      <c r="WYQ22" s="9"/>
      <c r="WYR22" s="9"/>
      <c r="WYS22" s="9"/>
      <c r="WYT22" s="9"/>
      <c r="WYU22" s="9"/>
      <c r="WYV22" s="9"/>
      <c r="WYW22" s="9"/>
      <c r="WYX22" s="9"/>
      <c r="WYY22" s="9"/>
      <c r="WYZ22" s="9"/>
      <c r="WZA22" s="9"/>
      <c r="WZB22" s="9"/>
      <c r="WZC22" s="9"/>
      <c r="WZD22" s="9"/>
      <c r="WZE22" s="9"/>
      <c r="WZF22" s="9"/>
      <c r="WZG22" s="9"/>
      <c r="WZH22" s="9"/>
      <c r="WZI22" s="9"/>
      <c r="WZJ22" s="9"/>
      <c r="WZK22" s="9"/>
      <c r="WZL22" s="9"/>
      <c r="WZM22" s="9"/>
      <c r="WZN22" s="9"/>
      <c r="WZO22" s="9"/>
      <c r="WZP22" s="9"/>
      <c r="WZQ22" s="9"/>
      <c r="WZR22" s="9"/>
      <c r="WZS22" s="9"/>
      <c r="WZT22" s="9"/>
      <c r="WZU22" s="9"/>
      <c r="WZV22" s="9"/>
      <c r="WZW22" s="9"/>
      <c r="WZX22" s="9"/>
      <c r="WZY22" s="9"/>
      <c r="WZZ22" s="9"/>
      <c r="XAA22" s="9"/>
      <c r="XAB22" s="9"/>
      <c r="XAC22" s="9"/>
      <c r="XAD22" s="9"/>
      <c r="XAE22" s="9"/>
      <c r="XAF22" s="9"/>
      <c r="XAG22" s="9"/>
      <c r="XAH22" s="9"/>
      <c r="XAI22" s="9"/>
      <c r="XAJ22" s="9"/>
      <c r="XAK22" s="9"/>
      <c r="XAL22" s="9"/>
      <c r="XAM22" s="9"/>
      <c r="XAN22" s="9"/>
      <c r="XAO22" s="9"/>
      <c r="XAP22" s="9"/>
      <c r="XAQ22" s="9"/>
      <c r="XAR22" s="9"/>
      <c r="XAS22" s="9"/>
      <c r="XAT22" s="9"/>
      <c r="XAU22" s="9"/>
      <c r="XAV22" s="9"/>
      <c r="XAW22" s="9"/>
      <c r="XAX22" s="9"/>
      <c r="XAY22" s="9"/>
      <c r="XAZ22" s="9"/>
      <c r="XBA22" s="9"/>
      <c r="XBB22" s="9"/>
      <c r="XBC22" s="9"/>
      <c r="XBD22" s="9"/>
      <c r="XBE22" s="9"/>
      <c r="XBF22" s="9"/>
      <c r="XBG22" s="9"/>
      <c r="XBH22" s="9"/>
      <c r="XBI22" s="9"/>
      <c r="XBJ22" s="9"/>
      <c r="XBK22" s="9"/>
      <c r="XBL22" s="9"/>
      <c r="XBM22" s="9"/>
      <c r="XBN22" s="9"/>
      <c r="XBO22" s="9"/>
      <c r="XBP22" s="9"/>
      <c r="XBQ22" s="9"/>
      <c r="XBR22" s="9"/>
      <c r="XBS22" s="9"/>
      <c r="XBT22" s="9"/>
      <c r="XBU22" s="9"/>
      <c r="XBV22" s="9"/>
      <c r="XBW22" s="9"/>
      <c r="XBX22" s="9"/>
      <c r="XBY22" s="9"/>
      <c r="XBZ22" s="9"/>
      <c r="XCA22" s="9"/>
      <c r="XCB22" s="9"/>
      <c r="XCC22" s="9"/>
      <c r="XCD22" s="9"/>
      <c r="XCE22" s="9"/>
      <c r="XCF22" s="9"/>
      <c r="XCG22" s="9"/>
      <c r="XCH22" s="9"/>
      <c r="XCI22" s="9"/>
      <c r="XCJ22" s="9"/>
      <c r="XCK22" s="9"/>
      <c r="XCL22" s="9"/>
      <c r="XCM22" s="9"/>
      <c r="XCN22" s="9"/>
      <c r="XCO22" s="9"/>
      <c r="XCP22" s="9"/>
      <c r="XCQ22" s="9"/>
      <c r="XCR22" s="9"/>
      <c r="XCS22" s="9"/>
      <c r="XCT22" s="9"/>
      <c r="XCU22" s="9"/>
      <c r="XCV22" s="9"/>
      <c r="XCW22" s="9"/>
      <c r="XCX22" s="9"/>
      <c r="XCY22" s="9"/>
      <c r="XCZ22" s="9"/>
      <c r="XDA22" s="9"/>
      <c r="XDB22" s="9"/>
      <c r="XDC22" s="9"/>
      <c r="XDD22" s="9"/>
      <c r="XDE22" s="9"/>
      <c r="XDF22" s="9"/>
      <c r="XDG22" s="9"/>
      <c r="XDH22" s="9"/>
      <c r="XDI22" s="9"/>
      <c r="XDJ22" s="9"/>
      <c r="XDK22" s="9"/>
      <c r="XDL22" s="9"/>
      <c r="XDM22" s="9"/>
      <c r="XDN22" s="9"/>
      <c r="XDO22" s="9"/>
      <c r="XDP22" s="9"/>
      <c r="XDQ22" s="9"/>
      <c r="XDR22" s="9"/>
      <c r="XDS22" s="9"/>
      <c r="XDT22" s="9"/>
      <c r="XDU22" s="9"/>
      <c r="XDV22" s="9"/>
      <c r="XDW22" s="9"/>
      <c r="XDX22" s="9"/>
      <c r="XDY22" s="9"/>
      <c r="XDZ22" s="9"/>
      <c r="XEA22" s="9"/>
      <c r="XEB22" s="9"/>
      <c r="XEC22" s="9"/>
      <c r="XED22" s="9"/>
      <c r="XEE22" s="9"/>
      <c r="XEF22" s="9"/>
      <c r="XEG22" s="9"/>
      <c r="XEH22" s="9"/>
      <c r="XEI22" s="9"/>
      <c r="XEJ22" s="9"/>
      <c r="XEK22" s="9"/>
      <c r="XEL22" s="9"/>
      <c r="XEM22" s="9"/>
      <c r="XEN22" s="9"/>
      <c r="XEO22" s="9"/>
      <c r="XEP22" s="9"/>
      <c r="XEQ22" s="9"/>
      <c r="XER22" s="9"/>
      <c r="XES22" s="9"/>
      <c r="XET22" s="9"/>
      <c r="XEU22" s="9"/>
      <c r="XEV22" s="9"/>
      <c r="XEW22" s="9"/>
      <c r="XEX22" s="9"/>
      <c r="XEY22" s="9"/>
      <c r="XEZ22" s="9"/>
      <c r="XFA22" s="9"/>
      <c r="XFB22" s="9"/>
      <c r="XFC22" s="9"/>
      <c r="XFD22" s="9"/>
    </row>
    <row r="23" s="8" customFormat="true" ht="15.65" hidden="false" customHeight="false" outlineLevel="0" collapsed="false">
      <c r="A23" s="9" t="n">
        <v>21</v>
      </c>
      <c r="B23" s="8" t="s">
        <v>80</v>
      </c>
      <c r="C23" s="8" t="s">
        <v>81</v>
      </c>
      <c r="D23" s="8" t="s">
        <v>82</v>
      </c>
      <c r="E23" s="9" t="s">
        <v>15</v>
      </c>
      <c r="F23" s="9" t="s">
        <v>17</v>
      </c>
      <c r="G23" s="9"/>
      <c r="H23" s="9" t="s">
        <v>15</v>
      </c>
      <c r="I23" s="9" t="s">
        <v>65</v>
      </c>
      <c r="J23" s="9" t="s">
        <v>15</v>
      </c>
      <c r="K23" s="9" t="s">
        <v>66</v>
      </c>
      <c r="L23" s="9" t="s">
        <v>15</v>
      </c>
      <c r="M23" s="9" t="s">
        <v>83</v>
      </c>
      <c r="N23" s="9" t="s">
        <v>15</v>
      </c>
      <c r="O23" s="9" t="s">
        <v>15</v>
      </c>
      <c r="P23" s="9" t="s">
        <v>67</v>
      </c>
      <c r="Q23" s="9" t="s">
        <v>15</v>
      </c>
      <c r="R23" s="9"/>
      <c r="S23" s="9" t="s">
        <v>15</v>
      </c>
      <c r="T23" s="9" t="s">
        <v>15</v>
      </c>
      <c r="U23" s="9" t="s">
        <v>15</v>
      </c>
      <c r="V23" s="9" t="n">
        <f aca="false">COUNTIF(E23:U23,"P")</f>
        <v>10</v>
      </c>
      <c r="W23" s="9" t="n">
        <f aca="false">COUNTIF(E23:U23,"M")</f>
        <v>0</v>
      </c>
      <c r="X23" s="9" t="n">
        <f aca="false">COUNTIF(E23:U23,"T")</f>
        <v>0</v>
      </c>
      <c r="Y23" s="9" t="n">
        <f aca="false">COUNTIF(E23:U23,"A")</f>
        <v>1</v>
      </c>
      <c r="Z23" s="9" t="n">
        <f aca="false">SUM(V23:Y23)</f>
        <v>11</v>
      </c>
      <c r="AA23" s="10" t="n">
        <f aca="false">ROUND((V23+W23/2+X23/4)*10/Z23,0)</f>
        <v>9</v>
      </c>
      <c r="AB23" s="9" t="s">
        <v>15</v>
      </c>
      <c r="AC23" s="2" t="s">
        <v>15</v>
      </c>
      <c r="AD23" s="9"/>
      <c r="AE23" s="9" t="s">
        <v>17</v>
      </c>
      <c r="AF23" s="9" t="s">
        <v>17</v>
      </c>
      <c r="AG23" s="9" t="s">
        <v>17</v>
      </c>
      <c r="AH23" s="9" t="s">
        <v>17</v>
      </c>
      <c r="AI23" s="9" t="s">
        <v>17</v>
      </c>
      <c r="AJ23" s="9" t="s">
        <v>17</v>
      </c>
      <c r="AK23" s="9"/>
      <c r="AL23" s="9" t="s">
        <v>17</v>
      </c>
      <c r="AM23" s="9"/>
      <c r="AN23" s="9" t="s">
        <v>17</v>
      </c>
      <c r="AO23" s="9" t="s">
        <v>17</v>
      </c>
      <c r="AP23" s="0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  <c r="EW23" s="9"/>
      <c r="EX23" s="9"/>
      <c r="EY23" s="9"/>
      <c r="EZ23" s="9"/>
      <c r="FA23" s="9"/>
      <c r="FB23" s="9"/>
      <c r="FC23" s="9"/>
      <c r="FD23" s="9"/>
      <c r="FE23" s="9"/>
      <c r="FF23" s="9"/>
      <c r="FG23" s="9"/>
      <c r="FH23" s="9"/>
      <c r="FI23" s="9"/>
      <c r="FJ23" s="9"/>
      <c r="FK23" s="9"/>
      <c r="FL23" s="9"/>
      <c r="FM23" s="9"/>
      <c r="FN23" s="9"/>
      <c r="WYG23" s="9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customFormat="false" ht="15" hidden="false" customHeight="false" outlineLevel="0" collapsed="false">
      <c r="C24" s="1" t="s">
        <v>6</v>
      </c>
      <c r="D24" s="1" t="s">
        <v>6</v>
      </c>
      <c r="E24" s="1" t="n">
        <f aca="false">COUNTIF(E3:E23,"P")</f>
        <v>21</v>
      </c>
      <c r="F24" s="1" t="n">
        <f aca="false">COUNTIF(F3:F23,"P")</f>
        <v>18</v>
      </c>
      <c r="H24" s="1" t="n">
        <f aca="false">COUNTIF(H3:H23,"P")</f>
        <v>19</v>
      </c>
      <c r="J24" s="1" t="n">
        <f aca="false">COUNTIF(J3:J23,"P")</f>
        <v>19</v>
      </c>
      <c r="L24" s="1" t="n">
        <f aca="false">COUNTIF(L3:L23,"P")</f>
        <v>19</v>
      </c>
      <c r="N24" s="1" t="n">
        <f aca="false">COUNTIF(N3:N23,"P")</f>
        <v>16</v>
      </c>
      <c r="O24" s="1" t="n">
        <f aca="false">COUNTIF(O3:O23,"P")</f>
        <v>18</v>
      </c>
      <c r="Q24" s="1" t="n">
        <f aca="false">COUNTIF(Q3:Q23,"P")</f>
        <v>20</v>
      </c>
      <c r="S24" s="1" t="n">
        <f aca="false">COUNTIF(S3:S23,"P")</f>
        <v>18</v>
      </c>
      <c r="T24" s="1" t="n">
        <f aca="false">COUNTIF(T3:T23,"P")</f>
        <v>13</v>
      </c>
      <c r="AB24" s="1" t="n">
        <f aca="false">COUNTIF(AB3:AB23,"P")</f>
        <v>17</v>
      </c>
      <c r="AC24" s="1" t="n">
        <f aca="false">COUNTIF(AC3:AC23,"P")</f>
        <v>20</v>
      </c>
      <c r="AE24" s="1" t="n">
        <f aca="false">COUNTIF(AE3:AE23,"P")</f>
        <v>18</v>
      </c>
      <c r="AF24" s="1" t="n">
        <f aca="false">COUNTIF(AF3:AF23,"P")</f>
        <v>16</v>
      </c>
      <c r="AG24" s="1" t="n">
        <f aca="false">COUNTIF(AG3:AG23,"P")</f>
        <v>16</v>
      </c>
      <c r="AH24" s="1" t="n">
        <f aca="false">COUNTIF(AH3:AH23,"P")</f>
        <v>16</v>
      </c>
      <c r="AI24" s="1" t="n">
        <f aca="false">COUNTIF(AI3:AI23,"P")</f>
        <v>17</v>
      </c>
      <c r="AJ24" s="1" t="n">
        <f aca="false">COUNTIF(AJ3:AJ23,"P")</f>
        <v>15</v>
      </c>
      <c r="AK24" s="1"/>
      <c r="AL24" s="1" t="n">
        <f aca="false">COUNTIF(AL3:AL23,"P")</f>
        <v>17</v>
      </c>
      <c r="AM24" s="1"/>
      <c r="AN24" s="1" t="n">
        <f aca="false">COUNTIF(AN3:AN23,"P")</f>
        <v>16</v>
      </c>
      <c r="AO24" s="1" t="n">
        <f aca="false">COUNTIF(AO3:AO23,"P")</f>
        <v>14</v>
      </c>
      <c r="AT24" s="1"/>
    </row>
    <row r="25" customFormat="false" ht="15" hidden="false" customHeight="false" outlineLevel="0" collapsed="false">
      <c r="C25" s="1" t="s">
        <v>84</v>
      </c>
      <c r="E25" s="1" t="n">
        <f aca="false">COUNTIF(E3:E23,"M")</f>
        <v>0</v>
      </c>
      <c r="F25" s="1" t="n">
        <f aca="false">COUNTIF(F3:F23,"M")</f>
        <v>0</v>
      </c>
      <c r="H25" s="1" t="n">
        <f aca="false">COUNTIF(H3:H23,"M")</f>
        <v>0</v>
      </c>
      <c r="J25" s="1" t="n">
        <f aca="false">COUNTIF(J3:J23,"M")</f>
        <v>0</v>
      </c>
      <c r="L25" s="1" t="n">
        <f aca="false">COUNTIF(L3:L23,"M")</f>
        <v>0</v>
      </c>
      <c r="N25" s="1" t="n">
        <f aca="false">COUNTIF(N3:N23,"M")</f>
        <v>0</v>
      </c>
      <c r="O25" s="1" t="n">
        <f aca="false">COUNTIF(O3:O23,"M")</f>
        <v>0</v>
      </c>
      <c r="Q25" s="1" t="n">
        <f aca="false">COUNTIF(Q3:Q23,"M")</f>
        <v>0</v>
      </c>
      <c r="S25" s="1" t="n">
        <f aca="false">COUNTIF(S3:S23,"M")</f>
        <v>0</v>
      </c>
      <c r="T25" s="1" t="n">
        <f aca="false">COUNTIF(T3:T23,"M")</f>
        <v>0</v>
      </c>
      <c r="AB25" s="1" t="n">
        <f aca="false">COUNTIF(AB3:AB23,"M")</f>
        <v>0</v>
      </c>
      <c r="AC25" s="1" t="n">
        <f aca="false">COUNTIF(AC3:AC23,"M")</f>
        <v>0</v>
      </c>
      <c r="AE25" s="1" t="n">
        <f aca="false">COUNTIF(AE3:AE23,"M")</f>
        <v>0</v>
      </c>
      <c r="AF25" s="1" t="n">
        <f aca="false">COUNTIF(AF3:AF23,"M")</f>
        <v>0</v>
      </c>
      <c r="AG25" s="1" t="n">
        <f aca="false">COUNTIF(AG3:AG23,"M")</f>
        <v>0</v>
      </c>
      <c r="AH25" s="1" t="n">
        <f aca="false">COUNTIF(AH3:AH23,"M")</f>
        <v>0</v>
      </c>
      <c r="AI25" s="1" t="n">
        <f aca="false">COUNTIF(AI3:AI23,"M")</f>
        <v>0</v>
      </c>
      <c r="AJ25" s="1" t="n">
        <f aca="false">COUNTIF(AJ3:AJ23,"M")</f>
        <v>0</v>
      </c>
      <c r="AK25" s="1"/>
      <c r="AL25" s="1" t="n">
        <f aca="false">COUNTIF(AL3:AL23,"M")</f>
        <v>0</v>
      </c>
      <c r="AM25" s="1"/>
      <c r="AN25" s="1" t="n">
        <f aca="false">COUNTIF(AN3:AN23,"M")</f>
        <v>0</v>
      </c>
      <c r="AO25" s="1" t="n">
        <f aca="false">COUNTIF(AO3:AO23,"M")</f>
        <v>0</v>
      </c>
      <c r="AT25" s="1"/>
    </row>
    <row r="26" customFormat="false" ht="15" hidden="false" customHeight="false" outlineLevel="0" collapsed="false">
      <c r="C26" s="1" t="s">
        <v>8</v>
      </c>
      <c r="E26" s="1" t="n">
        <f aca="false">COUNTIF(E3:E23,"T")</f>
        <v>0</v>
      </c>
      <c r="F26" s="1" t="n">
        <f aca="false">COUNTIF(F3:F23,"T")</f>
        <v>0</v>
      </c>
      <c r="H26" s="1" t="n">
        <f aca="false">COUNTIF(H3:H23,"T")</f>
        <v>0</v>
      </c>
      <c r="J26" s="1" t="n">
        <f aca="false">COUNTIF(J3:J23,"T")</f>
        <v>0</v>
      </c>
      <c r="L26" s="1" t="n">
        <f aca="false">COUNTIF(L3:L23,"T")</f>
        <v>0</v>
      </c>
      <c r="N26" s="1" t="n">
        <f aca="false">COUNTIF(N3:N23,"T")</f>
        <v>0</v>
      </c>
      <c r="O26" s="1" t="n">
        <f aca="false">COUNTIF(O3:O23,"T")</f>
        <v>0</v>
      </c>
      <c r="Q26" s="1" t="n">
        <f aca="false">COUNTIF(Q3:Q23,"T")</f>
        <v>0</v>
      </c>
      <c r="S26" s="1" t="n">
        <f aca="false">COUNTIF(S3:S23,"T")</f>
        <v>0</v>
      </c>
      <c r="T26" s="1" t="n">
        <f aca="false">COUNTIF(T3:T23,"T")</f>
        <v>0</v>
      </c>
      <c r="AB26" s="1" t="n">
        <f aca="false">COUNTIF(AB3:AB23,"T")</f>
        <v>0</v>
      </c>
      <c r="AC26" s="1" t="n">
        <f aca="false">COUNTIF(AC3:AC23,"T")</f>
        <v>0</v>
      </c>
      <c r="AE26" s="1" t="n">
        <f aca="false">COUNTIF(AE3:AE23,"T")</f>
        <v>0</v>
      </c>
      <c r="AF26" s="1" t="n">
        <f aca="false">COUNTIF(AF3:AF23,"T")</f>
        <v>0</v>
      </c>
      <c r="AG26" s="1" t="n">
        <f aca="false">COUNTIF(AG3:AG23,"T")</f>
        <v>0</v>
      </c>
      <c r="AH26" s="1" t="n">
        <f aca="false">COUNTIF(AH3:AH23,"T")</f>
        <v>0</v>
      </c>
      <c r="AI26" s="1" t="n">
        <f aca="false">COUNTIF(AI3:AI23,"T")</f>
        <v>0</v>
      </c>
      <c r="AJ26" s="1" t="n">
        <f aca="false">COUNTIF(AJ3:AJ23,"T")</f>
        <v>3</v>
      </c>
      <c r="AK26" s="1"/>
      <c r="AL26" s="1" t="n">
        <f aca="false">COUNTIF(AL3:AL23,"T")</f>
        <v>1</v>
      </c>
      <c r="AM26" s="1"/>
      <c r="AN26" s="1" t="n">
        <f aca="false">COUNTIF(AN3:AN23,"T")</f>
        <v>0</v>
      </c>
      <c r="AO26" s="1" t="n">
        <f aca="false">COUNTIF(AO3:AO23,"T")</f>
        <v>3</v>
      </c>
      <c r="AT26" s="1"/>
    </row>
    <row r="27" customFormat="false" ht="15" hidden="false" customHeight="false" outlineLevel="0" collapsed="false">
      <c r="C27" s="1" t="s">
        <v>10</v>
      </c>
      <c r="E27" s="1" t="n">
        <f aca="false">SUM(E24:E26)</f>
        <v>21</v>
      </c>
      <c r="F27" s="1" t="n">
        <f aca="false">SUM(F24:F26)</f>
        <v>18</v>
      </c>
      <c r="H27" s="1" t="n">
        <f aca="false">SUM(H24:H26)</f>
        <v>19</v>
      </c>
      <c r="J27" s="1" t="n">
        <f aca="false">SUM(J24:J26)</f>
        <v>19</v>
      </c>
      <c r="L27" s="1" t="n">
        <f aca="false">SUM(L24:L26)</f>
        <v>19</v>
      </c>
      <c r="N27" s="1" t="n">
        <f aca="false">SUM(N24:N26)</f>
        <v>16</v>
      </c>
      <c r="O27" s="1" t="n">
        <f aca="false">SUM(O24:O26)</f>
        <v>18</v>
      </c>
      <c r="Q27" s="1" t="n">
        <f aca="false">SUM(Q24:Q26)</f>
        <v>20</v>
      </c>
      <c r="S27" s="1" t="n">
        <f aca="false">SUM(S24:S26)</f>
        <v>18</v>
      </c>
      <c r="T27" s="1" t="n">
        <f aca="false">SUM(T24:T26)</f>
        <v>13</v>
      </c>
      <c r="AB27" s="1" t="n">
        <f aca="false">SUM(AB24:AB26)</f>
        <v>17</v>
      </c>
      <c r="AC27" s="1" t="n">
        <f aca="false">SUM(AC24:AC26)</f>
        <v>20</v>
      </c>
      <c r="AE27" s="1" t="n">
        <f aca="false">SUM(AE24:AE26)</f>
        <v>18</v>
      </c>
      <c r="AF27" s="1" t="n">
        <f aca="false">SUM(AF24:AF26)</f>
        <v>16</v>
      </c>
      <c r="AG27" s="1" t="n">
        <f aca="false">SUM(AG24:AG26)</f>
        <v>16</v>
      </c>
      <c r="AH27" s="1" t="n">
        <f aca="false">SUM(AH24:AH26)</f>
        <v>16</v>
      </c>
      <c r="AI27" s="1" t="n">
        <f aca="false">SUM(AI24:AI26)</f>
        <v>17</v>
      </c>
      <c r="AJ27" s="1" t="n">
        <f aca="false">SUM(AJ24:AJ26)</f>
        <v>18</v>
      </c>
      <c r="AK27" s="1"/>
      <c r="AL27" s="1" t="n">
        <f aca="false">SUM(AL24:AL26)</f>
        <v>18</v>
      </c>
      <c r="AM27" s="1"/>
      <c r="AN27" s="1" t="n">
        <f aca="false">SUM(AN24:AN26)</f>
        <v>16</v>
      </c>
      <c r="AO27" s="1" t="n">
        <f aca="false">SUM(AO24:AO26)</f>
        <v>17</v>
      </c>
      <c r="AT27" s="1"/>
    </row>
  </sheetData>
  <conditionalFormatting sqref="AA3:AA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3"/>
  <sheetViews>
    <sheetView showFormulas="false" showGridLines="true" showRowColHeaders="true" showZeros="true" rightToLeft="false" tabSelected="true" showOutlineSymbols="true" defaultGridColor="true" view="normal" topLeftCell="U1" colorId="64" zoomScale="100" zoomScaleNormal="100" zoomScalePageLayoutView="100" workbookViewId="0">
      <selection pane="topLeft" activeCell="AD2" activeCellId="0" sqref="AD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7.45"/>
    <col collapsed="false" customWidth="false" hidden="false" outlineLevel="0" max="7" min="3" style="1" width="9.6"/>
    <col collapsed="false" customWidth="true" hidden="false" outlineLevel="0" max="9" min="8" style="1" width="12.26"/>
    <col collapsed="false" customWidth="false" hidden="false" outlineLevel="0" max="12" min="10" style="1" width="9.6"/>
    <col collapsed="false" customWidth="true" hidden="false" outlineLevel="0" max="13" min="13" style="1" width="10.37"/>
    <col collapsed="false" customWidth="false" hidden="false" outlineLevel="0" max="14" min="14" style="1" width="9.6"/>
    <col collapsed="false" customWidth="true" hidden="false" outlineLevel="0" max="16" min="15" style="1" width="11.91"/>
    <col collapsed="false" customWidth="true" hidden="false" outlineLevel="0" max="18" min="17" style="1" width="15.35"/>
    <col collapsed="false" customWidth="false" hidden="false" outlineLevel="0" max="27" min="19" style="1" width="9.6"/>
    <col collapsed="false" customWidth="true" hidden="false" outlineLevel="0" max="28" min="28" style="1" width="12.16"/>
    <col collapsed="false" customWidth="true" hidden="false" outlineLevel="0" max="30" min="30" style="1" width="15.22"/>
    <col collapsed="false" customWidth="true" hidden="false" outlineLevel="0" max="984" min="984" style="1" width="9.33"/>
    <col collapsed="false" customWidth="true" hidden="false" outlineLevel="0" max="16384" min="16342" style="1" width="10.58"/>
  </cols>
  <sheetData>
    <row r="1" customFormat="false" ht="15" hidden="false" customHeight="false" outlineLevel="0" collapsed="false">
      <c r="B1" s="2"/>
      <c r="K1" s="2" t="s">
        <v>85</v>
      </c>
    </row>
    <row r="2" customFormat="false" ht="15" hidden="false" customHeight="false" outlineLevel="0" collapsed="false">
      <c r="A2" s="1" t="s">
        <v>0</v>
      </c>
      <c r="B2" s="2" t="s">
        <v>2</v>
      </c>
      <c r="C2" s="2" t="s">
        <v>86</v>
      </c>
      <c r="D2" s="2" t="s">
        <v>87</v>
      </c>
      <c r="E2" s="2" t="s">
        <v>88</v>
      </c>
      <c r="F2" s="2" t="s">
        <v>5</v>
      </c>
      <c r="G2" s="2" t="s">
        <v>89</v>
      </c>
      <c r="H2" s="1" t="s">
        <v>90</v>
      </c>
      <c r="I2" s="2" t="s">
        <v>91</v>
      </c>
      <c r="J2" s="2" t="s">
        <v>92</v>
      </c>
      <c r="K2" s="2" t="s">
        <v>93</v>
      </c>
      <c r="L2" s="2" t="s">
        <v>94</v>
      </c>
      <c r="M2" s="2" t="s">
        <v>5</v>
      </c>
      <c r="N2" s="2" t="s">
        <v>95</v>
      </c>
      <c r="O2" s="2" t="s">
        <v>96</v>
      </c>
      <c r="P2" s="2" t="s">
        <v>97</v>
      </c>
      <c r="Q2" s="2" t="s">
        <v>96</v>
      </c>
      <c r="R2" s="2" t="s">
        <v>98</v>
      </c>
      <c r="S2" s="2" t="s">
        <v>99</v>
      </c>
      <c r="T2" s="2" t="s">
        <v>100</v>
      </c>
      <c r="U2" s="2" t="s">
        <v>101</v>
      </c>
      <c r="V2" s="2" t="s">
        <v>102</v>
      </c>
      <c r="W2" s="2" t="s">
        <v>103</v>
      </c>
      <c r="X2" s="2" t="s">
        <v>104</v>
      </c>
      <c r="Y2" s="2" t="s">
        <v>96</v>
      </c>
      <c r="Z2" s="2" t="s">
        <v>11</v>
      </c>
      <c r="AA2" s="2" t="s">
        <v>105</v>
      </c>
      <c r="AB2" s="2" t="s">
        <v>106</v>
      </c>
      <c r="AC2" s="2" t="s">
        <v>107</v>
      </c>
      <c r="AD2" s="2" t="s">
        <v>108</v>
      </c>
      <c r="AE2" s="5" t="s">
        <v>109</v>
      </c>
      <c r="AF2" s="5" t="s">
        <v>110</v>
      </c>
    </row>
    <row r="3" s="1" customFormat="true" ht="15" hidden="false" customHeight="false" outlineLevel="0" collapsed="false">
      <c r="A3" s="1" t="n">
        <v>1</v>
      </c>
      <c r="B3" s="2" t="s">
        <v>13</v>
      </c>
      <c r="C3" s="1" t="n">
        <v>10</v>
      </c>
      <c r="D3" s="1" t="n">
        <v>9</v>
      </c>
      <c r="E3" s="1" t="n">
        <v>4</v>
      </c>
      <c r="F3" s="3" t="n">
        <v>46169</v>
      </c>
      <c r="G3" s="1" t="n">
        <v>4</v>
      </c>
      <c r="I3" s="1" t="n">
        <v>3.75</v>
      </c>
      <c r="J3" s="1" t="n">
        <v>7</v>
      </c>
      <c r="K3" s="4" t="n">
        <f aca="false">ROUND(AVERAGE(C3,D3,E3,G3,I3,J3),0)</f>
        <v>6</v>
      </c>
      <c r="L3" s="4" t="str">
        <f aca="false">IF(K3&gt;6,"TEA",IF(K3&gt;3,"TEP","TED"))</f>
        <v>TEP</v>
      </c>
      <c r="N3" s="1" t="n">
        <v>1</v>
      </c>
      <c r="P3" s="1" t="n">
        <v>1</v>
      </c>
      <c r="R3" s="1" t="n">
        <v>7</v>
      </c>
      <c r="T3" s="1" t="n">
        <v>1</v>
      </c>
      <c r="V3" s="1" t="n">
        <v>1</v>
      </c>
      <c r="W3" s="1" t="n">
        <v>10</v>
      </c>
      <c r="X3" s="1" t="n">
        <v>9</v>
      </c>
      <c r="Z3" s="1" t="n">
        <f aca="false">ROUND(AVERAGE(K3,N3,P3,R3,T3,V3,W3,X3),0)</f>
        <v>5</v>
      </c>
      <c r="AA3" s="4" t="str">
        <f aca="false">IF(Z3&gt;6,"TEA",IF(Z3&gt;3,"TEP","TED"))</f>
        <v>TEP</v>
      </c>
    </row>
    <row r="4" s="1" customFormat="true" ht="15" hidden="false" customHeight="false" outlineLevel="0" collapsed="false">
      <c r="A4" s="1" t="n">
        <v>2</v>
      </c>
      <c r="B4" s="2" t="s">
        <v>19</v>
      </c>
      <c r="C4" s="1" t="n">
        <v>10</v>
      </c>
      <c r="D4" s="1" t="n">
        <v>7</v>
      </c>
      <c r="E4" s="1" t="n">
        <v>9</v>
      </c>
      <c r="G4" s="1" t="n">
        <v>8</v>
      </c>
      <c r="I4" s="1" t="n">
        <v>5.25</v>
      </c>
      <c r="J4" s="1" t="n">
        <v>10</v>
      </c>
      <c r="K4" s="4" t="n">
        <f aca="false">ROUND(AVERAGE(C4,D4,E4,G4,I4,J4),0)</f>
        <v>8</v>
      </c>
      <c r="L4" s="4" t="str">
        <f aca="false">IF(K4&gt;6,"TEA",IF(K4&gt;3,"TEP","TED"))</f>
        <v>TEA</v>
      </c>
      <c r="N4" s="1" t="n">
        <v>10</v>
      </c>
      <c r="P4" s="1" t="n">
        <v>4</v>
      </c>
      <c r="Q4" s="3" t="n">
        <v>46211</v>
      </c>
      <c r="R4" s="1" t="n">
        <v>10</v>
      </c>
      <c r="T4" s="1" t="n">
        <v>1</v>
      </c>
      <c r="V4" s="1" t="n">
        <v>10</v>
      </c>
      <c r="W4" s="1" t="n">
        <v>10</v>
      </c>
      <c r="X4" s="1" t="n">
        <v>1</v>
      </c>
      <c r="Z4" s="1" t="n">
        <f aca="false">ROUND(AVERAGE(K4,N4,P4,R4,T4,V4,W4,X4),0)</f>
        <v>7</v>
      </c>
      <c r="AA4" s="4" t="str">
        <f aca="false">IF(Z4&gt;6,"TEA",IF(Z4&gt;3,"TEP","TED"))</f>
        <v>TEA</v>
      </c>
    </row>
    <row r="5" s="1" customFormat="true" ht="15" hidden="false" customHeight="false" outlineLevel="0" collapsed="false">
      <c r="A5" s="1" t="n">
        <v>3</v>
      </c>
      <c r="B5" s="2" t="s">
        <v>22</v>
      </c>
      <c r="C5" s="1" t="n">
        <v>7</v>
      </c>
      <c r="D5" s="1" t="n">
        <v>9</v>
      </c>
      <c r="E5" s="1" t="n">
        <v>7</v>
      </c>
      <c r="F5" s="3" t="n">
        <v>46169</v>
      </c>
      <c r="G5" s="1" t="n">
        <v>4</v>
      </c>
      <c r="H5" s="3" t="n">
        <v>46169</v>
      </c>
      <c r="I5" s="1" t="n">
        <v>5</v>
      </c>
      <c r="J5" s="1" t="n">
        <v>9</v>
      </c>
      <c r="K5" s="4" t="n">
        <f aca="false">ROUND(AVERAGE(C5,D5,E5,G5,I5,J5),0)</f>
        <v>7</v>
      </c>
      <c r="L5" s="4" t="str">
        <f aca="false">IF(K5&gt;6,"TEA",IF(K5&gt;3,"TEP","TED"))</f>
        <v>TEA</v>
      </c>
      <c r="N5" s="1" t="n">
        <v>10</v>
      </c>
      <c r="P5" s="1" t="n">
        <v>7</v>
      </c>
      <c r="Q5" s="11" t="n">
        <v>46220</v>
      </c>
      <c r="R5" s="1" t="n">
        <v>8</v>
      </c>
      <c r="T5" s="1" t="n">
        <v>1</v>
      </c>
      <c r="V5" s="1" t="n">
        <v>1</v>
      </c>
      <c r="W5" s="1" t="n">
        <v>10</v>
      </c>
      <c r="X5" s="1" t="n">
        <v>7</v>
      </c>
      <c r="Y5" s="3" t="n">
        <v>46220</v>
      </c>
      <c r="Z5" s="1" t="n">
        <f aca="false">ROUND(AVERAGE(K5,N5,P5,R5,T5,V5,W5,X5),0)</f>
        <v>6</v>
      </c>
      <c r="AA5" s="4" t="str">
        <f aca="false">IF(Z5&gt;6,"TEA",IF(Z5&gt;3,"TEP","TED"))</f>
        <v>TEP</v>
      </c>
    </row>
    <row r="6" s="1" customFormat="true" ht="15" hidden="false" customHeight="false" outlineLevel="0" collapsed="false">
      <c r="A6" s="1" t="n">
        <v>4</v>
      </c>
      <c r="B6" s="2" t="s">
        <v>26</v>
      </c>
      <c r="C6" s="1" t="n">
        <v>10</v>
      </c>
      <c r="D6" s="1" t="n">
        <v>10</v>
      </c>
      <c r="E6" s="1" t="n">
        <v>8</v>
      </c>
      <c r="G6" s="1" t="n">
        <v>9</v>
      </c>
      <c r="I6" s="1" t="n">
        <v>9.25</v>
      </c>
      <c r="J6" s="1" t="n">
        <v>10</v>
      </c>
      <c r="K6" s="4" t="n">
        <f aca="false">ROUND(AVERAGE(C6,D6,E6,G6,I6,J6),0)</f>
        <v>9</v>
      </c>
      <c r="L6" s="4" t="str">
        <f aca="false">IF(K6&gt;6,"TEA",IF(K6&gt;3,"TEP","TED"))</f>
        <v>TEA</v>
      </c>
      <c r="N6" s="1" t="n">
        <v>10</v>
      </c>
      <c r="P6" s="1" t="n">
        <v>9</v>
      </c>
      <c r="R6" s="1" t="n">
        <v>10</v>
      </c>
      <c r="T6" s="1" t="n">
        <v>10</v>
      </c>
      <c r="V6" s="1" t="n">
        <v>10</v>
      </c>
      <c r="W6" s="1" t="n">
        <v>10</v>
      </c>
      <c r="X6" s="1" t="n">
        <v>10</v>
      </c>
      <c r="Z6" s="1" t="n">
        <f aca="false">ROUND(AVERAGE(K6,N6,P6,R6,T6,V6,W6,X6),0)</f>
        <v>10</v>
      </c>
      <c r="AA6" s="4" t="str">
        <f aca="false">IF(Z6&gt;6,"TEA",IF(Z6&gt;3,"TEP","TED"))</f>
        <v>TEA</v>
      </c>
    </row>
    <row r="7" s="1" customFormat="true" ht="15" hidden="false" customHeight="false" outlineLevel="0" collapsed="false">
      <c r="A7" s="1" t="n">
        <v>5</v>
      </c>
      <c r="B7" s="2" t="s">
        <v>29</v>
      </c>
      <c r="C7" s="1" t="n">
        <v>10</v>
      </c>
      <c r="D7" s="1" t="n">
        <v>7</v>
      </c>
      <c r="E7" s="2" t="n">
        <v>1</v>
      </c>
      <c r="F7" s="2"/>
      <c r="G7" s="1" t="n">
        <v>7</v>
      </c>
      <c r="I7" s="1" t="n">
        <v>7.75</v>
      </c>
      <c r="J7" s="1" t="n">
        <v>6</v>
      </c>
      <c r="K7" s="4" t="n">
        <f aca="false">ROUND(AVERAGE(C7,D7,E7,G7,I7,J7),0)</f>
        <v>6</v>
      </c>
      <c r="L7" s="4" t="str">
        <f aca="false">IF(K7&gt;6,"TEA",IF(K7&gt;3,"TEP","TED"))</f>
        <v>TEP</v>
      </c>
      <c r="N7" s="1" t="n">
        <v>6</v>
      </c>
      <c r="O7" s="3" t="n">
        <v>46211</v>
      </c>
      <c r="P7" s="1" t="n">
        <v>4</v>
      </c>
      <c r="Q7" s="3" t="n">
        <v>46211</v>
      </c>
      <c r="R7" s="1" t="n">
        <v>7</v>
      </c>
      <c r="S7" s="3" t="n">
        <v>46211</v>
      </c>
      <c r="T7" s="1" t="n">
        <v>6</v>
      </c>
      <c r="U7" s="3" t="n">
        <v>46211</v>
      </c>
      <c r="V7" s="1" t="n">
        <v>10</v>
      </c>
      <c r="W7" s="1" t="n">
        <v>10</v>
      </c>
      <c r="X7" s="1" t="n">
        <v>7</v>
      </c>
      <c r="Y7" s="3" t="n">
        <v>46211</v>
      </c>
      <c r="Z7" s="1" t="n">
        <f aca="false">ROUND(AVERAGE(K7,N7,P7,R7,T7,V7,W7,X7),0)</f>
        <v>7</v>
      </c>
      <c r="AA7" s="4" t="str">
        <f aca="false">IF(Z7&gt;6,"TEA",IF(Z7&gt;3,"TEP","TED"))</f>
        <v>TEA</v>
      </c>
    </row>
    <row r="8" s="2" customFormat="true" ht="15" hidden="false" customHeight="false" outlineLevel="0" collapsed="false">
      <c r="A8" s="1" t="n">
        <v>6</v>
      </c>
      <c r="B8" s="2" t="s">
        <v>32</v>
      </c>
      <c r="C8" s="2" t="n">
        <v>8</v>
      </c>
      <c r="D8" s="1" t="n">
        <v>9</v>
      </c>
      <c r="E8" s="1" t="n">
        <v>9</v>
      </c>
      <c r="F8" s="3" t="n">
        <v>46151</v>
      </c>
      <c r="G8" s="1" t="n">
        <v>9</v>
      </c>
      <c r="H8" s="3" t="n">
        <v>46157</v>
      </c>
      <c r="I8" s="2" t="n">
        <v>9.25</v>
      </c>
      <c r="J8" s="2" t="n">
        <v>10</v>
      </c>
      <c r="K8" s="4" t="n">
        <f aca="false">ROUND(AVERAGE(C8,D8,E8,G8,I8,J8),0)</f>
        <v>9</v>
      </c>
      <c r="L8" s="4" t="str">
        <f aca="false">IF(K8&gt;6,"TEA",IF(K8&gt;3,"TEP","TED"))</f>
        <v>TEA</v>
      </c>
      <c r="N8" s="1" t="n">
        <v>10</v>
      </c>
      <c r="O8" s="1"/>
      <c r="P8" s="1" t="n">
        <v>6</v>
      </c>
      <c r="Q8" s="3" t="n">
        <v>46211</v>
      </c>
      <c r="R8" s="2" t="n">
        <v>10</v>
      </c>
      <c r="T8" s="2" t="n">
        <v>1</v>
      </c>
      <c r="V8" s="2" t="n">
        <v>10</v>
      </c>
      <c r="W8" s="1" t="n">
        <v>10</v>
      </c>
      <c r="X8" s="1" t="n">
        <v>9</v>
      </c>
      <c r="Y8" s="1"/>
      <c r="Z8" s="1" t="n">
        <f aca="false">ROUND(AVERAGE(K8,N8,P8,R8,T8,V8,W8,X8),0)</f>
        <v>8</v>
      </c>
      <c r="AA8" s="4" t="str">
        <f aca="false">IF(Z8&gt;6,"TEA",IF(Z8&gt;3,"TEP","TED"))</f>
        <v>TEA</v>
      </c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AMQ8" s="1"/>
      <c r="AMR8" s="1"/>
      <c r="AMS8" s="1"/>
      <c r="AMT8" s="1"/>
      <c r="AMU8" s="1"/>
      <c r="AMV8" s="1"/>
      <c r="AMW8" s="1"/>
      <c r="AMX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1" customFormat="true" ht="15" hidden="false" customHeight="false" outlineLevel="0" collapsed="false">
      <c r="A9" s="1" t="n">
        <v>7</v>
      </c>
      <c r="B9" s="2" t="s">
        <v>36</v>
      </c>
      <c r="C9" s="1" t="n">
        <v>10</v>
      </c>
      <c r="D9" s="2" t="n">
        <v>7</v>
      </c>
      <c r="E9" s="2" t="n">
        <v>7</v>
      </c>
      <c r="F9" s="2"/>
      <c r="G9" s="1" t="n">
        <v>5</v>
      </c>
      <c r="I9" s="1" t="n">
        <v>6.5</v>
      </c>
      <c r="J9" s="1" t="n">
        <v>9</v>
      </c>
      <c r="K9" s="4" t="n">
        <f aca="false">ROUND(AVERAGE(C9,D9,E9,G9,I9,J9),0)</f>
        <v>7</v>
      </c>
      <c r="L9" s="4" t="str">
        <f aca="false">IF(K9&gt;6,"TEA",IF(K9&gt;3,"TEP","TED"))</f>
        <v>TEA</v>
      </c>
      <c r="N9" s="1" t="n">
        <v>10</v>
      </c>
      <c r="P9" s="1" t="n">
        <v>8</v>
      </c>
      <c r="R9" s="1" t="n">
        <v>8</v>
      </c>
      <c r="T9" s="1" t="n">
        <v>6</v>
      </c>
      <c r="U9" s="3" t="n">
        <v>46211</v>
      </c>
      <c r="V9" s="1" t="n">
        <v>10</v>
      </c>
      <c r="W9" s="1" t="n">
        <v>10</v>
      </c>
      <c r="X9" s="1" t="n">
        <v>1</v>
      </c>
      <c r="Z9" s="1" t="n">
        <f aca="false">ROUND(AVERAGE(K9,N9,P9,R9,T9,V9,W9,X9),0)</f>
        <v>8</v>
      </c>
      <c r="AA9" s="4" t="str">
        <f aca="false">IF(Z9&gt;6,"TEA",IF(Z9&gt;3,"TEP","TED"))</f>
        <v>TEA</v>
      </c>
    </row>
    <row r="10" s="1" customFormat="true" ht="15" hidden="false" customHeight="false" outlineLevel="0" collapsed="false">
      <c r="A10" s="1" t="n">
        <v>8</v>
      </c>
      <c r="B10" s="2" t="s">
        <v>39</v>
      </c>
      <c r="C10" s="1" t="n">
        <v>10</v>
      </c>
      <c r="D10" s="1" t="n">
        <v>10</v>
      </c>
      <c r="E10" s="1" t="n">
        <v>10</v>
      </c>
      <c r="G10" s="1" t="n">
        <v>10</v>
      </c>
      <c r="I10" s="1" t="n">
        <v>9.75</v>
      </c>
      <c r="J10" s="1" t="n">
        <v>10</v>
      </c>
      <c r="K10" s="4" t="n">
        <f aca="false">ROUND(AVERAGE(C10,D10,E10,G10,I10,J10),0)</f>
        <v>10</v>
      </c>
      <c r="L10" s="4" t="str">
        <f aca="false">IF(K10&gt;6,"TEA",IF(K10&gt;3,"TEP","TED"))</f>
        <v>TEA</v>
      </c>
      <c r="N10" s="1" t="n">
        <v>10</v>
      </c>
      <c r="P10" s="1" t="n">
        <v>8</v>
      </c>
      <c r="R10" s="1" t="n">
        <v>8</v>
      </c>
      <c r="T10" s="1" t="n">
        <v>10</v>
      </c>
      <c r="V10" s="1" t="n">
        <v>10</v>
      </c>
      <c r="W10" s="1" t="n">
        <v>10</v>
      </c>
      <c r="X10" s="1" t="n">
        <v>10</v>
      </c>
      <c r="Z10" s="1" t="n">
        <f aca="false">ROUND(AVERAGE(K10,N10,P10,R10,T10,V10,W10,X10),0)</f>
        <v>10</v>
      </c>
      <c r="AA10" s="4" t="str">
        <f aca="false">IF(Z10&gt;6,"TEA",IF(Z10&gt;3,"TEP","TED"))</f>
        <v>TEA</v>
      </c>
    </row>
    <row r="11" s="1" customFormat="true" ht="15" hidden="false" customHeight="false" outlineLevel="0" collapsed="false">
      <c r="A11" s="1" t="n">
        <v>9</v>
      </c>
      <c r="B11" s="2" t="s">
        <v>42</v>
      </c>
      <c r="C11" s="1" t="n">
        <v>8</v>
      </c>
      <c r="D11" s="1" t="n">
        <v>9</v>
      </c>
      <c r="E11" s="1" t="n">
        <v>3</v>
      </c>
      <c r="G11" s="1" t="n">
        <v>8</v>
      </c>
      <c r="I11" s="1" t="n">
        <v>4.25</v>
      </c>
      <c r="J11" s="1" t="n">
        <v>8</v>
      </c>
      <c r="K11" s="4" t="n">
        <f aca="false">ROUND(AVERAGE(C11,D11,E11,G11,I11,J11),0)</f>
        <v>7</v>
      </c>
      <c r="L11" s="4" t="str">
        <f aca="false">IF(K11&gt;6,"TEA",IF(K11&gt;3,"TEP","TED"))</f>
        <v>TEA</v>
      </c>
      <c r="N11" s="1" t="n">
        <v>9</v>
      </c>
      <c r="P11" s="1" t="n">
        <v>7</v>
      </c>
      <c r="Q11" s="3" t="n">
        <v>46211</v>
      </c>
      <c r="R11" s="1" t="n">
        <v>9</v>
      </c>
      <c r="T11" s="1" t="n">
        <v>7</v>
      </c>
      <c r="V11" s="1" t="n">
        <v>10</v>
      </c>
      <c r="W11" s="1" t="n">
        <v>10</v>
      </c>
      <c r="X11" s="1" t="n">
        <v>9</v>
      </c>
      <c r="Z11" s="1" t="n">
        <f aca="false">ROUND(AVERAGE(K11,N11,P11,R11,T11,V11,W11,X11),0)</f>
        <v>9</v>
      </c>
      <c r="AA11" s="4" t="str">
        <f aca="false">IF(Z11&gt;6,"TEA",IF(Z11&gt;3,"TEP","TED"))</f>
        <v>TEA</v>
      </c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  <c r="XEM11" s="2"/>
      <c r="XEN11" s="2"/>
      <c r="XEO11" s="2"/>
      <c r="XEP11" s="2"/>
      <c r="XEQ11" s="2"/>
      <c r="XER11" s="2"/>
      <c r="XES11" s="2"/>
      <c r="XET11" s="2"/>
      <c r="XEU11" s="2"/>
      <c r="XEV11" s="2"/>
      <c r="XEW11" s="2"/>
      <c r="XEX11" s="2"/>
      <c r="XEY11" s="2"/>
      <c r="XEZ11" s="2"/>
      <c r="XFA11" s="2"/>
      <c r="XFB11" s="2"/>
      <c r="XFC11" s="2"/>
      <c r="XFD11" s="2"/>
    </row>
    <row r="12" s="2" customFormat="true" ht="15" hidden="false" customHeight="false" outlineLevel="0" collapsed="false">
      <c r="A12" s="1" t="n">
        <v>10</v>
      </c>
      <c r="B12" s="2" t="s">
        <v>45</v>
      </c>
      <c r="C12" s="2" t="n">
        <v>10</v>
      </c>
      <c r="D12" s="2" t="n">
        <v>8</v>
      </c>
      <c r="E12" s="1" t="n">
        <v>5</v>
      </c>
      <c r="F12" s="3" t="n">
        <v>46169</v>
      </c>
      <c r="G12" s="1" t="n">
        <v>4</v>
      </c>
      <c r="H12" s="3" t="n">
        <v>46169</v>
      </c>
      <c r="I12" s="2" t="n">
        <v>4.75</v>
      </c>
      <c r="J12" s="2" t="n">
        <v>10</v>
      </c>
      <c r="K12" s="4" t="n">
        <f aca="false">ROUND(AVERAGE(C12,D12,E12,G12,I12,J12),0)</f>
        <v>7</v>
      </c>
      <c r="L12" s="4" t="str">
        <f aca="false">IF(K12&gt;6,"TEA",IF(K12&gt;3,"TEP","TED"))</f>
        <v>TEA</v>
      </c>
      <c r="N12" s="1" t="n">
        <v>9</v>
      </c>
      <c r="O12" s="1"/>
      <c r="P12" s="1" t="n">
        <v>7</v>
      </c>
      <c r="Q12" s="3" t="n">
        <v>46211</v>
      </c>
      <c r="R12" s="2" t="n">
        <v>8</v>
      </c>
      <c r="T12" s="2" t="n">
        <v>1</v>
      </c>
      <c r="V12" s="2" t="n">
        <v>10</v>
      </c>
      <c r="W12" s="1" t="n">
        <v>10</v>
      </c>
      <c r="X12" s="1" t="n">
        <v>9</v>
      </c>
      <c r="Y12" s="1"/>
      <c r="Z12" s="1" t="n">
        <f aca="false">ROUND(AVERAGE(K12,N12,P12,R12,T12,V12,W12,X12),0)</f>
        <v>8</v>
      </c>
      <c r="AA12" s="4" t="str">
        <f aca="false">IF(Z12&gt;6,"TEA",IF(Z12&gt;3,"TEP","TED"))</f>
        <v>TEA</v>
      </c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  <c r="AMN12" s="1"/>
      <c r="AMO12" s="1"/>
      <c r="AMP12" s="1"/>
      <c r="AMQ12" s="1"/>
      <c r="AMR12" s="1"/>
      <c r="AMS12" s="1"/>
      <c r="AMT12" s="1"/>
      <c r="AMU12" s="1"/>
      <c r="AMV12" s="1"/>
      <c r="AMW12" s="1"/>
      <c r="AMX12" s="1"/>
      <c r="XDN12" s="1"/>
      <c r="XDO12" s="1"/>
      <c r="XDP12" s="1"/>
      <c r="XDQ12" s="1"/>
      <c r="XDR12" s="1"/>
      <c r="XDS12" s="1"/>
      <c r="XDT12" s="1"/>
      <c r="XDU12" s="1"/>
      <c r="XDV12" s="1"/>
      <c r="XDW12" s="1"/>
      <c r="XDX12" s="1"/>
      <c r="XDY12" s="1"/>
      <c r="XDZ12" s="1"/>
      <c r="XEA12" s="1"/>
      <c r="XEB12" s="1"/>
      <c r="XEC12" s="1"/>
      <c r="XED12" s="1"/>
      <c r="XEE12" s="1"/>
      <c r="XEF12" s="1"/>
      <c r="XEG12" s="1"/>
      <c r="XEH12" s="1"/>
      <c r="XEI12" s="1"/>
      <c r="XEJ12" s="1"/>
      <c r="XEK12" s="1"/>
      <c r="XEL12" s="1"/>
      <c r="XEM12" s="1"/>
      <c r="XEN12" s="1"/>
      <c r="XEO12" s="1"/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1" customFormat="true" ht="15" hidden="false" customHeight="false" outlineLevel="0" collapsed="false">
      <c r="A13" s="1" t="n">
        <v>11</v>
      </c>
      <c r="B13" s="2" t="s">
        <v>48</v>
      </c>
      <c r="C13" s="1" t="n">
        <v>10</v>
      </c>
      <c r="D13" s="2" t="n">
        <v>9</v>
      </c>
      <c r="E13" s="1" t="n">
        <v>7</v>
      </c>
      <c r="G13" s="1" t="n">
        <v>7</v>
      </c>
      <c r="I13" s="1" t="n">
        <v>8.75</v>
      </c>
      <c r="J13" s="1" t="n">
        <v>10</v>
      </c>
      <c r="K13" s="4" t="n">
        <f aca="false">ROUND(AVERAGE(C13,D13,E13,G13,I13,J13),0)</f>
        <v>9</v>
      </c>
      <c r="L13" s="4" t="str">
        <f aca="false">IF(K13&gt;6,"TEA",IF(K13&gt;3,"TEP","TED"))</f>
        <v>TEA</v>
      </c>
      <c r="N13" s="1" t="n">
        <v>10</v>
      </c>
      <c r="P13" s="1" t="n">
        <v>8</v>
      </c>
      <c r="R13" s="1" t="n">
        <v>10</v>
      </c>
      <c r="T13" s="1" t="n">
        <v>1</v>
      </c>
      <c r="V13" s="1" t="n">
        <v>10</v>
      </c>
      <c r="W13" s="1" t="n">
        <v>10</v>
      </c>
      <c r="X13" s="1" t="n">
        <v>9</v>
      </c>
      <c r="Z13" s="1" t="n">
        <f aca="false">ROUND(AVERAGE(K13,N13,P13,R13,T13,V13,W13,X13),0)</f>
        <v>8</v>
      </c>
      <c r="AA13" s="4" t="str">
        <f aca="false">IF(Z13&gt;6,"TEA",IF(Z13&gt;3,"TEP","TED"))</f>
        <v>TEA</v>
      </c>
    </row>
    <row r="14" s="1" customFormat="true" ht="15" hidden="false" customHeight="false" outlineLevel="0" collapsed="false">
      <c r="A14" s="1" t="n">
        <v>12</v>
      </c>
      <c r="B14" s="2" t="s">
        <v>51</v>
      </c>
      <c r="C14" s="1" t="n">
        <v>10</v>
      </c>
      <c r="D14" s="1" t="n">
        <v>9</v>
      </c>
      <c r="E14" s="1" t="n">
        <v>9</v>
      </c>
      <c r="G14" s="1" t="n">
        <v>9</v>
      </c>
      <c r="I14" s="1" t="n">
        <v>8.5</v>
      </c>
      <c r="J14" s="1" t="n">
        <v>10</v>
      </c>
      <c r="K14" s="4" t="n">
        <f aca="false">ROUND(AVERAGE(C14,D14,E14,G14,I14,J14),0)</f>
        <v>9</v>
      </c>
      <c r="L14" s="4" t="str">
        <f aca="false">IF(K14&gt;6,"TEA",IF(K14&gt;3,"TEP","TED"))</f>
        <v>TEA</v>
      </c>
      <c r="N14" s="1" t="n">
        <v>10</v>
      </c>
      <c r="P14" s="1" t="n">
        <v>9</v>
      </c>
      <c r="R14" s="1" t="n">
        <v>10</v>
      </c>
      <c r="T14" s="1" t="n">
        <v>10</v>
      </c>
      <c r="V14" s="1" t="n">
        <v>10</v>
      </c>
      <c r="W14" s="1" t="n">
        <v>10</v>
      </c>
      <c r="X14" s="1" t="n">
        <v>10</v>
      </c>
      <c r="Z14" s="1" t="n">
        <f aca="false">ROUND(AVERAGE(K14,N14,P14,R14,T14,V14,W14,X14),0)</f>
        <v>10</v>
      </c>
      <c r="AA14" s="4" t="str">
        <f aca="false">IF(Z14&gt;6,"TEA",IF(Z14&gt;3,"TEP","TED"))</f>
        <v>TEA</v>
      </c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  <c r="XEM14" s="2"/>
      <c r="XEN14" s="2"/>
      <c r="XEO14" s="2"/>
      <c r="XEP14" s="2"/>
      <c r="XEQ14" s="2"/>
      <c r="XER14" s="2"/>
      <c r="XES14" s="2"/>
      <c r="XET14" s="2"/>
      <c r="XEU14" s="2"/>
      <c r="XEV14" s="2"/>
      <c r="XEW14" s="2"/>
      <c r="XEX14" s="2"/>
      <c r="XEY14" s="2"/>
      <c r="XEZ14" s="2"/>
      <c r="XFA14" s="2"/>
      <c r="XFB14" s="2"/>
      <c r="XFC14" s="2"/>
      <c r="XFD14" s="2"/>
    </row>
    <row r="15" s="2" customFormat="true" ht="15" hidden="false" customHeight="false" outlineLevel="0" collapsed="false">
      <c r="A15" s="1" t="n">
        <v>13</v>
      </c>
      <c r="B15" s="2" t="s">
        <v>54</v>
      </c>
      <c r="C15" s="2" t="n">
        <v>9</v>
      </c>
      <c r="D15" s="1" t="n">
        <v>7</v>
      </c>
      <c r="E15" s="1" t="n">
        <v>4</v>
      </c>
      <c r="F15" s="3" t="n">
        <v>46169</v>
      </c>
      <c r="G15" s="1" t="n">
        <v>1</v>
      </c>
      <c r="H15" s="1"/>
      <c r="I15" s="2" t="n">
        <v>4.5</v>
      </c>
      <c r="J15" s="2" t="n">
        <v>9</v>
      </c>
      <c r="K15" s="4" t="n">
        <f aca="false">ROUND(AVERAGE(C15,D15,E15,G15,I15,J15),0)</f>
        <v>6</v>
      </c>
      <c r="L15" s="4" t="str">
        <f aca="false">IF(K15&gt;6,"TEA",IF(K15&gt;3,"TEP","TED"))</f>
        <v>TEP</v>
      </c>
      <c r="N15" s="1" t="n">
        <v>5</v>
      </c>
      <c r="O15" s="3" t="n">
        <v>46211</v>
      </c>
      <c r="P15" s="1" t="n">
        <v>5</v>
      </c>
      <c r="Q15" s="3" t="n">
        <v>46211</v>
      </c>
      <c r="R15" s="2" t="n">
        <v>1</v>
      </c>
      <c r="T15" s="2" t="n">
        <v>1</v>
      </c>
      <c r="V15" s="2" t="n">
        <v>1</v>
      </c>
      <c r="W15" s="2" t="n">
        <v>1</v>
      </c>
      <c r="X15" s="1" t="n">
        <v>1</v>
      </c>
      <c r="Y15" s="1"/>
      <c r="Z15" s="1" t="n">
        <f aca="false">ROUND(AVERAGE(K15,N15,P15,R15,T15,V15,W15,X15),0)</f>
        <v>3</v>
      </c>
      <c r="AA15" s="4" t="str">
        <f aca="false">IF(Z15&gt;6,"TEA",IF(Z15&gt;3,"TEP","TED"))</f>
        <v>TED</v>
      </c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" hidden="false" customHeight="false" outlineLevel="0" collapsed="false">
      <c r="A16" s="1" t="n">
        <v>14</v>
      </c>
      <c r="B16" s="2" t="s">
        <v>57</v>
      </c>
      <c r="C16" s="1" t="n">
        <v>10</v>
      </c>
      <c r="D16" s="2" t="n">
        <v>7</v>
      </c>
      <c r="E16" s="1" t="n">
        <v>9</v>
      </c>
      <c r="G16" s="1" t="n">
        <v>7</v>
      </c>
      <c r="I16" s="1" t="n">
        <v>8.25</v>
      </c>
      <c r="J16" s="1" t="n">
        <v>10</v>
      </c>
      <c r="K16" s="4" t="n">
        <f aca="false">ROUND(AVERAGE(C16,D16,E16,G16,I16,J16),0)</f>
        <v>9</v>
      </c>
      <c r="L16" s="4" t="str">
        <f aca="false">IF(K16&gt;6,"TEA",IF(K16&gt;3,"TEP","TED"))</f>
        <v>TEA</v>
      </c>
      <c r="N16" s="1" t="n">
        <v>10</v>
      </c>
      <c r="P16" s="1" t="n">
        <v>9</v>
      </c>
      <c r="R16" s="1" t="n">
        <v>9</v>
      </c>
      <c r="T16" s="1" t="n">
        <v>10</v>
      </c>
      <c r="V16" s="1" t="n">
        <v>10</v>
      </c>
      <c r="W16" s="1" t="n">
        <v>10</v>
      </c>
      <c r="X16" s="1" t="n">
        <v>10</v>
      </c>
      <c r="Z16" s="1" t="n">
        <f aca="false">ROUND(AVERAGE(K16,N16,P16,R16,T16,V16,W16,X16),0)</f>
        <v>10</v>
      </c>
      <c r="AA16" s="4" t="str">
        <f aca="false">IF(Z16&gt;6,"TEA",IF(Z16&gt;3,"TEP","TED"))</f>
        <v>TEA</v>
      </c>
    </row>
    <row r="17" s="1" customFormat="true" ht="15" hidden="false" customHeight="false" outlineLevel="0" collapsed="false">
      <c r="A17" s="1" t="n">
        <v>15</v>
      </c>
      <c r="B17" s="2" t="s">
        <v>60</v>
      </c>
      <c r="C17" s="1" t="n">
        <v>10</v>
      </c>
      <c r="D17" s="1" t="n">
        <v>7</v>
      </c>
      <c r="E17" s="1" t="n">
        <v>9</v>
      </c>
      <c r="F17" s="3" t="n">
        <v>46151</v>
      </c>
      <c r="G17" s="1" t="n">
        <v>5</v>
      </c>
      <c r="I17" s="1" t="n">
        <v>7.75</v>
      </c>
      <c r="J17" s="1" t="n">
        <v>10</v>
      </c>
      <c r="K17" s="4" t="n">
        <f aca="false">ROUND(AVERAGE(C17,D17,E17,G17,I17,J17),0)</f>
        <v>8</v>
      </c>
      <c r="L17" s="4" t="str">
        <f aca="false">IF(K17&gt;6,"TEA",IF(K17&gt;3,"TEP","TED"))</f>
        <v>TEA</v>
      </c>
      <c r="N17" s="1" t="n">
        <v>10</v>
      </c>
      <c r="P17" s="1" t="n">
        <v>5</v>
      </c>
      <c r="R17" s="1" t="n">
        <v>8</v>
      </c>
      <c r="T17" s="1" t="n">
        <v>1</v>
      </c>
      <c r="V17" s="1" t="n">
        <v>10</v>
      </c>
      <c r="W17" s="1" t="n">
        <v>10</v>
      </c>
      <c r="X17" s="1" t="n">
        <v>1</v>
      </c>
      <c r="Z17" s="1" t="n">
        <f aca="false">ROUND(AVERAGE(K17,N17,P17,R17,T17,V17,W17,X17),0)</f>
        <v>7</v>
      </c>
      <c r="AA17" s="4" t="str">
        <f aca="false">IF(Z17&gt;6,"TEA",IF(Z17&gt;3,"TEP","TED"))</f>
        <v>TEA</v>
      </c>
      <c r="XDN17" s="8"/>
      <c r="XDO17" s="8"/>
      <c r="XDP17" s="8"/>
      <c r="XDQ17" s="8"/>
      <c r="XDR17" s="8"/>
      <c r="XDS17" s="8"/>
      <c r="XDT17" s="8"/>
      <c r="XDU17" s="8"/>
      <c r="XDV17" s="8"/>
      <c r="XDW17" s="8"/>
      <c r="XDX17" s="8"/>
      <c r="XDY17" s="8"/>
      <c r="XDZ17" s="8"/>
      <c r="XEA17" s="8"/>
      <c r="XEB17" s="8"/>
      <c r="XEC17" s="8"/>
      <c r="XED17" s="8"/>
      <c r="XEE17" s="8"/>
      <c r="XEF17" s="8"/>
      <c r="XEG17" s="8"/>
      <c r="XEH17" s="8"/>
      <c r="XEI17" s="8"/>
      <c r="XEJ17" s="8"/>
      <c r="XEK17" s="8"/>
      <c r="XEL17" s="8"/>
      <c r="XEM17" s="8"/>
      <c r="XEN17" s="8"/>
      <c r="XEO17" s="8"/>
      <c r="XEP17" s="8"/>
      <c r="XEQ17" s="8"/>
      <c r="XER17" s="8"/>
      <c r="XES17" s="8"/>
      <c r="XET17" s="8"/>
      <c r="XEU17" s="8"/>
      <c r="XEV17" s="8"/>
      <c r="XEW17" s="8"/>
      <c r="XEX17" s="8"/>
      <c r="XEY17" s="8"/>
      <c r="XEZ17" s="8"/>
      <c r="XFA17" s="8"/>
      <c r="XFB17" s="8"/>
      <c r="XFC17" s="8"/>
      <c r="XFD17" s="8"/>
    </row>
    <row r="18" s="8" customFormat="true" ht="15" hidden="false" customHeight="false" outlineLevel="0" collapsed="false">
      <c r="A18" s="9" t="n">
        <v>16</v>
      </c>
      <c r="B18" s="8" t="s">
        <v>111</v>
      </c>
      <c r="C18" s="8" t="n">
        <v>1</v>
      </c>
      <c r="D18" s="9" t="n">
        <v>1</v>
      </c>
      <c r="E18" s="9" t="n">
        <v>1</v>
      </c>
      <c r="F18" s="9"/>
      <c r="G18" s="9" t="n">
        <v>1</v>
      </c>
      <c r="H18" s="9"/>
      <c r="I18" s="8" t="n">
        <v>1</v>
      </c>
      <c r="J18" s="8" t="n">
        <v>3</v>
      </c>
      <c r="K18" s="10" t="n">
        <f aca="false">ROUND(AVERAGE(C18,D18,E18,G18,I18,J18),0)</f>
        <v>1</v>
      </c>
      <c r="L18" s="10" t="str">
        <f aca="false">IF(K18&gt;6,"TEA",IF(K18&gt;3,"TEP","TED"))</f>
        <v>TED</v>
      </c>
      <c r="M18" s="8" t="s">
        <v>67</v>
      </c>
      <c r="N18" s="9" t="n">
        <v>1</v>
      </c>
      <c r="O18" s="9"/>
      <c r="P18" s="9" t="n">
        <v>1</v>
      </c>
      <c r="Q18" s="9"/>
      <c r="R18" s="8" t="n">
        <v>1</v>
      </c>
      <c r="T18" s="8" t="n">
        <v>1</v>
      </c>
      <c r="V18" s="8" t="n">
        <v>1</v>
      </c>
      <c r="W18" s="8" t="n">
        <v>1</v>
      </c>
      <c r="X18" s="1" t="n">
        <v>1</v>
      </c>
      <c r="Y18" s="1"/>
      <c r="Z18" s="1" t="n">
        <f aca="false">ROUND(AVERAGE(K18,N18,P18,R18,T18,V18,W18,X18),0)</f>
        <v>1</v>
      </c>
      <c r="AA18" s="4" t="str">
        <f aca="false">IF(Z18&gt;6,"TEA",IF(Z18&gt;3,"TEP","TED"))</f>
        <v>TED</v>
      </c>
      <c r="AKV18" s="9"/>
      <c r="AKW18" s="9"/>
      <c r="AKX18" s="9"/>
      <c r="AKY18" s="9"/>
      <c r="AKZ18" s="9"/>
      <c r="ALA18" s="9"/>
      <c r="ALB18" s="9"/>
      <c r="ALC18" s="9"/>
      <c r="ALD18" s="9"/>
      <c r="ALE18" s="9"/>
      <c r="ALF18" s="9"/>
      <c r="ALG18" s="9"/>
      <c r="ALH18" s="9"/>
      <c r="ALI18" s="9"/>
      <c r="ALJ18" s="9"/>
      <c r="ALK18" s="9"/>
      <c r="ALL18" s="9"/>
      <c r="ALM18" s="9"/>
      <c r="ALN18" s="9"/>
      <c r="ALO18" s="9"/>
      <c r="ALP18" s="9"/>
      <c r="ALQ18" s="9"/>
      <c r="ALR18" s="9"/>
      <c r="ALS18" s="9"/>
      <c r="ALT18" s="9"/>
      <c r="ALU18" s="9"/>
      <c r="ALV18" s="9"/>
      <c r="ALW18" s="9"/>
      <c r="ALX18" s="9"/>
      <c r="ALY18" s="9"/>
      <c r="ALZ18" s="9"/>
      <c r="AMA18" s="9"/>
      <c r="AMB18" s="9"/>
      <c r="AMC18" s="9"/>
      <c r="AMD18" s="9"/>
      <c r="AME18" s="9"/>
      <c r="AMF18" s="9"/>
      <c r="AMG18" s="9"/>
      <c r="AMH18" s="9"/>
      <c r="AMI18" s="9"/>
      <c r="AMJ18" s="9"/>
      <c r="AMK18" s="9"/>
      <c r="AML18" s="9"/>
      <c r="AMM18" s="9"/>
      <c r="AMN18" s="9"/>
      <c r="AMO18" s="9"/>
      <c r="AMP18" s="9"/>
      <c r="AMQ18" s="9"/>
      <c r="AMR18" s="9"/>
      <c r="AMS18" s="9"/>
      <c r="AMT18" s="9"/>
      <c r="AMU18" s="9"/>
      <c r="AMV18" s="9"/>
      <c r="AMW18" s="9"/>
      <c r="AMX18" s="9"/>
      <c r="XDN18" s="2"/>
      <c r="XDO18" s="2"/>
      <c r="XDP18" s="2"/>
      <c r="XDQ18" s="2"/>
      <c r="XDR18" s="2"/>
      <c r="XDS18" s="2"/>
      <c r="XDT18" s="2"/>
      <c r="XDU18" s="2"/>
      <c r="XDV18" s="2"/>
      <c r="XDW18" s="2"/>
      <c r="XDX18" s="2"/>
      <c r="XDY18" s="2"/>
      <c r="XDZ18" s="2"/>
      <c r="XEA18" s="2"/>
      <c r="XEB18" s="2"/>
      <c r="XEC18" s="2"/>
      <c r="XED18" s="2"/>
      <c r="XEE18" s="2"/>
      <c r="XEF18" s="2"/>
      <c r="XEG18" s="2"/>
      <c r="XEH18" s="2"/>
      <c r="XEI18" s="2"/>
      <c r="XEJ18" s="2"/>
      <c r="XEK18" s="2"/>
      <c r="XEL18" s="2"/>
      <c r="XEM18" s="2"/>
      <c r="XEN18" s="2"/>
      <c r="XEO18" s="2"/>
      <c r="XEP18" s="2"/>
      <c r="XEQ18" s="2"/>
      <c r="XER18" s="2"/>
      <c r="XES18" s="2"/>
      <c r="XET18" s="2"/>
      <c r="XEU18" s="2"/>
      <c r="XEV18" s="2"/>
      <c r="XEW18" s="2"/>
      <c r="XEX18" s="2"/>
      <c r="XEY18" s="2"/>
      <c r="XEZ18" s="2"/>
      <c r="XFA18" s="2"/>
      <c r="XFB18" s="2"/>
      <c r="XFC18" s="2"/>
      <c r="XFD18" s="2"/>
    </row>
    <row r="19" s="2" customFormat="true" ht="15" hidden="false" customHeight="false" outlineLevel="0" collapsed="false">
      <c r="A19" s="1" t="n">
        <v>17</v>
      </c>
      <c r="B19" s="2" t="s">
        <v>69</v>
      </c>
      <c r="C19" s="2" t="n">
        <v>7</v>
      </c>
      <c r="D19" s="1" t="n">
        <v>9</v>
      </c>
      <c r="E19" s="1" t="n">
        <v>1</v>
      </c>
      <c r="F19" s="1"/>
      <c r="G19" s="1" t="n">
        <v>1</v>
      </c>
      <c r="H19" s="1"/>
      <c r="I19" s="2" t="n">
        <v>4</v>
      </c>
      <c r="J19" s="2" t="n">
        <v>6</v>
      </c>
      <c r="K19" s="4" t="n">
        <f aca="false">ROUND(AVERAGE(C19,D19,E19,G19,I19,J19),0)</f>
        <v>5</v>
      </c>
      <c r="L19" s="4" t="str">
        <f aca="false">IF(K19&gt;6,"TEA",IF(K19&gt;3,"TEP","TED"))</f>
        <v>TEP</v>
      </c>
      <c r="N19" s="1" t="n">
        <v>6</v>
      </c>
      <c r="O19" s="3" t="n">
        <v>46211</v>
      </c>
      <c r="P19" s="1" t="n">
        <v>6</v>
      </c>
      <c r="Q19" s="3" t="n">
        <v>46211</v>
      </c>
      <c r="R19" s="2" t="n">
        <v>7</v>
      </c>
      <c r="S19" s="12" t="n">
        <v>46211</v>
      </c>
      <c r="T19" s="2" t="n">
        <v>6</v>
      </c>
      <c r="U19" s="12" t="n">
        <v>46211</v>
      </c>
      <c r="V19" s="2" t="n">
        <v>10</v>
      </c>
      <c r="W19" s="2" t="n">
        <v>1</v>
      </c>
      <c r="X19" s="1" t="n">
        <v>6</v>
      </c>
      <c r="Y19" s="3" t="n">
        <v>46211</v>
      </c>
      <c r="Z19" s="1" t="n">
        <f aca="false">ROUND(AVERAGE(K19,N19,P19,R19,T19,V19,W19,X19),0)</f>
        <v>6</v>
      </c>
      <c r="AA19" s="4" t="str">
        <f aca="false">IF(Z19&gt;6,"TEA",IF(Z19&gt;3,"TEP","TED"))</f>
        <v>TEP</v>
      </c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AMP19" s="1"/>
      <c r="AMQ19" s="1"/>
      <c r="AMR19" s="1"/>
      <c r="AMS19" s="1"/>
      <c r="AMT19" s="1"/>
      <c r="AMU19" s="1"/>
      <c r="AMV19" s="1"/>
      <c r="AMW19" s="1"/>
      <c r="AMX19" s="1"/>
      <c r="XDN19" s="9"/>
      <c r="XDO19" s="9"/>
      <c r="XDP19" s="9"/>
      <c r="XDQ19" s="9"/>
      <c r="XDR19" s="9"/>
      <c r="XDS19" s="9"/>
      <c r="XDT19" s="9"/>
      <c r="XDU19" s="9"/>
      <c r="XDV19" s="9"/>
      <c r="XDW19" s="9"/>
      <c r="XDX19" s="9"/>
      <c r="XDY19" s="9"/>
      <c r="XDZ19" s="9"/>
      <c r="XEA19" s="9"/>
      <c r="XEB19" s="9"/>
      <c r="XEC19" s="9"/>
      <c r="XED19" s="9"/>
      <c r="XEE19" s="9"/>
      <c r="XEF19" s="9"/>
      <c r="XEG19" s="9"/>
      <c r="XEH19" s="9"/>
      <c r="XEI19" s="9"/>
      <c r="XEJ19" s="9"/>
      <c r="XEK19" s="9"/>
      <c r="XEL19" s="9"/>
      <c r="XEM19" s="9"/>
      <c r="XEN19" s="9"/>
      <c r="XEO19" s="9"/>
      <c r="XEP19" s="9"/>
      <c r="XEQ19" s="9"/>
      <c r="XER19" s="9"/>
      <c r="XES19" s="9"/>
      <c r="XET19" s="9"/>
      <c r="XEU19" s="9"/>
      <c r="XEV19" s="9"/>
      <c r="XEW19" s="9"/>
      <c r="XEX19" s="9"/>
      <c r="XEY19" s="9"/>
      <c r="XEZ19" s="9"/>
      <c r="XFA19" s="9"/>
      <c r="XFB19" s="9"/>
      <c r="XFC19" s="9"/>
      <c r="XFD19" s="9"/>
    </row>
    <row r="20" s="9" customFormat="true" ht="15" hidden="false" customHeight="false" outlineLevel="0" collapsed="false">
      <c r="A20" s="9" t="n">
        <v>18</v>
      </c>
      <c r="B20" s="8" t="s">
        <v>112</v>
      </c>
      <c r="C20" s="9" t="n">
        <v>1</v>
      </c>
      <c r="D20" s="9" t="n">
        <v>10</v>
      </c>
      <c r="E20" s="9" t="n">
        <v>1</v>
      </c>
      <c r="G20" s="9" t="n">
        <v>6</v>
      </c>
      <c r="I20" s="9" t="n">
        <v>1</v>
      </c>
      <c r="J20" s="9" t="n">
        <v>6</v>
      </c>
      <c r="K20" s="10" t="n">
        <f aca="false">ROUND(AVERAGE(C20,D20,E20,G20,I20,J20),0)</f>
        <v>4</v>
      </c>
      <c r="L20" s="10" t="str">
        <f aca="false">IF(K20&gt;6,"TEA",IF(K20&gt;3,"TEP","TED"))</f>
        <v>TEP</v>
      </c>
      <c r="M20" s="9" t="s">
        <v>67</v>
      </c>
      <c r="N20" s="9" t="n">
        <v>1</v>
      </c>
      <c r="P20" s="9" t="n">
        <v>1</v>
      </c>
      <c r="R20" s="9" t="n">
        <v>1</v>
      </c>
      <c r="T20" s="9" t="n">
        <v>1</v>
      </c>
      <c r="V20" s="9" t="n">
        <v>1</v>
      </c>
      <c r="W20" s="9" t="n">
        <v>1</v>
      </c>
      <c r="X20" s="1" t="n">
        <v>1</v>
      </c>
      <c r="Y20" s="1"/>
      <c r="Z20" s="1" t="n">
        <f aca="false">ROUND(AVERAGE(K20,N20,P20,R20,T20,V20,W20,X20),0)</f>
        <v>1</v>
      </c>
      <c r="AA20" s="4" t="str">
        <f aca="false">IF(Z20&gt;6,"TEA",IF(Z20&gt;3,"TEP","TED"))</f>
        <v>TED</v>
      </c>
      <c r="XDN20" s="1"/>
      <c r="XDO20" s="1"/>
      <c r="XDP20" s="1"/>
      <c r="XDQ20" s="1"/>
      <c r="XDR20" s="1"/>
      <c r="XDS20" s="1"/>
      <c r="XDT20" s="1"/>
      <c r="XDU20" s="1"/>
      <c r="XDV20" s="1"/>
      <c r="XDW20" s="1"/>
      <c r="XDX20" s="1"/>
      <c r="XDY20" s="1"/>
      <c r="XDZ20" s="1"/>
      <c r="XEA20" s="1"/>
      <c r="XEB20" s="1"/>
      <c r="XEC20" s="1"/>
      <c r="XED20" s="1"/>
      <c r="XEE20" s="1"/>
      <c r="XEF20" s="1"/>
      <c r="XEG20" s="1"/>
      <c r="XEH20" s="1"/>
      <c r="XEI20" s="1"/>
      <c r="XEJ20" s="1"/>
      <c r="XEK20" s="1"/>
      <c r="XEL20" s="1"/>
      <c r="XEM20" s="1"/>
      <c r="XEN20" s="1"/>
      <c r="XEO20" s="1"/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1" customFormat="true" ht="15" hidden="false" customHeight="false" outlineLevel="0" collapsed="false">
      <c r="A21" s="1" t="n">
        <v>19</v>
      </c>
      <c r="B21" s="2" t="s">
        <v>75</v>
      </c>
      <c r="C21" s="1" t="n">
        <v>10</v>
      </c>
      <c r="D21" s="1" t="n">
        <v>7</v>
      </c>
      <c r="E21" s="1" t="n">
        <v>7</v>
      </c>
      <c r="F21" s="3" t="n">
        <v>46169</v>
      </c>
      <c r="G21" s="1" t="n">
        <v>7</v>
      </c>
      <c r="I21" s="1" t="n">
        <v>3.25</v>
      </c>
      <c r="J21" s="1" t="n">
        <v>8</v>
      </c>
      <c r="K21" s="4" t="n">
        <f aca="false">ROUND(AVERAGE(C21,D21,E21,G21,I21,J21),0)</f>
        <v>7</v>
      </c>
      <c r="L21" s="4" t="str">
        <f aca="false">IF(K21&gt;6,"TEA",IF(K21&gt;3,"TEP","TED"))</f>
        <v>TEA</v>
      </c>
      <c r="N21" s="1" t="n">
        <v>1</v>
      </c>
      <c r="P21" s="1" t="n">
        <v>7</v>
      </c>
      <c r="R21" s="1" t="n">
        <v>7</v>
      </c>
      <c r="S21" s="3" t="n">
        <v>46211</v>
      </c>
      <c r="T21" s="1" t="n">
        <v>1</v>
      </c>
      <c r="V21" s="1" t="n">
        <v>1</v>
      </c>
      <c r="W21" s="1" t="n">
        <v>10</v>
      </c>
      <c r="X21" s="1" t="n">
        <v>8</v>
      </c>
      <c r="Z21" s="1" t="n">
        <f aca="false">ROUND(AVERAGE(K21,N21,P21,R21,T21,V21,W21,X21),0)</f>
        <v>5</v>
      </c>
      <c r="AA21" s="4" t="str">
        <f aca="false">IF(Z21&gt;6,"TEA",IF(Z21&gt;3,"TEP","TED"))</f>
        <v>TEP</v>
      </c>
      <c r="XDN21" s="2"/>
      <c r="XDO21" s="2"/>
      <c r="XDP21" s="2"/>
      <c r="XDQ21" s="2"/>
      <c r="XDR21" s="2"/>
      <c r="XDS21" s="2"/>
      <c r="XDT21" s="2"/>
      <c r="XDU21" s="2"/>
      <c r="XDV21" s="2"/>
      <c r="XDW21" s="2"/>
      <c r="XDX21" s="2"/>
      <c r="XDY21" s="2"/>
      <c r="XDZ21" s="2"/>
      <c r="XEA21" s="2"/>
      <c r="XEB21" s="2"/>
      <c r="XEC21" s="2"/>
      <c r="XED21" s="2"/>
      <c r="XEE21" s="2"/>
      <c r="XEF21" s="2"/>
      <c r="XEG21" s="2"/>
      <c r="XEH21" s="2"/>
      <c r="XEI21" s="2"/>
      <c r="XEJ21" s="2"/>
      <c r="XEK21" s="2"/>
      <c r="XEL21" s="2"/>
      <c r="XEM21" s="2"/>
      <c r="XEN21" s="2"/>
      <c r="XEO21" s="2"/>
      <c r="XEP21" s="2"/>
      <c r="XEQ21" s="2"/>
      <c r="XER21" s="2"/>
      <c r="XES21" s="2"/>
      <c r="XET21" s="2"/>
      <c r="XEU21" s="2"/>
      <c r="XEV21" s="2"/>
      <c r="XEW21" s="2"/>
      <c r="XEX21" s="2"/>
      <c r="XEY21" s="2"/>
      <c r="XEZ21" s="2"/>
      <c r="XFA21" s="2"/>
      <c r="XFB21" s="2"/>
      <c r="XFC21" s="2"/>
      <c r="XFD21" s="2"/>
    </row>
    <row r="22" s="2" customFormat="true" ht="15" hidden="false" customHeight="false" outlineLevel="0" collapsed="false">
      <c r="A22" s="1" t="n">
        <v>20</v>
      </c>
      <c r="B22" s="2" t="s">
        <v>78</v>
      </c>
      <c r="C22" s="1" t="n">
        <v>10</v>
      </c>
      <c r="D22" s="1" t="n">
        <v>7</v>
      </c>
      <c r="E22" s="1" t="n">
        <v>10</v>
      </c>
      <c r="F22" s="1"/>
      <c r="G22" s="1" t="n">
        <v>8</v>
      </c>
      <c r="H22" s="1"/>
      <c r="I22" s="1" t="n">
        <v>9.75</v>
      </c>
      <c r="J22" s="1" t="n">
        <v>9</v>
      </c>
      <c r="K22" s="4" t="n">
        <f aca="false">ROUND(AVERAGE(C22,D22,E22,G22,I22,J22),0)</f>
        <v>9</v>
      </c>
      <c r="L22" s="4" t="str">
        <f aca="false">IF(K22&gt;6,"TEA",IF(K22&gt;3,"TEP","TED"))</f>
        <v>TEA</v>
      </c>
      <c r="M22" s="1"/>
      <c r="N22" s="1" t="n">
        <v>10</v>
      </c>
      <c r="O22" s="1"/>
      <c r="P22" s="1" t="n">
        <v>6</v>
      </c>
      <c r="Q22" s="1"/>
      <c r="R22" s="1" t="n">
        <v>8</v>
      </c>
      <c r="S22" s="1"/>
      <c r="T22" s="1" t="n">
        <v>10</v>
      </c>
      <c r="U22" s="1"/>
      <c r="V22" s="1" t="n">
        <v>10</v>
      </c>
      <c r="W22" s="1" t="n">
        <v>10</v>
      </c>
      <c r="X22" s="1" t="n">
        <v>10</v>
      </c>
      <c r="Y22" s="1"/>
      <c r="Z22" s="1" t="n">
        <f aca="false">ROUND(AVERAGE(K22,N22,P22,R22,T22,V22,W22,X22),0)</f>
        <v>9</v>
      </c>
      <c r="AA22" s="4" t="str">
        <f aca="false">IF(Z22&gt;6,"TEA",IF(Z22&gt;3,"TEP","TED"))</f>
        <v>TEA</v>
      </c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AMU22" s="1"/>
      <c r="AMV22" s="1"/>
      <c r="AMW22" s="1"/>
      <c r="AMX22" s="1"/>
      <c r="XDN22" s="9"/>
      <c r="XDO22" s="9"/>
      <c r="XDP22" s="9"/>
      <c r="XDQ22" s="9"/>
      <c r="XDR22" s="9"/>
      <c r="XDS22" s="9"/>
      <c r="XDT22" s="9"/>
      <c r="XDU22" s="9"/>
      <c r="XDV22" s="9"/>
      <c r="XDW22" s="9"/>
      <c r="XDX22" s="9"/>
      <c r="XDY22" s="9"/>
      <c r="XDZ22" s="9"/>
      <c r="XEA22" s="9"/>
      <c r="XEB22" s="9"/>
      <c r="XEC22" s="9"/>
      <c r="XED22" s="9"/>
      <c r="XEE22" s="9"/>
      <c r="XEF22" s="9"/>
      <c r="XEG22" s="9"/>
      <c r="XEH22" s="9"/>
      <c r="XEI22" s="9"/>
      <c r="XEJ22" s="9"/>
      <c r="XEK22" s="9"/>
      <c r="XEL22" s="9"/>
      <c r="XEM22" s="9"/>
      <c r="XEN22" s="9"/>
      <c r="XEO22" s="9"/>
      <c r="XEP22" s="9"/>
      <c r="XEQ22" s="9"/>
      <c r="XER22" s="9"/>
      <c r="XES22" s="9"/>
      <c r="XET22" s="9"/>
      <c r="XEU22" s="9"/>
      <c r="XEV22" s="9"/>
      <c r="XEW22" s="9"/>
      <c r="XEX22" s="9"/>
      <c r="XEY22" s="9"/>
      <c r="XEZ22" s="9"/>
      <c r="XFA22" s="9"/>
      <c r="XFB22" s="9"/>
      <c r="XFC22" s="9"/>
      <c r="XFD22" s="9"/>
    </row>
    <row r="23" s="9" customFormat="true" ht="15" hidden="false" customHeight="false" outlineLevel="0" collapsed="false">
      <c r="A23" s="9" t="n">
        <v>21</v>
      </c>
      <c r="B23" s="8" t="s">
        <v>113</v>
      </c>
      <c r="C23" s="8" t="n">
        <v>1</v>
      </c>
      <c r="D23" s="9" t="n">
        <v>1</v>
      </c>
      <c r="E23" s="9" t="n">
        <v>1</v>
      </c>
      <c r="G23" s="9" t="n">
        <v>1</v>
      </c>
      <c r="I23" s="8" t="n">
        <v>1</v>
      </c>
      <c r="J23" s="8" t="n">
        <v>9</v>
      </c>
      <c r="K23" s="10" t="n">
        <f aca="false">ROUND(AVERAGE(C23,D23,E23,G23,I23,J23),0)</f>
        <v>2</v>
      </c>
      <c r="L23" s="10" t="str">
        <f aca="false">IF(K23&gt;6,"TEA",IF(K23&gt;3,"TEP","TED"))</f>
        <v>TED</v>
      </c>
      <c r="M23" s="8" t="s">
        <v>67</v>
      </c>
      <c r="N23" s="9" t="n">
        <v>1</v>
      </c>
      <c r="P23" s="9" t="n">
        <v>1</v>
      </c>
      <c r="R23" s="8" t="n">
        <v>1</v>
      </c>
      <c r="S23" s="8"/>
      <c r="T23" s="8" t="n">
        <v>1</v>
      </c>
      <c r="U23" s="8"/>
      <c r="V23" s="8" t="n">
        <v>1</v>
      </c>
      <c r="W23" s="8" t="n">
        <v>1</v>
      </c>
      <c r="X23" s="1" t="n">
        <v>1</v>
      </c>
      <c r="Y23" s="1"/>
      <c r="Z23" s="1" t="n">
        <f aca="false">ROUND(AVERAGE(K23,N23,P23,R23,T23,V23,W23,X23),0)</f>
        <v>1</v>
      </c>
      <c r="AA23" s="4" t="str">
        <f aca="false">IF(Z23&gt;6,"TEA",IF(Z23&gt;3,"TEP","TED"))</f>
        <v>TED</v>
      </c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  <c r="IU23" s="8"/>
      <c r="IV23" s="8"/>
      <c r="IW23" s="8"/>
      <c r="IX23" s="8"/>
      <c r="IY23" s="8"/>
      <c r="IZ23" s="8"/>
      <c r="JA23" s="8"/>
      <c r="JB23" s="8"/>
      <c r="JC23" s="8"/>
      <c r="JD23" s="8"/>
      <c r="JE23" s="8"/>
      <c r="JF23" s="8"/>
      <c r="JG23" s="8"/>
      <c r="JH23" s="8"/>
      <c r="JI23" s="8"/>
      <c r="JJ23" s="8"/>
      <c r="JK23" s="8"/>
      <c r="JL23" s="8"/>
      <c r="JM23" s="8"/>
      <c r="JN23" s="8"/>
      <c r="JO23" s="8"/>
      <c r="JP23" s="8"/>
      <c r="JQ23" s="8"/>
      <c r="JR23" s="8"/>
      <c r="JS23" s="8"/>
      <c r="JT23" s="8"/>
      <c r="JU23" s="8"/>
      <c r="JV23" s="8"/>
      <c r="JW23" s="8"/>
      <c r="JX23" s="8"/>
      <c r="JY23" s="8"/>
      <c r="JZ23" s="8"/>
      <c r="KA23" s="8"/>
      <c r="KB23" s="8"/>
      <c r="KC23" s="8"/>
      <c r="KD23" s="8"/>
      <c r="KE23" s="8"/>
      <c r="KF23" s="8"/>
      <c r="KG23" s="8"/>
      <c r="KH23" s="8"/>
      <c r="KI23" s="8"/>
      <c r="KJ23" s="8"/>
      <c r="KK23" s="8"/>
      <c r="KL23" s="8"/>
      <c r="KM23" s="8"/>
      <c r="KN23" s="8"/>
      <c r="KO23" s="8"/>
      <c r="KP23" s="8"/>
      <c r="KQ23" s="8"/>
      <c r="KR23" s="8"/>
      <c r="KS23" s="8"/>
      <c r="KT23" s="8"/>
      <c r="KU23" s="8"/>
      <c r="KV23" s="8"/>
      <c r="KW23" s="8"/>
      <c r="KX23" s="8"/>
      <c r="KY23" s="8"/>
      <c r="KZ23" s="8"/>
      <c r="LA23" s="8"/>
      <c r="LB23" s="8"/>
      <c r="LC23" s="8"/>
      <c r="LD23" s="8"/>
      <c r="LE23" s="8"/>
      <c r="LF23" s="8"/>
      <c r="LG23" s="8"/>
      <c r="LH23" s="8"/>
      <c r="LI23" s="8"/>
      <c r="LJ23" s="8"/>
      <c r="LK23" s="8"/>
      <c r="LL23" s="8"/>
      <c r="LM23" s="8"/>
      <c r="LN23" s="8"/>
      <c r="LO23" s="8"/>
      <c r="LP23" s="8"/>
      <c r="LQ23" s="8"/>
      <c r="LR23" s="8"/>
      <c r="LS23" s="8"/>
      <c r="LT23" s="8"/>
      <c r="LU23" s="8"/>
      <c r="LV23" s="8"/>
      <c r="LW23" s="8"/>
      <c r="LX23" s="8"/>
      <c r="LY23" s="8"/>
      <c r="LZ23" s="8"/>
      <c r="MA23" s="8"/>
      <c r="MB23" s="8"/>
      <c r="MC23" s="8"/>
      <c r="MD23" s="8"/>
      <c r="ME23" s="8"/>
      <c r="MF23" s="8"/>
      <c r="MG23" s="8"/>
      <c r="MH23" s="8"/>
      <c r="MI23" s="8"/>
      <c r="MJ23" s="8"/>
      <c r="MK23" s="8"/>
      <c r="ML23" s="8"/>
      <c r="MM23" s="8"/>
      <c r="MN23" s="8"/>
      <c r="MO23" s="8"/>
      <c r="MP23" s="8"/>
      <c r="MQ23" s="8"/>
      <c r="MR23" s="8"/>
      <c r="MS23" s="8"/>
      <c r="MT23" s="8"/>
      <c r="MU23" s="8"/>
      <c r="MV23" s="8"/>
      <c r="MW23" s="8"/>
      <c r="MX23" s="8"/>
      <c r="MY23" s="8"/>
      <c r="MZ23" s="8"/>
      <c r="NA23" s="8"/>
      <c r="NB23" s="8"/>
      <c r="NC23" s="8"/>
      <c r="ND23" s="8"/>
      <c r="NE23" s="8"/>
      <c r="NF23" s="8"/>
      <c r="NG23" s="8"/>
      <c r="NH23" s="8"/>
      <c r="NI23" s="8"/>
      <c r="NJ23" s="8"/>
      <c r="NK23" s="8"/>
      <c r="NL23" s="8"/>
      <c r="NM23" s="8"/>
      <c r="NN23" s="8"/>
      <c r="NO23" s="8"/>
      <c r="NP23" s="8"/>
      <c r="NQ23" s="8"/>
      <c r="NR23" s="8"/>
      <c r="NS23" s="8"/>
      <c r="NT23" s="8"/>
      <c r="NU23" s="8"/>
      <c r="NV23" s="8"/>
      <c r="NW23" s="8"/>
      <c r="NX23" s="8"/>
      <c r="NY23" s="8"/>
      <c r="NZ23" s="8"/>
      <c r="OA23" s="8"/>
      <c r="OB23" s="8"/>
      <c r="OC23" s="8"/>
      <c r="OD23" s="8"/>
      <c r="OE23" s="8"/>
      <c r="OF23" s="8"/>
      <c r="OG23" s="8"/>
      <c r="OH23" s="8"/>
      <c r="OI23" s="8"/>
      <c r="OJ23" s="8"/>
      <c r="OK23" s="8"/>
      <c r="OL23" s="8"/>
      <c r="OM23" s="8"/>
      <c r="ON23" s="8"/>
      <c r="OO23" s="8"/>
      <c r="OP23" s="8"/>
      <c r="OQ23" s="8"/>
      <c r="OR23" s="8"/>
      <c r="OS23" s="8"/>
      <c r="OT23" s="8"/>
      <c r="OU23" s="8"/>
      <c r="OV23" s="8"/>
      <c r="OW23" s="8"/>
      <c r="OX23" s="8"/>
      <c r="OY23" s="8"/>
      <c r="OZ23" s="8"/>
      <c r="PA23" s="8"/>
      <c r="PB23" s="8"/>
      <c r="PC23" s="8"/>
      <c r="PD23" s="8"/>
      <c r="PE23" s="8"/>
      <c r="PF23" s="8"/>
      <c r="PG23" s="8"/>
      <c r="PH23" s="8"/>
      <c r="PI23" s="8"/>
      <c r="PJ23" s="8"/>
      <c r="PK23" s="8"/>
      <c r="PL23" s="8"/>
      <c r="PM23" s="8"/>
      <c r="PN23" s="8"/>
      <c r="PO23" s="8"/>
      <c r="PP23" s="8"/>
      <c r="PQ23" s="8"/>
      <c r="PR23" s="8"/>
      <c r="PS23" s="8"/>
      <c r="PT23" s="8"/>
      <c r="PU23" s="8"/>
      <c r="PV23" s="8"/>
      <c r="PW23" s="8"/>
      <c r="PX23" s="8"/>
      <c r="PY23" s="8"/>
      <c r="PZ23" s="8"/>
      <c r="QA23" s="8"/>
      <c r="QB23" s="8"/>
      <c r="QC23" s="8"/>
      <c r="QD23" s="8"/>
      <c r="QE23" s="8"/>
      <c r="QF23" s="8"/>
      <c r="QG23" s="8"/>
      <c r="QH23" s="8"/>
      <c r="QI23" s="8"/>
      <c r="QJ23" s="8"/>
      <c r="QK23" s="8"/>
      <c r="QL23" s="8"/>
      <c r="QM23" s="8"/>
      <c r="QN23" s="8"/>
      <c r="QO23" s="8"/>
      <c r="QP23" s="8"/>
      <c r="QQ23" s="8"/>
      <c r="QR23" s="8"/>
      <c r="QS23" s="8"/>
      <c r="QT23" s="8"/>
      <c r="QU23" s="8"/>
      <c r="QV23" s="8"/>
      <c r="QW23" s="8"/>
      <c r="QX23" s="8"/>
      <c r="QY23" s="8"/>
      <c r="QZ23" s="8"/>
      <c r="RA23" s="8"/>
      <c r="RB23" s="8"/>
      <c r="RC23" s="8"/>
      <c r="RD23" s="8"/>
      <c r="RE23" s="8"/>
      <c r="RF23" s="8"/>
      <c r="RG23" s="8"/>
      <c r="RH23" s="8"/>
      <c r="RI23" s="8"/>
      <c r="RJ23" s="8"/>
      <c r="RK23" s="8"/>
      <c r="RL23" s="8"/>
      <c r="RM23" s="8"/>
      <c r="RN23" s="8"/>
      <c r="RO23" s="8"/>
      <c r="RP23" s="8"/>
      <c r="RQ23" s="8"/>
      <c r="RR23" s="8"/>
      <c r="RS23" s="8"/>
      <c r="RT23" s="8"/>
      <c r="RU23" s="8"/>
      <c r="RV23" s="8"/>
      <c r="RW23" s="8"/>
      <c r="RX23" s="8"/>
      <c r="RY23" s="8"/>
      <c r="RZ23" s="8"/>
      <c r="SA23" s="8"/>
      <c r="SB23" s="8"/>
      <c r="SC23" s="8"/>
      <c r="SD23" s="8"/>
      <c r="SE23" s="8"/>
      <c r="SF23" s="8"/>
      <c r="SG23" s="8"/>
      <c r="SH23" s="8"/>
      <c r="SI23" s="8"/>
      <c r="SJ23" s="8"/>
      <c r="SK23" s="8"/>
      <c r="SL23" s="8"/>
      <c r="SM23" s="8"/>
      <c r="SN23" s="8"/>
      <c r="SO23" s="8"/>
      <c r="SP23" s="8"/>
      <c r="SQ23" s="8"/>
      <c r="SR23" s="8"/>
      <c r="SS23" s="8"/>
      <c r="ST23" s="8"/>
      <c r="SU23" s="8"/>
      <c r="SV23" s="8"/>
      <c r="SW23" s="8"/>
      <c r="SX23" s="8"/>
      <c r="SY23" s="8"/>
      <c r="SZ23" s="8"/>
      <c r="TA23" s="8"/>
      <c r="TB23" s="8"/>
      <c r="TC23" s="8"/>
      <c r="TD23" s="8"/>
      <c r="TE23" s="8"/>
      <c r="TF23" s="8"/>
      <c r="TG23" s="8"/>
      <c r="TH23" s="8"/>
      <c r="TI23" s="8"/>
      <c r="TJ23" s="8"/>
      <c r="TK23" s="8"/>
      <c r="TL23" s="8"/>
      <c r="TM23" s="8"/>
      <c r="TN23" s="8"/>
      <c r="TO23" s="8"/>
      <c r="TP23" s="8"/>
      <c r="TQ23" s="8"/>
      <c r="TR23" s="8"/>
      <c r="TS23" s="8"/>
      <c r="TT23" s="8"/>
      <c r="TU23" s="8"/>
      <c r="TV23" s="8"/>
      <c r="TW23" s="8"/>
      <c r="TX23" s="8"/>
      <c r="TY23" s="8"/>
      <c r="TZ23" s="8"/>
      <c r="UA23" s="8"/>
      <c r="UB23" s="8"/>
      <c r="UC23" s="8"/>
      <c r="UD23" s="8"/>
      <c r="UE23" s="8"/>
      <c r="UF23" s="8"/>
      <c r="UG23" s="8"/>
      <c r="UH23" s="8"/>
      <c r="UI23" s="8"/>
      <c r="UJ23" s="8"/>
      <c r="UK23" s="8"/>
      <c r="UL23" s="8"/>
      <c r="UM23" s="8"/>
      <c r="UN23" s="8"/>
      <c r="UO23" s="8"/>
      <c r="UP23" s="8"/>
      <c r="UQ23" s="8"/>
      <c r="UR23" s="8"/>
      <c r="US23" s="8"/>
      <c r="UT23" s="8"/>
      <c r="UU23" s="8"/>
      <c r="UV23" s="8"/>
      <c r="UW23" s="8"/>
      <c r="UX23" s="8"/>
      <c r="UY23" s="8"/>
      <c r="UZ23" s="8"/>
      <c r="VA23" s="8"/>
      <c r="VB23" s="8"/>
      <c r="VC23" s="8"/>
      <c r="VD23" s="8"/>
      <c r="VE23" s="8"/>
      <c r="VF23" s="8"/>
      <c r="VG23" s="8"/>
      <c r="VH23" s="8"/>
      <c r="VI23" s="8"/>
      <c r="VJ23" s="8"/>
      <c r="VK23" s="8"/>
      <c r="VL23" s="8"/>
      <c r="VM23" s="8"/>
      <c r="VN23" s="8"/>
      <c r="VO23" s="8"/>
      <c r="VP23" s="8"/>
      <c r="VQ23" s="8"/>
      <c r="VR23" s="8"/>
      <c r="VS23" s="8"/>
      <c r="VT23" s="8"/>
      <c r="VU23" s="8"/>
      <c r="VV23" s="8"/>
      <c r="VW23" s="8"/>
      <c r="VX23" s="8"/>
      <c r="VY23" s="8"/>
      <c r="VZ23" s="8"/>
      <c r="WA23" s="8"/>
      <c r="WB23" s="8"/>
      <c r="WC23" s="8"/>
      <c r="WD23" s="8"/>
      <c r="WE23" s="8"/>
      <c r="WF23" s="8"/>
      <c r="WG23" s="8"/>
      <c r="WH23" s="8"/>
      <c r="WI23" s="8"/>
      <c r="WJ23" s="8"/>
      <c r="WK23" s="8"/>
      <c r="WL23" s="8"/>
      <c r="WM23" s="8"/>
      <c r="WN23" s="8"/>
      <c r="WO23" s="8"/>
      <c r="WP23" s="8"/>
      <c r="WQ23" s="8"/>
      <c r="WR23" s="8"/>
      <c r="WS23" s="8"/>
      <c r="WT23" s="8"/>
      <c r="WU23" s="8"/>
      <c r="WV23" s="8"/>
      <c r="WW23" s="8"/>
      <c r="WX23" s="8"/>
      <c r="WY23" s="8"/>
      <c r="WZ23" s="8"/>
      <c r="XA23" s="8"/>
      <c r="XB23" s="8"/>
      <c r="XC23" s="8"/>
      <c r="XD23" s="8"/>
      <c r="XE23" s="8"/>
      <c r="XF23" s="8"/>
      <c r="XG23" s="8"/>
      <c r="XH23" s="8"/>
      <c r="XI23" s="8"/>
      <c r="XJ23" s="8"/>
      <c r="XK23" s="8"/>
      <c r="XL23" s="8"/>
      <c r="XM23" s="8"/>
      <c r="XN23" s="8"/>
      <c r="XO23" s="8"/>
      <c r="XP23" s="8"/>
      <c r="XQ23" s="8"/>
      <c r="XR23" s="8"/>
      <c r="XS23" s="8"/>
      <c r="XT23" s="8"/>
      <c r="XU23" s="8"/>
      <c r="XV23" s="8"/>
      <c r="XW23" s="8"/>
      <c r="XX23" s="8"/>
      <c r="XY23" s="8"/>
      <c r="XZ23" s="8"/>
      <c r="YA23" s="8"/>
      <c r="YB23" s="8"/>
      <c r="YC23" s="8"/>
      <c r="YD23" s="8"/>
      <c r="YE23" s="8"/>
      <c r="YF23" s="8"/>
      <c r="YG23" s="8"/>
      <c r="YH23" s="8"/>
      <c r="YI23" s="8"/>
      <c r="YJ23" s="8"/>
      <c r="YK23" s="8"/>
      <c r="YL23" s="8"/>
      <c r="YM23" s="8"/>
      <c r="YN23" s="8"/>
      <c r="YO23" s="8"/>
      <c r="YP23" s="8"/>
      <c r="YQ23" s="8"/>
      <c r="YR23" s="8"/>
      <c r="YS23" s="8"/>
      <c r="YT23" s="8"/>
      <c r="YU23" s="8"/>
      <c r="YV23" s="8"/>
      <c r="YW23" s="8"/>
      <c r="YX23" s="8"/>
      <c r="YY23" s="8"/>
      <c r="YZ23" s="8"/>
      <c r="ZA23" s="8"/>
      <c r="ZB23" s="8"/>
      <c r="ZC23" s="8"/>
      <c r="ZD23" s="8"/>
      <c r="ZE23" s="8"/>
      <c r="ZF23" s="8"/>
      <c r="ZG23" s="8"/>
      <c r="ZH23" s="8"/>
      <c r="ZI23" s="8"/>
      <c r="ZJ23" s="8"/>
      <c r="ZK23" s="8"/>
      <c r="ZL23" s="8"/>
      <c r="ZM23" s="8"/>
      <c r="ZN23" s="8"/>
      <c r="ZO23" s="8"/>
      <c r="ZP23" s="8"/>
      <c r="ZQ23" s="8"/>
      <c r="ZR23" s="8"/>
      <c r="ZS23" s="8"/>
      <c r="ZT23" s="8"/>
      <c r="ZU23" s="8"/>
      <c r="ZV23" s="8"/>
      <c r="ZW23" s="8"/>
      <c r="ZX23" s="8"/>
      <c r="ZY23" s="8"/>
      <c r="ZZ23" s="8"/>
      <c r="AAA23" s="8"/>
      <c r="AAB23" s="8"/>
      <c r="AAC23" s="8"/>
      <c r="AAD23" s="8"/>
      <c r="AAE23" s="8"/>
      <c r="AAF23" s="8"/>
      <c r="AAG23" s="8"/>
      <c r="AAH23" s="8"/>
      <c r="AAI23" s="8"/>
      <c r="AAJ23" s="8"/>
      <c r="AAK23" s="8"/>
      <c r="AAL23" s="8"/>
      <c r="AAM23" s="8"/>
      <c r="AAN23" s="8"/>
      <c r="AAO23" s="8"/>
      <c r="AAP23" s="8"/>
      <c r="AAQ23" s="8"/>
      <c r="AAR23" s="8"/>
      <c r="AAS23" s="8"/>
      <c r="AAT23" s="8"/>
      <c r="AAU23" s="8"/>
      <c r="AAV23" s="8"/>
      <c r="AAW23" s="8"/>
      <c r="AAX23" s="8"/>
      <c r="AAY23" s="8"/>
      <c r="AAZ23" s="8"/>
      <c r="ABA23" s="8"/>
      <c r="ABB23" s="8"/>
      <c r="ABC23" s="8"/>
      <c r="ABD23" s="8"/>
      <c r="ABE23" s="8"/>
      <c r="ABF23" s="8"/>
      <c r="ABG23" s="8"/>
      <c r="ABH23" s="8"/>
      <c r="ABI23" s="8"/>
      <c r="ABJ23" s="8"/>
      <c r="ABK23" s="8"/>
      <c r="ABL23" s="8"/>
      <c r="ABM23" s="8"/>
      <c r="ABN23" s="8"/>
      <c r="ABO23" s="8"/>
      <c r="ABP23" s="8"/>
      <c r="ABQ23" s="8"/>
      <c r="ABR23" s="8"/>
      <c r="ABS23" s="8"/>
      <c r="ABT23" s="8"/>
      <c r="ABU23" s="8"/>
      <c r="ABV23" s="8"/>
      <c r="ABW23" s="8"/>
      <c r="ABX23" s="8"/>
      <c r="ABY23" s="8"/>
      <c r="ABZ23" s="8"/>
      <c r="ACA23" s="8"/>
      <c r="ACB23" s="8"/>
      <c r="ACC23" s="8"/>
      <c r="ACD23" s="8"/>
      <c r="ACE23" s="8"/>
      <c r="ACF23" s="8"/>
      <c r="ACG23" s="8"/>
      <c r="ACH23" s="8"/>
      <c r="ACI23" s="8"/>
      <c r="ACJ23" s="8"/>
      <c r="ACK23" s="8"/>
      <c r="ACL23" s="8"/>
      <c r="ACM23" s="8"/>
      <c r="ACN23" s="8"/>
      <c r="ACO23" s="8"/>
      <c r="ACP23" s="8"/>
      <c r="ACQ23" s="8"/>
      <c r="ACR23" s="8"/>
      <c r="ACS23" s="8"/>
      <c r="ACT23" s="8"/>
      <c r="ACU23" s="8"/>
      <c r="ACV23" s="8"/>
      <c r="ACW23" s="8"/>
      <c r="ACX23" s="8"/>
      <c r="ACY23" s="8"/>
      <c r="ACZ23" s="8"/>
      <c r="ADA23" s="8"/>
      <c r="ADB23" s="8"/>
      <c r="ADC23" s="8"/>
      <c r="ADD23" s="8"/>
      <c r="ADE23" s="8"/>
      <c r="ADF23" s="8"/>
      <c r="ADG23" s="8"/>
      <c r="ADH23" s="8"/>
      <c r="ADI23" s="8"/>
      <c r="ADJ23" s="8"/>
      <c r="ADK23" s="8"/>
      <c r="ADL23" s="8"/>
      <c r="ADM23" s="8"/>
      <c r="ADN23" s="8"/>
      <c r="ADO23" s="8"/>
      <c r="ADP23" s="8"/>
      <c r="ADQ23" s="8"/>
      <c r="ADR23" s="8"/>
      <c r="ADS23" s="8"/>
      <c r="ADT23" s="8"/>
      <c r="ADU23" s="8"/>
      <c r="ADV23" s="8"/>
      <c r="ADW23" s="8"/>
      <c r="ADX23" s="8"/>
      <c r="ADY23" s="8"/>
      <c r="ADZ23" s="8"/>
      <c r="AEA23" s="8"/>
      <c r="AEB23" s="8"/>
      <c r="AEC23" s="8"/>
      <c r="AED23" s="8"/>
      <c r="AEE23" s="8"/>
      <c r="AEF23" s="8"/>
      <c r="AEG23" s="8"/>
      <c r="AEH23" s="8"/>
      <c r="AEI23" s="8"/>
      <c r="AEJ23" s="8"/>
      <c r="AEK23" s="8"/>
      <c r="AEL23" s="8"/>
      <c r="AEM23" s="8"/>
      <c r="AEN23" s="8"/>
      <c r="AEO23" s="8"/>
      <c r="AEP23" s="8"/>
      <c r="AEQ23" s="8"/>
      <c r="AER23" s="8"/>
      <c r="AES23" s="8"/>
      <c r="AET23" s="8"/>
      <c r="AEU23" s="8"/>
      <c r="AEV23" s="8"/>
      <c r="AEW23" s="8"/>
      <c r="AEX23" s="8"/>
      <c r="AEY23" s="8"/>
      <c r="AEZ23" s="8"/>
      <c r="AFA23" s="8"/>
      <c r="AFB23" s="8"/>
      <c r="AFC23" s="8"/>
      <c r="AFD23" s="8"/>
      <c r="AFE23" s="8"/>
      <c r="AFF23" s="8"/>
      <c r="AFG23" s="8"/>
      <c r="AFH23" s="8"/>
      <c r="AFI23" s="8"/>
      <c r="AFJ23" s="8"/>
      <c r="AFK23" s="8"/>
      <c r="AFL23" s="8"/>
      <c r="AFM23" s="8"/>
      <c r="AFN23" s="8"/>
      <c r="AFO23" s="8"/>
      <c r="AFP23" s="8"/>
      <c r="AFQ23" s="8"/>
      <c r="AFR23" s="8"/>
      <c r="AFS23" s="8"/>
      <c r="AFT23" s="8"/>
      <c r="AFU23" s="8"/>
      <c r="AFV23" s="8"/>
      <c r="AFW23" s="8"/>
      <c r="AFX23" s="8"/>
      <c r="AFY23" s="8"/>
      <c r="AFZ23" s="8"/>
      <c r="AGA23" s="8"/>
      <c r="AGB23" s="8"/>
      <c r="AGC23" s="8"/>
      <c r="AGD23" s="8"/>
      <c r="AGE23" s="8"/>
      <c r="AGF23" s="8"/>
      <c r="AGG23" s="8"/>
      <c r="AGH23" s="8"/>
      <c r="AGI23" s="8"/>
      <c r="AGJ23" s="8"/>
      <c r="AGK23" s="8"/>
      <c r="AGL23" s="8"/>
      <c r="AGM23" s="8"/>
      <c r="AGN23" s="8"/>
      <c r="AGO23" s="8"/>
      <c r="AGP23" s="8"/>
      <c r="AGQ23" s="8"/>
      <c r="AGR23" s="8"/>
      <c r="AGS23" s="8"/>
      <c r="AGT23" s="8"/>
      <c r="AGU23" s="8"/>
      <c r="AGV23" s="8"/>
      <c r="AGW23" s="8"/>
      <c r="AGX23" s="8"/>
      <c r="AGY23" s="8"/>
      <c r="AGZ23" s="8"/>
      <c r="AHA23" s="8"/>
      <c r="AHB23" s="8"/>
      <c r="AHC23" s="8"/>
      <c r="AHD23" s="8"/>
      <c r="AHE23" s="8"/>
      <c r="AHF23" s="8"/>
      <c r="AHG23" s="8"/>
      <c r="AHH23" s="8"/>
      <c r="AHI23" s="8"/>
      <c r="AHJ23" s="8"/>
      <c r="AHK23" s="8"/>
      <c r="AHL23" s="8"/>
      <c r="AHM23" s="8"/>
      <c r="AHN23" s="8"/>
      <c r="AHO23" s="8"/>
      <c r="AHP23" s="8"/>
      <c r="AHQ23" s="8"/>
      <c r="AHR23" s="8"/>
      <c r="AHS23" s="8"/>
      <c r="AHT23" s="8"/>
      <c r="AHU23" s="8"/>
      <c r="AHV23" s="8"/>
      <c r="AHW23" s="8"/>
      <c r="AHX23" s="8"/>
      <c r="AHY23" s="8"/>
      <c r="AHZ23" s="8"/>
      <c r="AIA23" s="8"/>
      <c r="AIB23" s="8"/>
      <c r="AIC23" s="8"/>
      <c r="AID23" s="8"/>
      <c r="AIE23" s="8"/>
      <c r="AIF23" s="8"/>
      <c r="AIG23" s="8"/>
      <c r="AIH23" s="8"/>
      <c r="AII23" s="8"/>
      <c r="AIJ23" s="8"/>
      <c r="AIK23" s="8"/>
      <c r="AIL23" s="8"/>
      <c r="AIM23" s="8"/>
      <c r="AIN23" s="8"/>
      <c r="AIO23" s="8"/>
      <c r="AIP23" s="8"/>
      <c r="AIQ23" s="8"/>
      <c r="AIR23" s="8"/>
      <c r="AIS23" s="8"/>
      <c r="AIT23" s="8"/>
      <c r="AIU23" s="8"/>
      <c r="AIV23" s="8"/>
      <c r="AIW23" s="8"/>
      <c r="AIX23" s="8"/>
      <c r="AIY23" s="8"/>
      <c r="AIZ23" s="8"/>
      <c r="AJA23" s="8"/>
      <c r="AJB23" s="8"/>
      <c r="AJC23" s="8"/>
      <c r="AJD23" s="8"/>
      <c r="AJE23" s="8"/>
      <c r="AJF23" s="8"/>
      <c r="AJG23" s="8"/>
      <c r="AJH23" s="8"/>
      <c r="AJI23" s="8"/>
      <c r="AJJ23" s="8"/>
      <c r="AJK23" s="8"/>
      <c r="AJL23" s="8"/>
      <c r="AJM23" s="8"/>
      <c r="AJN23" s="8"/>
      <c r="AJO23" s="8"/>
      <c r="AJP23" s="8"/>
      <c r="AJQ23" s="8"/>
      <c r="AJR23" s="8"/>
      <c r="AJS23" s="8"/>
      <c r="AJT23" s="8"/>
      <c r="AJU23" s="8"/>
      <c r="AJV23" s="8"/>
      <c r="AJW23" s="8"/>
      <c r="AJX23" s="8"/>
      <c r="AJY23" s="8"/>
      <c r="AJZ23" s="8"/>
      <c r="AKA23" s="8"/>
      <c r="AKB23" s="8"/>
      <c r="AKC23" s="8"/>
      <c r="AKD23" s="8"/>
      <c r="AKE23" s="8"/>
      <c r="AKF23" s="8"/>
      <c r="AKG23" s="8"/>
      <c r="AKH23" s="8"/>
      <c r="AKI23" s="8"/>
      <c r="AKJ23" s="8"/>
      <c r="AKK23" s="8"/>
      <c r="AKL23" s="8"/>
      <c r="AKM23" s="8"/>
      <c r="AKN23" s="8"/>
      <c r="AKO23" s="8"/>
      <c r="AKP23" s="8"/>
      <c r="AKQ23" s="8"/>
      <c r="AKR23" s="8"/>
      <c r="AKS23" s="8"/>
      <c r="AKT23" s="8"/>
      <c r="AKU23" s="8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</sheetData>
  <conditionalFormatting sqref="K3:K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conditionalFormatting sqref="L3:L23"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2">
      <formula>"TED"</formula>
    </cfRule>
  </conditionalFormatting>
  <conditionalFormatting sqref="C3:H23">
    <cfRule type="cellIs" priority="8" operator="greaterThan" aboveAverage="0" equalAverage="0" bottom="0" percent="0" rank="0" text="" dxfId="0">
      <formula>6</formula>
    </cfRule>
    <cfRule type="cellIs" priority="9" operator="notBetween" aboveAverage="0" equalAverage="0" bottom="0" percent="0" rank="0" text="" dxfId="1">
      <formula>4</formula>
      <formula>6</formula>
    </cfRule>
    <cfRule type="cellIs" priority="10" operator="lessThan" aboveAverage="0" equalAverage="0" bottom="0" percent="0" rank="0" text="" dxfId="2">
      <formula>4</formula>
    </cfRule>
  </conditionalFormatting>
  <conditionalFormatting sqref="N3:Q23 R3:S17 R20:S23">
    <cfRule type="cellIs" priority="11" operator="greaterThan" aboveAverage="0" equalAverage="0" bottom="0" percent="0" rank="0" text="" dxfId="3">
      <formula>6</formula>
    </cfRule>
    <cfRule type="cellIs" priority="12" operator="between" aboveAverage="0" equalAverage="0" bottom="0" percent="0" rank="0" text="" dxfId="4">
      <formula>4</formula>
      <formula>6</formula>
    </cfRule>
    <cfRule type="cellIs" priority="13" operator="lessThan" aboveAverage="0" equalAverage="0" bottom="0" percent="0" rank="0" text="" dxfId="5">
      <formula>4</formula>
    </cfRule>
  </conditionalFormatting>
  <conditionalFormatting sqref="V3:Z23 T3:U17 T19:U23">
    <cfRule type="cellIs" priority="14" operator="greaterThan" aboveAverage="0" equalAverage="0" bottom="0" percent="0" rank="0" text="" dxfId="6">
      <formula>6</formula>
    </cfRule>
    <cfRule type="cellIs" priority="15" operator="between" aboveAverage="0" equalAverage="0" bottom="0" percent="0" rank="0" text="" dxfId="7">
      <formula>4</formula>
      <formula>6</formula>
    </cfRule>
    <cfRule type="cellIs" priority="16" operator="lessThan" aboveAverage="0" equalAverage="0" bottom="0" percent="0" rank="0" text="" dxfId="8">
      <formula>4</formula>
    </cfRule>
  </conditionalFormatting>
  <conditionalFormatting sqref="AA3:AA23">
    <cfRule type="cellIs" priority="17" operator="equal" aboveAverage="0" equalAverage="0" bottom="0" percent="0" rank="0" text="" dxfId="6">
      <formula>"TEA"</formula>
    </cfRule>
    <cfRule type="cellIs" priority="18" operator="equal" aboveAverage="0" equalAverage="0" bottom="0" percent="0" rank="0" text="" dxfId="7">
      <formula>"TEP"</formula>
    </cfRule>
    <cfRule type="cellIs" priority="19" operator="equal" aboveAverage="0" equalAverage="0" bottom="0" percent="0" rank="0" text="" dxfId="8">
      <formula>"TED"</formula>
    </cfRule>
  </conditionalFormatting>
  <conditionalFormatting sqref="R19:S19">
    <cfRule type="cellIs" priority="20" operator="greaterThan" aboveAverage="0" equalAverage="0" bottom="0" percent="0" rank="0" text="" dxfId="3">
      <formula>6</formula>
    </cfRule>
    <cfRule type="cellIs" priority="21" operator="between" aboveAverage="0" equalAverage="0" bottom="0" percent="0" rank="0" text="" dxfId="4">
      <formula>4</formula>
      <formula>6</formula>
    </cfRule>
    <cfRule type="cellIs" priority="22" operator="lessThan" aboveAverage="0" equalAverage="0" bottom="0" percent="0" rank="0" text="" dxfId="5">
      <formula>4</formula>
    </cfRule>
  </conditionalFormatting>
  <conditionalFormatting sqref="R18:S18">
    <cfRule type="cellIs" priority="23" operator="greaterThan" aboveAverage="0" equalAverage="0" bottom="0" percent="0" rank="0" text="" dxfId="3">
      <formula>6</formula>
    </cfRule>
    <cfRule type="cellIs" priority="24" operator="between" aboveAverage="0" equalAverage="0" bottom="0" percent="0" rank="0" text="" dxfId="4">
      <formula>4</formula>
      <formula>6</formula>
    </cfRule>
    <cfRule type="cellIs" priority="25" operator="lessThan" aboveAverage="0" equalAverage="0" bottom="0" percent="0" rank="0" text="" dxfId="5">
      <formula>4</formula>
    </cfRule>
  </conditionalFormatting>
  <conditionalFormatting sqref="T18:U18">
    <cfRule type="cellIs" priority="26" operator="greaterThan" aboveAverage="0" equalAverage="0" bottom="0" percent="0" rank="0" text="" dxfId="6">
      <formula>6</formula>
    </cfRule>
    <cfRule type="cellIs" priority="27" operator="between" aboveAverage="0" equalAverage="0" bottom="0" percent="0" rank="0" text="" dxfId="7">
      <formula>4</formula>
      <formula>6</formula>
    </cfRule>
    <cfRule type="cellIs" priority="28" operator="lessThan" aboveAverage="0" equalAverage="0" bottom="0" percent="0" rank="0" text="" dxfId="8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5" activeCellId="0" sqref="K5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false" outlineLevel="0" max="6" min="3" style="1" width="9.58"/>
    <col collapsed="false" customWidth="true" hidden="false" outlineLevel="0" max="16384" min="16365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12" t="n">
        <v>46092</v>
      </c>
      <c r="D1" s="12" t="n">
        <v>46099</v>
      </c>
      <c r="E1" s="3" t="n">
        <v>46106</v>
      </c>
      <c r="F1" s="3" t="n">
        <v>46113</v>
      </c>
      <c r="G1" s="3" t="n">
        <v>46120</v>
      </c>
      <c r="H1" s="3" t="n">
        <v>46130</v>
      </c>
      <c r="I1" s="3" t="n">
        <v>46134</v>
      </c>
      <c r="J1" s="3" t="n">
        <v>46155</v>
      </c>
      <c r="K1" s="2" t="s">
        <v>10</v>
      </c>
    </row>
    <row r="2" customFormat="false" ht="15" hidden="false" customHeight="false" outlineLevel="0" collapsed="false">
      <c r="A2" s="1" t="n">
        <v>1</v>
      </c>
      <c r="B2" s="2" t="s">
        <v>13</v>
      </c>
      <c r="C2" s="2"/>
      <c r="D2" s="2" t="n">
        <v>3</v>
      </c>
      <c r="I2" s="1"/>
      <c r="J2" s="1"/>
      <c r="K2" s="2" t="n">
        <f aca="false">SUM(C2:J2)</f>
        <v>3</v>
      </c>
    </row>
    <row r="3" customFormat="false" ht="15" hidden="false" customHeight="false" outlineLevel="0" collapsed="false">
      <c r="A3" s="1" t="n">
        <v>2</v>
      </c>
      <c r="B3" s="2" t="s">
        <v>19</v>
      </c>
      <c r="C3" s="2"/>
      <c r="D3" s="2"/>
      <c r="G3" s="1" t="n">
        <v>1</v>
      </c>
      <c r="I3" s="1"/>
      <c r="J3" s="1"/>
      <c r="K3" s="2" t="n">
        <f aca="false">SUM(C3:J3)</f>
        <v>1</v>
      </c>
    </row>
    <row r="4" customFormat="false" ht="15" hidden="false" customHeight="false" outlineLevel="0" collapsed="false">
      <c r="A4" s="1" t="n">
        <v>3</v>
      </c>
      <c r="B4" s="2" t="s">
        <v>22</v>
      </c>
      <c r="C4" s="2" t="n">
        <v>2</v>
      </c>
      <c r="D4" s="2" t="n">
        <v>3</v>
      </c>
      <c r="F4" s="1" t="n">
        <v>1</v>
      </c>
      <c r="G4" s="1"/>
      <c r="K4" s="2" t="n">
        <f aca="false">SUM(C4:J4)</f>
        <v>6</v>
      </c>
    </row>
    <row r="5" customFormat="false" ht="15" hidden="false" customHeight="false" outlineLevel="0" collapsed="false">
      <c r="A5" s="1" t="n">
        <v>4</v>
      </c>
      <c r="B5" s="2" t="s">
        <v>26</v>
      </c>
      <c r="C5" s="2" t="n">
        <v>7</v>
      </c>
      <c r="D5" s="2" t="n">
        <v>4</v>
      </c>
      <c r="E5" s="1" t="n">
        <v>6</v>
      </c>
      <c r="F5" s="1" t="n">
        <v>3</v>
      </c>
      <c r="G5" s="1" t="n">
        <v>10</v>
      </c>
      <c r="H5" s="1" t="n">
        <v>3</v>
      </c>
      <c r="I5" s="1" t="n">
        <v>2</v>
      </c>
      <c r="J5" s="1" t="n">
        <v>10</v>
      </c>
      <c r="K5" s="2" t="n">
        <f aca="false">SUM(C5:J5)</f>
        <v>45</v>
      </c>
    </row>
    <row r="6" customFormat="false" ht="15" hidden="false" customHeight="false" outlineLevel="0" collapsed="false">
      <c r="A6" s="1" t="n">
        <v>5</v>
      </c>
      <c r="B6" s="2" t="s">
        <v>29</v>
      </c>
      <c r="C6" s="2" t="n">
        <v>3</v>
      </c>
      <c r="D6" s="2" t="n">
        <v>5</v>
      </c>
      <c r="E6" s="1" t="n">
        <v>3</v>
      </c>
      <c r="G6" s="1" t="n">
        <v>11</v>
      </c>
      <c r="K6" s="2" t="n">
        <f aca="false">SUM(C6:J6)</f>
        <v>22</v>
      </c>
    </row>
    <row r="7" customFormat="false" ht="15" hidden="false" customHeight="false" outlineLevel="0" collapsed="false">
      <c r="A7" s="1" t="n">
        <v>6</v>
      </c>
      <c r="B7" s="2" t="s">
        <v>32</v>
      </c>
      <c r="C7" s="2" t="n">
        <v>3</v>
      </c>
      <c r="D7" s="2"/>
      <c r="E7" s="1" t="n">
        <v>3</v>
      </c>
      <c r="F7" s="1" t="n">
        <v>2</v>
      </c>
      <c r="G7" s="1" t="n">
        <v>3</v>
      </c>
      <c r="J7" s="1" t="n">
        <v>5</v>
      </c>
      <c r="K7" s="2" t="n">
        <f aca="false">SUM(C7:J7)</f>
        <v>16</v>
      </c>
    </row>
    <row r="8" customFormat="false" ht="15" hidden="false" customHeight="false" outlineLevel="0" collapsed="false">
      <c r="A8" s="1" t="n">
        <v>7</v>
      </c>
      <c r="B8" s="2" t="s">
        <v>36</v>
      </c>
      <c r="C8" s="2" t="n">
        <v>3</v>
      </c>
      <c r="D8" s="2" t="n">
        <v>4</v>
      </c>
      <c r="E8" s="1" t="n">
        <v>3</v>
      </c>
      <c r="F8" s="1" t="n">
        <v>3</v>
      </c>
      <c r="G8" s="1" t="n">
        <v>7</v>
      </c>
      <c r="J8" s="1" t="n">
        <v>5</v>
      </c>
      <c r="K8" s="2" t="n">
        <f aca="false">SUM(C8:J8)</f>
        <v>25</v>
      </c>
    </row>
    <row r="9" customFormat="false" ht="15" hidden="false" customHeight="false" outlineLevel="0" collapsed="false">
      <c r="A9" s="1" t="n">
        <v>8</v>
      </c>
      <c r="B9" s="2" t="s">
        <v>39</v>
      </c>
      <c r="C9" s="2" t="n">
        <v>3</v>
      </c>
      <c r="D9" s="2" t="n">
        <v>4</v>
      </c>
      <c r="E9" s="1" t="n">
        <v>8</v>
      </c>
      <c r="F9" s="1" t="n">
        <v>4</v>
      </c>
      <c r="G9" s="1" t="n">
        <v>11</v>
      </c>
      <c r="H9" s="1" t="n">
        <v>10</v>
      </c>
      <c r="I9" s="1"/>
      <c r="J9" s="1" t="n">
        <v>10</v>
      </c>
      <c r="K9" s="2" t="n">
        <f aca="false">SUM(C9:J9)</f>
        <v>50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2"/>
      <c r="D10" s="2" t="n">
        <v>1</v>
      </c>
      <c r="E10" s="1" t="n">
        <v>5</v>
      </c>
      <c r="F10" s="1" t="n">
        <v>3</v>
      </c>
      <c r="G10" s="1" t="n">
        <v>5</v>
      </c>
      <c r="J10" s="1" t="n">
        <v>10</v>
      </c>
      <c r="K10" s="2" t="n">
        <f aca="false">SUM(C10:J10)</f>
        <v>24</v>
      </c>
    </row>
    <row r="11" customFormat="false" ht="15" hidden="false" customHeight="false" outlineLevel="0" collapsed="false">
      <c r="A11" s="1" t="n">
        <v>10</v>
      </c>
      <c r="B11" s="2" t="s">
        <v>45</v>
      </c>
      <c r="C11" s="2" t="n">
        <v>5</v>
      </c>
      <c r="D11" s="2" t="n">
        <v>4</v>
      </c>
      <c r="E11" s="1" t="n">
        <v>4</v>
      </c>
      <c r="F11" s="1" t="n">
        <v>1</v>
      </c>
      <c r="G11" s="1" t="n">
        <v>1</v>
      </c>
      <c r="H11" s="1" t="n">
        <v>2</v>
      </c>
      <c r="K11" s="2" t="n">
        <f aca="false">SUM(C11:J11)</f>
        <v>17</v>
      </c>
    </row>
    <row r="12" customFormat="false" ht="15" hidden="false" customHeight="false" outlineLevel="0" collapsed="false">
      <c r="A12" s="1" t="n">
        <v>11</v>
      </c>
      <c r="B12" s="2" t="s">
        <v>48</v>
      </c>
      <c r="C12" s="2"/>
      <c r="D12" s="2" t="n">
        <v>3</v>
      </c>
      <c r="E12" s="1" t="n">
        <v>3</v>
      </c>
      <c r="G12" s="1"/>
      <c r="H12" s="1" t="n">
        <v>4</v>
      </c>
      <c r="I12" s="1" t="n">
        <v>1</v>
      </c>
      <c r="J12" s="1"/>
      <c r="K12" s="2" t="n">
        <f aca="false">SUM(C12:J12)</f>
        <v>11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2" t="n">
        <v>3</v>
      </c>
      <c r="D13" s="2" t="n">
        <v>4</v>
      </c>
      <c r="E13" s="1" t="n">
        <v>3</v>
      </c>
      <c r="G13" s="1" t="n">
        <v>5</v>
      </c>
      <c r="K13" s="2" t="n">
        <f aca="false">SUM(C13:J13)</f>
        <v>15</v>
      </c>
    </row>
    <row r="14" customFormat="false" ht="15" hidden="false" customHeight="false" outlineLevel="0" collapsed="false">
      <c r="A14" s="1" t="n">
        <v>13</v>
      </c>
      <c r="B14" s="2" t="s">
        <v>54</v>
      </c>
      <c r="C14" s="2"/>
      <c r="D14" s="2" t="n">
        <v>3</v>
      </c>
      <c r="G14" s="1"/>
      <c r="H14" s="1" t="n">
        <v>3</v>
      </c>
      <c r="I14" s="1"/>
      <c r="J14" s="1"/>
      <c r="K14" s="2" t="n">
        <f aca="false">SUM(C14:J14)</f>
        <v>6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2"/>
      <c r="D15" s="2" t="n">
        <v>3</v>
      </c>
      <c r="G15" s="1"/>
      <c r="H15" s="1" t="n">
        <v>2</v>
      </c>
      <c r="I15" s="1"/>
      <c r="J15" s="1"/>
      <c r="K15" s="2" t="n">
        <f aca="false">SUM(C15:J15)</f>
        <v>5</v>
      </c>
    </row>
    <row r="16" customFormat="false" ht="15" hidden="false" customHeight="false" outlineLevel="0" collapsed="false">
      <c r="A16" s="1" t="n">
        <v>15</v>
      </c>
      <c r="B16" s="2" t="s">
        <v>60</v>
      </c>
      <c r="C16" s="2" t="n">
        <v>3</v>
      </c>
      <c r="D16" s="2" t="n">
        <v>4</v>
      </c>
      <c r="E16" s="1" t="n">
        <v>3</v>
      </c>
      <c r="G16" s="1" t="n">
        <v>1</v>
      </c>
      <c r="H16" s="1" t="n">
        <v>3</v>
      </c>
      <c r="K16" s="2" t="n">
        <f aca="false">SUM(C16:J16)</f>
        <v>14</v>
      </c>
      <c r="XEK16" s="9"/>
      <c r="XEL16" s="9"/>
      <c r="XEM16" s="9"/>
      <c r="XEN16" s="9"/>
      <c r="XEO16" s="9"/>
      <c r="XEP16" s="9"/>
      <c r="XEQ16" s="9"/>
      <c r="XER16" s="9"/>
      <c r="XES16" s="9"/>
      <c r="XET16" s="9"/>
      <c r="XEU16" s="9"/>
      <c r="XEV16" s="9"/>
      <c r="XEW16" s="9"/>
      <c r="XEX16" s="9"/>
      <c r="XEY16" s="9"/>
      <c r="XEZ16" s="9"/>
      <c r="XFA16" s="9"/>
      <c r="XFB16" s="9"/>
      <c r="XFC16" s="9"/>
      <c r="XFD16" s="9"/>
    </row>
    <row r="17" s="9" customFormat="true" ht="15" hidden="false" customHeight="false" outlineLevel="0" collapsed="false">
      <c r="A17" s="9" t="n">
        <v>16</v>
      </c>
      <c r="B17" s="8" t="s">
        <v>111</v>
      </c>
      <c r="C17" s="8"/>
      <c r="D17" s="8"/>
      <c r="K17" s="2" t="n">
        <f aca="false">SUM(C17:J17)</f>
        <v>0</v>
      </c>
      <c r="XEK17" s="1"/>
      <c r="XEL17" s="1"/>
      <c r="XEM17" s="1"/>
      <c r="XEN17" s="1"/>
      <c r="XEO17" s="1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customFormat="false" ht="15" hidden="false" customHeight="false" outlineLevel="0" collapsed="false">
      <c r="A18" s="1" t="n">
        <v>17</v>
      </c>
      <c r="B18" s="2" t="s">
        <v>69</v>
      </c>
      <c r="C18" s="2"/>
      <c r="D18" s="2"/>
      <c r="E18" s="1" t="n">
        <v>4</v>
      </c>
      <c r="G18" s="1" t="n">
        <v>1</v>
      </c>
      <c r="I18" s="1"/>
      <c r="J18" s="1"/>
      <c r="K18" s="2" t="n">
        <f aca="false">SUM(C18:J18)</f>
        <v>5</v>
      </c>
    </row>
    <row r="19" customFormat="false" ht="15" hidden="false" customHeight="false" outlineLevel="0" collapsed="false">
      <c r="A19" s="1" t="n">
        <v>18</v>
      </c>
      <c r="B19" s="2" t="s">
        <v>114</v>
      </c>
      <c r="C19" s="2"/>
      <c r="D19" s="2"/>
      <c r="I19" s="1"/>
      <c r="J19" s="1"/>
      <c r="K19" s="2" t="n">
        <f aca="false">SUM(C19:J19)</f>
        <v>0</v>
      </c>
      <c r="XEK19" s="9"/>
      <c r="XEL19" s="9"/>
      <c r="XEM19" s="9"/>
      <c r="XEN19" s="9"/>
      <c r="XEO19" s="9"/>
      <c r="XEP19" s="9"/>
      <c r="XEQ19" s="9"/>
      <c r="XER19" s="9"/>
      <c r="XES19" s="9"/>
      <c r="XET19" s="9"/>
      <c r="XEU19" s="9"/>
      <c r="XEV19" s="9"/>
      <c r="XEW19" s="9"/>
      <c r="XEX19" s="9"/>
      <c r="XEY19" s="9"/>
      <c r="XEZ19" s="9"/>
      <c r="XFA19" s="9"/>
      <c r="XFB19" s="9"/>
      <c r="XFC19" s="9"/>
      <c r="XFD19" s="9"/>
    </row>
    <row r="20" s="9" customFormat="true" ht="15" hidden="false" customHeight="false" outlineLevel="0" collapsed="false">
      <c r="A20" s="9" t="n">
        <v>19</v>
      </c>
      <c r="B20" s="8" t="s">
        <v>115</v>
      </c>
      <c r="C20" s="8"/>
      <c r="D20" s="8"/>
      <c r="K20" s="2" t="n">
        <f aca="false">SUM(C20:J20)</f>
        <v>0</v>
      </c>
      <c r="XEK20" s="1"/>
      <c r="XEL20" s="1"/>
      <c r="XEM20" s="1"/>
      <c r="XEN20" s="1"/>
      <c r="XEO20" s="1"/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customFormat="false" ht="15" hidden="false" customHeight="false" outlineLevel="0" collapsed="false">
      <c r="A21" s="1" t="n">
        <v>20</v>
      </c>
      <c r="B21" s="2" t="s">
        <v>75</v>
      </c>
      <c r="C21" s="2"/>
      <c r="D21" s="2" t="n">
        <v>3</v>
      </c>
      <c r="E21" s="1" t="n">
        <v>3</v>
      </c>
      <c r="G21" s="1" t="n">
        <v>6</v>
      </c>
      <c r="I21" s="1"/>
      <c r="J21" s="1"/>
      <c r="K21" s="2" t="n">
        <f aca="false">SUM(C21:J21)</f>
        <v>12</v>
      </c>
    </row>
    <row r="22" customFormat="false" ht="15" hidden="false" customHeight="false" outlineLevel="0" collapsed="false">
      <c r="A22" s="1" t="n">
        <v>21</v>
      </c>
      <c r="B22" s="2" t="s">
        <v>78</v>
      </c>
      <c r="C22" s="2" t="n">
        <v>3</v>
      </c>
      <c r="D22" s="2" t="n">
        <v>3</v>
      </c>
      <c r="E22" s="1" t="n">
        <v>7</v>
      </c>
      <c r="F22" s="1" t="n">
        <v>3</v>
      </c>
      <c r="G22" s="1"/>
      <c r="H22" s="1" t="n">
        <v>4</v>
      </c>
      <c r="I22" s="1" t="n">
        <v>1</v>
      </c>
      <c r="J22" s="1" t="n">
        <v>10</v>
      </c>
      <c r="K22" s="2" t="n">
        <f aca="false">SUM(C22:J22)</f>
        <v>31</v>
      </c>
      <c r="XEK22" s="9"/>
      <c r="XEL22" s="9"/>
      <c r="XEM22" s="9"/>
      <c r="XEN22" s="9"/>
      <c r="XEO22" s="9"/>
      <c r="XEP22" s="9"/>
      <c r="XEQ22" s="9"/>
      <c r="XER22" s="9"/>
      <c r="XES22" s="9"/>
      <c r="XET22" s="9"/>
      <c r="XEU22" s="9"/>
      <c r="XEV22" s="9"/>
      <c r="XEW22" s="9"/>
      <c r="XEX22" s="9"/>
      <c r="XEY22" s="9"/>
      <c r="XEZ22" s="9"/>
      <c r="XFA22" s="9"/>
      <c r="XFB22" s="9"/>
      <c r="XFC22" s="9"/>
      <c r="XFD22" s="9"/>
    </row>
    <row r="23" s="9" customFormat="true" ht="15" hidden="false" customHeight="false" outlineLevel="0" collapsed="false">
      <c r="A23" s="9" t="n">
        <v>22</v>
      </c>
      <c r="B23" s="8" t="s">
        <v>116</v>
      </c>
      <c r="C23" s="8"/>
      <c r="D23" s="8"/>
      <c r="K23" s="2" t="n">
        <f aca="false">SUM(C23:J23)</f>
        <v>0</v>
      </c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29" colorId="64" zoomScale="100" zoomScaleNormal="100" zoomScalePageLayoutView="100" workbookViewId="0">
      <selection pane="topLeft" activeCell="G2" activeCellId="0" sqref="G2"/>
    </sheetView>
  </sheetViews>
  <sheetFormatPr defaultColWidth="10.58203125" defaultRowHeight="15" zeroHeight="false" outlineLevelRow="0" outlineLevelCol="0"/>
  <cols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117</v>
      </c>
      <c r="E1" s="1" t="s">
        <v>93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1" t="n">
        <v>1</v>
      </c>
      <c r="B2" s="2" t="s">
        <v>13</v>
      </c>
      <c r="C2" s="1" t="s">
        <v>13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7</v>
      </c>
      <c r="G3" s="1" t="n">
        <v>7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9</v>
      </c>
      <c r="G4" s="1" t="n">
        <v>9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10</v>
      </c>
      <c r="G5" s="1" t="n">
        <v>10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n">
        <v>8</v>
      </c>
      <c r="E6" s="1" t="n">
        <f aca="false">ROUND(AVERAGE(D6:D9),0)</f>
        <v>7</v>
      </c>
      <c r="F6" s="1" t="n">
        <v>7</v>
      </c>
      <c r="G6" s="1" t="n">
        <f aca="false">MAX(F6,E6)</f>
        <v>7</v>
      </c>
    </row>
    <row r="7" customFormat="false" ht="15" hidden="false" customHeight="false" outlineLevel="0" collapsed="false">
      <c r="C7" s="1" t="s">
        <v>29</v>
      </c>
      <c r="D7" s="1" t="n">
        <v>7</v>
      </c>
    </row>
    <row r="8" customFormat="false" ht="15" hidden="false" customHeight="false" outlineLevel="0" collapsed="false">
      <c r="C8" s="1" t="s">
        <v>29</v>
      </c>
      <c r="D8" s="1" t="n">
        <v>6</v>
      </c>
    </row>
    <row r="9" customFormat="false" ht="15" hidden="false" customHeight="false" outlineLevel="0" collapsed="false">
      <c r="C9" s="1" t="s">
        <v>29</v>
      </c>
      <c r="D9" s="1" t="n">
        <v>6</v>
      </c>
    </row>
    <row r="10" customFormat="false" ht="15" hidden="false" customHeight="false" outlineLevel="0" collapsed="false">
      <c r="A10" s="1" t="n">
        <v>6</v>
      </c>
      <c r="B10" s="2" t="s">
        <v>32</v>
      </c>
      <c r="C10" s="1" t="s">
        <v>32</v>
      </c>
      <c r="D10" s="1" t="n">
        <v>10</v>
      </c>
      <c r="E10" s="1" t="n">
        <f aca="false">ROUND(AVERAGE(D10:D13),0)</f>
        <v>8</v>
      </c>
      <c r="F10" s="1" t="n">
        <v>9</v>
      </c>
      <c r="G10" s="1" t="n">
        <f aca="false">MAX(F10,E10)</f>
        <v>9</v>
      </c>
    </row>
    <row r="11" customFormat="false" ht="15" hidden="false" customHeight="false" outlineLevel="0" collapsed="false">
      <c r="C11" s="1" t="s">
        <v>32</v>
      </c>
      <c r="D11" s="1" t="n">
        <v>9</v>
      </c>
    </row>
    <row r="12" customFormat="false" ht="15" hidden="false" customHeight="false" outlineLevel="0" collapsed="false">
      <c r="C12" s="1" t="s">
        <v>32</v>
      </c>
      <c r="D12" s="1" t="n">
        <v>7</v>
      </c>
    </row>
    <row r="13" customFormat="false" ht="15" hidden="false" customHeight="false" outlineLevel="0" collapsed="false">
      <c r="C13" s="1" t="s">
        <v>32</v>
      </c>
      <c r="D13" s="1" t="n">
        <v>4</v>
      </c>
    </row>
    <row r="14" customFormat="false" ht="15" hidden="false" customHeight="false" outlineLevel="0" collapsed="false">
      <c r="A14" s="1" t="n">
        <v>7</v>
      </c>
      <c r="B14" s="2" t="s">
        <v>36</v>
      </c>
      <c r="C14" s="1" t="s">
        <v>36</v>
      </c>
      <c r="D14" s="1" t="n">
        <v>7</v>
      </c>
      <c r="G14" s="1" t="n">
        <v>7</v>
      </c>
    </row>
    <row r="15" customFormat="false" ht="15" hidden="false" customHeight="false" outlineLevel="0" collapsed="false">
      <c r="A15" s="1" t="n">
        <v>8</v>
      </c>
      <c r="B15" s="2" t="s">
        <v>39</v>
      </c>
      <c r="C15" s="1" t="s">
        <v>39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9</v>
      </c>
      <c r="B16" s="2" t="s">
        <v>42</v>
      </c>
      <c r="C16" s="1" t="s">
        <v>42</v>
      </c>
      <c r="D16" s="1" t="n">
        <v>9</v>
      </c>
      <c r="G16" s="1" t="n">
        <v>9</v>
      </c>
    </row>
    <row r="17" customFormat="false" ht="15" hidden="false" customHeight="false" outlineLevel="0" collapsed="false">
      <c r="A17" s="1" t="n">
        <v>10</v>
      </c>
      <c r="B17" s="2" t="s">
        <v>45</v>
      </c>
      <c r="C17" s="1" t="s">
        <v>45</v>
      </c>
      <c r="D17" s="1" t="n">
        <v>8</v>
      </c>
      <c r="G17" s="1" t="n">
        <v>8</v>
      </c>
    </row>
    <row r="18" customFormat="false" ht="15" hidden="false" customHeight="false" outlineLevel="0" collapsed="false">
      <c r="A18" s="1" t="n">
        <v>11</v>
      </c>
      <c r="B18" s="2" t="s">
        <v>48</v>
      </c>
      <c r="C18" s="1" t="s">
        <v>48</v>
      </c>
      <c r="D18" s="1" t="n">
        <v>9</v>
      </c>
      <c r="E18" s="1" t="n">
        <f aca="false">ROUND(AVERAGE(D18:D19),0)</f>
        <v>9</v>
      </c>
      <c r="F18" s="1" t="n">
        <v>9</v>
      </c>
      <c r="G18" s="1" t="n">
        <f aca="false">MAX(F18,E18)</f>
        <v>9</v>
      </c>
    </row>
    <row r="19" customFormat="false" ht="15" hidden="false" customHeight="false" outlineLevel="0" collapsed="false">
      <c r="C19" s="1" t="s">
        <v>48</v>
      </c>
      <c r="D19" s="1" t="n">
        <v>9</v>
      </c>
    </row>
    <row r="20" customFormat="false" ht="15" hidden="false" customHeight="false" outlineLevel="0" collapsed="false">
      <c r="A20" s="1" t="n">
        <v>12</v>
      </c>
      <c r="B20" s="2" t="s">
        <v>51</v>
      </c>
      <c r="C20" s="1" t="s">
        <v>51</v>
      </c>
      <c r="D20" s="1" t="n">
        <v>9</v>
      </c>
      <c r="G20" s="1" t="n">
        <v>9</v>
      </c>
    </row>
    <row r="21" customFormat="false" ht="15" hidden="false" customHeight="false" outlineLevel="0" collapsed="false">
      <c r="A21" s="1" t="n">
        <v>13</v>
      </c>
      <c r="B21" s="2" t="s">
        <v>54</v>
      </c>
      <c r="C21" s="1" t="s">
        <v>54</v>
      </c>
      <c r="D21" s="1" t="n">
        <v>7</v>
      </c>
      <c r="G21" s="1" t="n">
        <v>7</v>
      </c>
    </row>
    <row r="22" customFormat="false" ht="15" hidden="false" customHeight="false" outlineLevel="0" collapsed="false">
      <c r="A22" s="1" t="n">
        <v>14</v>
      </c>
      <c r="B22" s="2" t="s">
        <v>57</v>
      </c>
      <c r="C22" s="1" t="s">
        <v>57</v>
      </c>
      <c r="D22" s="1" t="n">
        <v>7</v>
      </c>
      <c r="E22" s="1" t="n">
        <f aca="false">ROUND(AVERAGE(D22:D23),0)</f>
        <v>7</v>
      </c>
      <c r="F22" s="1" t="n">
        <v>7</v>
      </c>
      <c r="G22" s="1" t="n">
        <f aca="false">MAX(F22,E22)</f>
        <v>7</v>
      </c>
    </row>
    <row r="23" customFormat="false" ht="15" hidden="false" customHeight="false" outlineLevel="0" collapsed="false">
      <c r="C23" s="1" t="s">
        <v>57</v>
      </c>
      <c r="D23" s="1" t="n">
        <v>7</v>
      </c>
    </row>
    <row r="24" customFormat="false" ht="15" hidden="false" customHeight="false" outlineLevel="0" collapsed="false">
      <c r="A24" s="1" t="n">
        <v>15</v>
      </c>
      <c r="B24" s="2" t="s">
        <v>60</v>
      </c>
      <c r="C24" s="1" t="s">
        <v>60</v>
      </c>
      <c r="D24" s="1" t="n">
        <v>10</v>
      </c>
      <c r="E24" s="1" t="n">
        <f aca="false">ROUND(AVERAGE(D24:D27),0)</f>
        <v>7</v>
      </c>
      <c r="F24" s="1" t="n">
        <v>7</v>
      </c>
      <c r="G24" s="1" t="n">
        <f aca="false">MAX(F24,E24)</f>
        <v>7</v>
      </c>
    </row>
    <row r="25" customFormat="false" ht="15" hidden="false" customHeight="false" outlineLevel="0" collapsed="false">
      <c r="C25" s="1" t="s">
        <v>60</v>
      </c>
      <c r="D25" s="1" t="n">
        <v>7</v>
      </c>
    </row>
    <row r="26" customFormat="false" ht="15" hidden="false" customHeight="false" outlineLevel="0" collapsed="false">
      <c r="C26" s="1" t="s">
        <v>60</v>
      </c>
      <c r="D26" s="1" t="n">
        <v>5</v>
      </c>
    </row>
    <row r="27" customFormat="false" ht="15" hidden="false" customHeight="false" outlineLevel="0" collapsed="false">
      <c r="C27" s="1" t="s">
        <v>60</v>
      </c>
      <c r="D27" s="1" t="n">
        <v>4</v>
      </c>
    </row>
    <row r="28" customFormat="false" ht="15" hidden="false" customHeight="false" outlineLevel="0" collapsed="false">
      <c r="A28" s="9" t="n">
        <v>16</v>
      </c>
      <c r="B28" s="8" t="s">
        <v>63</v>
      </c>
      <c r="D28" s="1" t="n">
        <v>1</v>
      </c>
      <c r="G28" s="1" t="n">
        <v>1</v>
      </c>
    </row>
    <row r="29" customFormat="false" ht="15" hidden="false" customHeight="false" outlineLevel="0" collapsed="false">
      <c r="A29" s="1" t="n">
        <v>17</v>
      </c>
      <c r="B29" s="2" t="s">
        <v>69</v>
      </c>
      <c r="C29" s="1" t="s">
        <v>69</v>
      </c>
      <c r="D29" s="1" t="n">
        <v>9</v>
      </c>
      <c r="G29" s="1" t="n">
        <v>9</v>
      </c>
    </row>
    <row r="30" customFormat="false" ht="15" hidden="false" customHeight="false" outlineLevel="0" collapsed="false">
      <c r="A30" s="9" t="n">
        <v>18</v>
      </c>
      <c r="B30" s="8" t="s">
        <v>72</v>
      </c>
      <c r="C30" s="1" t="s">
        <v>115</v>
      </c>
      <c r="D30" s="1" t="n">
        <v>10</v>
      </c>
      <c r="G30" s="1" t="n">
        <v>10</v>
      </c>
    </row>
    <row r="31" customFormat="false" ht="15" hidden="false" customHeight="false" outlineLevel="0" collapsed="false">
      <c r="A31" s="1" t="n">
        <v>19</v>
      </c>
      <c r="B31" s="2" t="s">
        <v>75</v>
      </c>
      <c r="C31" s="1" t="s">
        <v>75</v>
      </c>
      <c r="D31" s="1" t="n">
        <v>7</v>
      </c>
      <c r="G31" s="1" t="n">
        <v>7</v>
      </c>
    </row>
    <row r="32" customFormat="false" ht="15" hidden="false" customHeight="false" outlineLevel="0" collapsed="false">
      <c r="A32" s="1" t="n">
        <v>20</v>
      </c>
      <c r="B32" s="2" t="s">
        <v>78</v>
      </c>
      <c r="C32" s="1" t="s">
        <v>78</v>
      </c>
      <c r="D32" s="1" t="n">
        <v>9</v>
      </c>
      <c r="E32" s="1" t="n">
        <f aca="false">ROUND(AVERAGE(D32:D34),0)</f>
        <v>7</v>
      </c>
      <c r="F32" s="1" t="n">
        <v>7</v>
      </c>
      <c r="G32" s="1" t="n">
        <f aca="false">MAX(F32,E32)</f>
        <v>7</v>
      </c>
    </row>
    <row r="33" customFormat="false" ht="15" hidden="false" customHeight="false" outlineLevel="0" collapsed="false">
      <c r="C33" s="1" t="s">
        <v>78</v>
      </c>
      <c r="D33" s="1" t="n">
        <v>7</v>
      </c>
    </row>
    <row r="34" customFormat="false" ht="15" hidden="false" customHeight="false" outlineLevel="0" collapsed="false">
      <c r="C34" s="1" t="s">
        <v>78</v>
      </c>
      <c r="D34" s="1" t="n">
        <v>5</v>
      </c>
    </row>
    <row r="35" customFormat="false" ht="15" hidden="false" customHeight="false" outlineLevel="0" collapsed="false">
      <c r="A35" s="9" t="n">
        <v>21</v>
      </c>
      <c r="B35" s="8" t="s">
        <v>81</v>
      </c>
      <c r="D35" s="1" t="n">
        <v>1</v>
      </c>
      <c r="G35" s="1" t="n">
        <v>1</v>
      </c>
    </row>
    <row r="36" customFormat="false" ht="15" hidden="false" customHeight="false" outlineLevel="0" collapsed="false">
      <c r="F36" s="1" t="s">
        <v>10</v>
      </c>
      <c r="G36" s="1" t="n">
        <f aca="false">COUNTIF(G2:G35,"&gt;0")</f>
        <v>21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G2" activeCellId="0" sqref="G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5.69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117</v>
      </c>
      <c r="E1" s="1" t="s">
        <v>93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1" t="n">
        <v>1</v>
      </c>
      <c r="B2" s="2" t="s">
        <v>13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n">
        <v>3</v>
      </c>
      <c r="B4" s="2" t="s">
        <v>22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9</v>
      </c>
      <c r="E5" s="1" t="n">
        <f aca="false">ROUND(AVERAGE(D5:D13),0)</f>
        <v>6</v>
      </c>
      <c r="F5" s="1" t="n">
        <v>8</v>
      </c>
      <c r="G5" s="1" t="n">
        <f aca="false">MAX(F5,E5)</f>
        <v>8</v>
      </c>
    </row>
    <row r="6" customFormat="false" ht="15" hidden="false" customHeight="false" outlineLevel="0" collapsed="false">
      <c r="C6" s="1" t="s">
        <v>26</v>
      </c>
      <c r="D6" s="1" t="n">
        <v>8</v>
      </c>
    </row>
    <row r="7" customFormat="false" ht="15" hidden="false" customHeight="false" outlineLevel="0" collapsed="false">
      <c r="C7" s="1" t="s">
        <v>26</v>
      </c>
      <c r="D7" s="1" t="n">
        <v>8</v>
      </c>
    </row>
    <row r="8" customFormat="false" ht="15" hidden="false" customHeight="false" outlineLevel="0" collapsed="false">
      <c r="C8" s="1" t="s">
        <v>26</v>
      </c>
      <c r="D8" s="1" t="n">
        <v>8</v>
      </c>
    </row>
    <row r="9" customFormat="false" ht="15" hidden="false" customHeight="false" outlineLevel="0" collapsed="false">
      <c r="C9" s="1" t="s">
        <v>26</v>
      </c>
      <c r="D9" s="1" t="n">
        <v>5</v>
      </c>
    </row>
    <row r="10" customFormat="false" ht="15" hidden="false" customHeight="false" outlineLevel="0" collapsed="false">
      <c r="C10" s="1" t="s">
        <v>26</v>
      </c>
      <c r="D10" s="1" t="n">
        <v>5</v>
      </c>
    </row>
    <row r="11" customFormat="false" ht="15" hidden="false" customHeight="false" outlineLevel="0" collapsed="false">
      <c r="C11" s="1" t="s">
        <v>26</v>
      </c>
      <c r="D11" s="1" t="n">
        <v>4</v>
      </c>
    </row>
    <row r="12" customFormat="false" ht="15" hidden="false" customHeight="false" outlineLevel="0" collapsed="false">
      <c r="C12" s="1" t="s">
        <v>26</v>
      </c>
      <c r="D12" s="1" t="n">
        <v>3</v>
      </c>
    </row>
    <row r="13" customFormat="false" ht="15" hidden="false" customHeight="false" outlineLevel="0" collapsed="false">
      <c r="C13" s="1" t="s">
        <v>26</v>
      </c>
      <c r="D13" s="1" t="n">
        <v>1</v>
      </c>
    </row>
    <row r="14" customFormat="false" ht="15" hidden="false" customHeight="false" outlineLevel="0" collapsed="false">
      <c r="A14" s="1" t="n">
        <v>5</v>
      </c>
      <c r="B14" s="2" t="s">
        <v>29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6</v>
      </c>
      <c r="B15" s="2" t="s">
        <v>32</v>
      </c>
      <c r="C15" s="1" t="s">
        <v>32</v>
      </c>
      <c r="D15" s="1" t="n">
        <v>6</v>
      </c>
      <c r="E15" s="1" t="n">
        <f aca="false">ROUND(AVERAGE(D15:D17),0)</f>
        <v>4</v>
      </c>
      <c r="F15" s="1" t="n">
        <v>4</v>
      </c>
      <c r="G15" s="1" t="n">
        <f aca="false">MAX(F15,E15)</f>
        <v>4</v>
      </c>
    </row>
    <row r="16" customFormat="false" ht="15" hidden="false" customHeight="false" outlineLevel="0" collapsed="false">
      <c r="C16" s="1" t="s">
        <v>32</v>
      </c>
      <c r="D16" s="1" t="n">
        <v>4</v>
      </c>
    </row>
    <row r="17" customFormat="false" ht="15" hidden="false" customHeight="false" outlineLevel="0" collapsed="false">
      <c r="C17" s="1" t="s">
        <v>32</v>
      </c>
      <c r="D17" s="1" t="n">
        <v>2</v>
      </c>
    </row>
    <row r="18" customFormat="false" ht="15" hidden="false" customHeight="false" outlineLevel="0" collapsed="false">
      <c r="A18" s="1" t="n">
        <v>7</v>
      </c>
      <c r="B18" s="2" t="s">
        <v>36</v>
      </c>
      <c r="C18" s="1" t="s">
        <v>36</v>
      </c>
      <c r="D18" s="1" t="n">
        <v>7</v>
      </c>
      <c r="G18" s="1" t="n">
        <v>7</v>
      </c>
    </row>
    <row r="19" customFormat="false" ht="15" hidden="false" customHeight="false" outlineLevel="0" collapsed="false">
      <c r="A19" s="1" t="n">
        <v>8</v>
      </c>
      <c r="B19" s="2" t="s">
        <v>39</v>
      </c>
      <c r="C19" s="1" t="s">
        <v>39</v>
      </c>
      <c r="D19" s="1" t="n">
        <v>10</v>
      </c>
      <c r="G19" s="1" t="n">
        <v>10</v>
      </c>
    </row>
    <row r="20" customFormat="false" ht="15" hidden="false" customHeight="false" outlineLevel="0" collapsed="false">
      <c r="A20" s="1" t="n">
        <v>9</v>
      </c>
      <c r="B20" s="2" t="s">
        <v>42</v>
      </c>
      <c r="C20" s="1" t="s">
        <v>42</v>
      </c>
      <c r="D20" s="1" t="n">
        <v>5</v>
      </c>
      <c r="E20" s="1" t="n">
        <f aca="false">ROUND(AVERAGE(D20:D24),0)</f>
        <v>3</v>
      </c>
      <c r="F20" s="1" t="n">
        <v>2</v>
      </c>
      <c r="G20" s="1" t="n">
        <f aca="false">MAX(F20,E20)</f>
        <v>3</v>
      </c>
    </row>
    <row r="21" customFormat="false" ht="15" hidden="false" customHeight="false" outlineLevel="0" collapsed="false">
      <c r="C21" s="1" t="s">
        <v>42</v>
      </c>
      <c r="D21" s="1" t="n">
        <v>5</v>
      </c>
    </row>
    <row r="22" customFormat="false" ht="15" hidden="false" customHeight="false" outlineLevel="0" collapsed="false">
      <c r="C22" s="1" t="s">
        <v>42</v>
      </c>
      <c r="D22" s="1" t="n">
        <v>2</v>
      </c>
    </row>
    <row r="23" customFormat="false" ht="15" hidden="false" customHeight="false" outlineLevel="0" collapsed="false">
      <c r="C23" s="1" t="s">
        <v>42</v>
      </c>
      <c r="D23" s="1" t="n">
        <v>2</v>
      </c>
    </row>
    <row r="24" customFormat="false" ht="15" hidden="false" customHeight="false" outlineLevel="0" collapsed="false">
      <c r="C24" s="1" t="s">
        <v>42</v>
      </c>
      <c r="D24" s="1" t="n">
        <v>1</v>
      </c>
    </row>
    <row r="25" customFormat="false" ht="15" hidden="false" customHeight="false" outlineLevel="0" collapsed="false">
      <c r="A25" s="1" t="n">
        <v>10</v>
      </c>
      <c r="B25" s="2" t="s">
        <v>45</v>
      </c>
      <c r="C25" s="1" t="s">
        <v>45</v>
      </c>
      <c r="D25" s="1" t="n">
        <v>6</v>
      </c>
      <c r="E25" s="1" t="n">
        <f aca="false">ROUND(AVERAGE(D25:D26),0)</f>
        <v>4</v>
      </c>
      <c r="F25" s="1" t="n">
        <v>2</v>
      </c>
      <c r="G25" s="1" t="n">
        <f aca="false">MAX(F25,E25)</f>
        <v>4</v>
      </c>
    </row>
    <row r="26" customFormat="false" ht="15" hidden="false" customHeight="false" outlineLevel="0" collapsed="false">
      <c r="C26" s="1" t="s">
        <v>45</v>
      </c>
      <c r="D26" s="1" t="n">
        <v>2</v>
      </c>
    </row>
    <row r="27" customFormat="false" ht="15" hidden="false" customHeight="false" outlineLevel="0" collapsed="false">
      <c r="A27" s="1" t="n">
        <v>11</v>
      </c>
      <c r="B27" s="2" t="s">
        <v>48</v>
      </c>
      <c r="C27" s="1" t="s">
        <v>48</v>
      </c>
      <c r="D27" s="1" t="n">
        <v>7</v>
      </c>
      <c r="G27" s="1" t="n">
        <v>7</v>
      </c>
    </row>
    <row r="28" customFormat="false" ht="15" hidden="false" customHeight="false" outlineLevel="0" collapsed="false">
      <c r="A28" s="1" t="n">
        <v>12</v>
      </c>
      <c r="B28" s="2" t="s">
        <v>51</v>
      </c>
      <c r="C28" s="1" t="s">
        <v>51</v>
      </c>
      <c r="D28" s="1" t="n">
        <v>9</v>
      </c>
      <c r="G28" s="1" t="n">
        <v>9</v>
      </c>
    </row>
    <row r="29" customFormat="false" ht="15" hidden="false" customHeight="false" outlineLevel="0" collapsed="false">
      <c r="A29" s="1" t="n">
        <v>13</v>
      </c>
      <c r="B29" s="2" t="s">
        <v>54</v>
      </c>
      <c r="D29" s="1" t="n">
        <v>1</v>
      </c>
      <c r="G29" s="1" t="n">
        <v>1</v>
      </c>
    </row>
    <row r="30" customFormat="false" ht="15" hidden="false" customHeight="false" outlineLevel="0" collapsed="false">
      <c r="A30" s="1" t="n">
        <v>14</v>
      </c>
      <c r="B30" s="2" t="s">
        <v>57</v>
      </c>
      <c r="C30" s="1" t="s">
        <v>57</v>
      </c>
      <c r="D30" s="1" t="n">
        <v>10</v>
      </c>
      <c r="E30" s="1" t="n">
        <f aca="false">ROUND(AVERAGE(D30:D38),0)</f>
        <v>8</v>
      </c>
      <c r="F30" s="1" t="n">
        <v>9</v>
      </c>
      <c r="G30" s="1" t="n">
        <f aca="false">MAX(F30,E30)</f>
        <v>9</v>
      </c>
    </row>
    <row r="31" customFormat="false" ht="15" hidden="false" customHeight="false" outlineLevel="0" collapsed="false">
      <c r="C31" s="1" t="s">
        <v>57</v>
      </c>
      <c r="D31" s="1" t="n">
        <v>9</v>
      </c>
    </row>
    <row r="32" customFormat="false" ht="15" hidden="false" customHeight="false" outlineLevel="0" collapsed="false">
      <c r="C32" s="1" t="s">
        <v>57</v>
      </c>
      <c r="D32" s="1" t="n">
        <v>9</v>
      </c>
    </row>
    <row r="33" customFormat="false" ht="15" hidden="false" customHeight="false" outlineLevel="0" collapsed="false">
      <c r="C33" s="1" t="s">
        <v>57</v>
      </c>
      <c r="D33" s="1" t="n">
        <v>8</v>
      </c>
    </row>
    <row r="34" customFormat="false" ht="15" hidden="false" customHeight="false" outlineLevel="0" collapsed="false">
      <c r="C34" s="1" t="s">
        <v>57</v>
      </c>
      <c r="D34" s="1" t="n">
        <v>8</v>
      </c>
    </row>
    <row r="35" customFormat="false" ht="15" hidden="false" customHeight="false" outlineLevel="0" collapsed="false">
      <c r="C35" s="1" t="s">
        <v>57</v>
      </c>
      <c r="D35" s="1" t="n">
        <v>7</v>
      </c>
    </row>
    <row r="36" customFormat="false" ht="15" hidden="false" customHeight="false" outlineLevel="0" collapsed="false">
      <c r="C36" s="1" t="s">
        <v>57</v>
      </c>
      <c r="D36" s="1" t="n">
        <v>6</v>
      </c>
    </row>
    <row r="37" customFormat="false" ht="15" hidden="false" customHeight="false" outlineLevel="0" collapsed="false">
      <c r="C37" s="1" t="s">
        <v>57</v>
      </c>
      <c r="D37" s="1" t="n">
        <v>6</v>
      </c>
    </row>
    <row r="38" customFormat="false" ht="15" hidden="false" customHeight="false" outlineLevel="0" collapsed="false">
      <c r="C38" s="1" t="s">
        <v>57</v>
      </c>
      <c r="D38" s="1" t="n">
        <v>6</v>
      </c>
    </row>
    <row r="39" customFormat="false" ht="15" hidden="false" customHeight="false" outlineLevel="0" collapsed="false">
      <c r="A39" s="1" t="n">
        <v>15</v>
      </c>
      <c r="B39" s="2" t="s">
        <v>60</v>
      </c>
      <c r="D39" s="1" t="n">
        <v>1</v>
      </c>
      <c r="G39" s="1" t="n">
        <v>1</v>
      </c>
    </row>
    <row r="40" customFormat="false" ht="15" hidden="false" customHeight="false" outlineLevel="0" collapsed="false">
      <c r="A40" s="9" t="n">
        <v>16</v>
      </c>
      <c r="B40" s="8" t="s">
        <v>63</v>
      </c>
      <c r="D40" s="1" t="n">
        <v>1</v>
      </c>
      <c r="G40" s="1" t="n">
        <v>1</v>
      </c>
    </row>
    <row r="41" customFormat="false" ht="15" hidden="false" customHeight="false" outlineLevel="0" collapsed="false">
      <c r="A41" s="1" t="n">
        <v>17</v>
      </c>
      <c r="B41" s="2" t="s">
        <v>69</v>
      </c>
      <c r="D41" s="1" t="n">
        <v>1</v>
      </c>
      <c r="G41" s="1" t="n">
        <v>1</v>
      </c>
    </row>
    <row r="42" customFormat="false" ht="15" hidden="false" customHeight="false" outlineLevel="0" collapsed="false">
      <c r="A42" s="9" t="n">
        <v>18</v>
      </c>
      <c r="B42" s="8" t="s">
        <v>72</v>
      </c>
      <c r="D42" s="1" t="n">
        <v>1</v>
      </c>
      <c r="G42" s="1" t="n">
        <v>1</v>
      </c>
    </row>
    <row r="43" customFormat="false" ht="15" hidden="false" customHeight="false" outlineLevel="0" collapsed="false">
      <c r="A43" s="1" t="n">
        <v>19</v>
      </c>
      <c r="B43" s="2" t="s">
        <v>75</v>
      </c>
      <c r="D43" s="1" t="n">
        <v>1</v>
      </c>
      <c r="G43" s="1" t="n">
        <v>1</v>
      </c>
    </row>
    <row r="44" customFormat="false" ht="15" hidden="false" customHeight="false" outlineLevel="0" collapsed="false">
      <c r="A44" s="1" t="n">
        <v>20</v>
      </c>
      <c r="B44" s="2" t="s">
        <v>78</v>
      </c>
      <c r="C44" s="1" t="s">
        <v>78</v>
      </c>
      <c r="D44" s="1" t="n">
        <v>10</v>
      </c>
      <c r="G44" s="1" t="n">
        <v>10</v>
      </c>
    </row>
    <row r="45" customFormat="false" ht="15" hidden="false" customHeight="false" outlineLevel="0" collapsed="false">
      <c r="A45" s="9" t="n">
        <v>21</v>
      </c>
      <c r="B45" s="8" t="s">
        <v>81</v>
      </c>
      <c r="D45" s="1" t="n">
        <v>1</v>
      </c>
      <c r="G45" s="1" t="n">
        <v>1</v>
      </c>
    </row>
    <row r="46" customFormat="false" ht="15" hidden="false" customHeight="false" outlineLevel="0" collapsed="false">
      <c r="F46" s="1" t="s">
        <v>10</v>
      </c>
      <c r="G46" s="1" t="n">
        <f aca="false">COUNTIF(G2:G45,"&gt;0")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3" activeCellId="0" sqref="I43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5.69"/>
    <col collapsed="false" customWidth="true" hidden="false" outlineLevel="0" max="3" min="3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117</v>
      </c>
      <c r="E1" s="1" t="s">
        <v>93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1" t="n">
        <v>1</v>
      </c>
      <c r="B2" s="2" t="s">
        <v>13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8</v>
      </c>
      <c r="G3" s="1" t="n">
        <v>8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3</v>
      </c>
      <c r="E4" s="1" t="n">
        <f aca="false">ROUND(AVERAGE(D4:D5),0)</f>
        <v>3</v>
      </c>
      <c r="F4" s="1" t="n">
        <v>2</v>
      </c>
      <c r="G4" s="1" t="n">
        <f aca="false">MAX(F4,E4)</f>
        <v>3</v>
      </c>
    </row>
    <row r="5" customFormat="false" ht="15" hidden="false" customHeight="false" outlineLevel="0" collapsed="false">
      <c r="C5" s="1" t="s">
        <v>22</v>
      </c>
      <c r="D5" s="1" t="n">
        <v>2</v>
      </c>
    </row>
    <row r="6" customFormat="false" ht="15" hidden="false" customHeight="false" outlineLevel="0" collapsed="false">
      <c r="A6" s="1" t="n">
        <v>4</v>
      </c>
      <c r="B6" s="2" t="s">
        <v>26</v>
      </c>
      <c r="C6" s="1" t="s">
        <v>26</v>
      </c>
      <c r="D6" s="1" t="n">
        <v>10</v>
      </c>
      <c r="E6" s="1" t="n">
        <f aca="false">ROUND(AVERAGE(D6:D14),0)</f>
        <v>7</v>
      </c>
      <c r="F6" s="1" t="n">
        <v>9</v>
      </c>
      <c r="G6" s="1" t="n">
        <f aca="false">MAX(F6,E6)</f>
        <v>9</v>
      </c>
    </row>
    <row r="7" customFormat="false" ht="15" hidden="false" customHeight="false" outlineLevel="0" collapsed="false">
      <c r="C7" s="1" t="s">
        <v>26</v>
      </c>
      <c r="D7" s="1" t="n">
        <v>9</v>
      </c>
    </row>
    <row r="8" customFormat="false" ht="15" hidden="false" customHeight="false" outlineLevel="0" collapsed="false">
      <c r="C8" s="1" t="s">
        <v>26</v>
      </c>
      <c r="D8" s="1" t="n">
        <v>8</v>
      </c>
    </row>
    <row r="9" customFormat="false" ht="15" hidden="false" customHeight="false" outlineLevel="0" collapsed="false">
      <c r="C9" s="1" t="s">
        <v>26</v>
      </c>
      <c r="D9" s="1" t="n">
        <v>8</v>
      </c>
    </row>
    <row r="10" customFormat="false" ht="15" hidden="false" customHeight="false" outlineLevel="0" collapsed="false">
      <c r="C10" s="1" t="s">
        <v>26</v>
      </c>
      <c r="D10" s="1" t="n">
        <v>8</v>
      </c>
    </row>
    <row r="11" customFormat="false" ht="15" hidden="false" customHeight="false" outlineLevel="0" collapsed="false">
      <c r="C11" s="1" t="s">
        <v>26</v>
      </c>
      <c r="D11" s="1" t="n">
        <v>8</v>
      </c>
    </row>
    <row r="12" customFormat="false" ht="15" hidden="false" customHeight="false" outlineLevel="0" collapsed="false">
      <c r="C12" s="1" t="s">
        <v>26</v>
      </c>
      <c r="D12" s="1" t="n">
        <v>7</v>
      </c>
    </row>
    <row r="13" customFormat="false" ht="15" hidden="false" customHeight="false" outlineLevel="0" collapsed="false">
      <c r="C13" s="1" t="s">
        <v>26</v>
      </c>
      <c r="D13" s="1" t="n">
        <v>5</v>
      </c>
    </row>
    <row r="14" customFormat="false" ht="15" hidden="false" customHeight="false" outlineLevel="0" collapsed="false">
      <c r="C14" s="1" t="s">
        <v>26</v>
      </c>
      <c r="D14" s="1" t="n">
        <v>4</v>
      </c>
    </row>
    <row r="15" customFormat="false" ht="15" hidden="false" customHeight="false" outlineLevel="0" collapsed="false">
      <c r="A15" s="1" t="n">
        <v>5</v>
      </c>
      <c r="B15" s="2" t="s">
        <v>29</v>
      </c>
      <c r="C15" s="1" t="s">
        <v>29</v>
      </c>
      <c r="D15" s="1" t="n">
        <v>7</v>
      </c>
      <c r="G15" s="1" t="n">
        <v>7</v>
      </c>
    </row>
    <row r="16" customFormat="false" ht="15" hidden="false" customHeight="false" outlineLevel="0" collapsed="false">
      <c r="A16" s="1" t="n">
        <v>6</v>
      </c>
      <c r="B16" s="2" t="s">
        <v>32</v>
      </c>
      <c r="C16" s="1" t="s">
        <v>32</v>
      </c>
      <c r="D16" s="1" t="n">
        <v>5</v>
      </c>
      <c r="E16" s="1" t="n">
        <f aca="false">ROUND(AVERAGE(D16:D20),0)</f>
        <v>4</v>
      </c>
      <c r="F16" s="1" t="n">
        <v>4</v>
      </c>
      <c r="G16" s="1" t="n">
        <f aca="false">MAX(F16,E16)</f>
        <v>4</v>
      </c>
    </row>
    <row r="17" customFormat="false" ht="15" hidden="false" customHeight="false" outlineLevel="0" collapsed="false">
      <c r="C17" s="1" t="s">
        <v>32</v>
      </c>
      <c r="D17" s="1" t="n">
        <v>4</v>
      </c>
    </row>
    <row r="18" customFormat="false" ht="15" hidden="false" customHeight="false" outlineLevel="0" collapsed="false">
      <c r="C18" s="1" t="s">
        <v>32</v>
      </c>
      <c r="D18" s="1" t="n">
        <v>4</v>
      </c>
    </row>
    <row r="19" customFormat="false" ht="15" hidden="false" customHeight="false" outlineLevel="0" collapsed="false">
      <c r="C19" s="1" t="s">
        <v>32</v>
      </c>
      <c r="D19" s="1" t="n">
        <v>4</v>
      </c>
    </row>
    <row r="20" customFormat="false" ht="15" hidden="false" customHeight="false" outlineLevel="0" collapsed="false">
      <c r="C20" s="1" t="s">
        <v>32</v>
      </c>
      <c r="D20" s="1" t="n">
        <v>2</v>
      </c>
    </row>
    <row r="21" customFormat="false" ht="15" hidden="false" customHeight="false" outlineLevel="0" collapsed="false">
      <c r="A21" s="1" t="n">
        <v>7</v>
      </c>
      <c r="B21" s="2" t="s">
        <v>36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8</v>
      </c>
      <c r="B22" s="2" t="s">
        <v>39</v>
      </c>
      <c r="C22" s="1" t="s">
        <v>39</v>
      </c>
      <c r="D22" s="1" t="n">
        <v>10</v>
      </c>
      <c r="G22" s="1" t="n">
        <v>10</v>
      </c>
    </row>
    <row r="23" customFormat="false" ht="15" hidden="false" customHeight="false" outlineLevel="0" collapsed="false">
      <c r="A23" s="1" t="n">
        <v>9</v>
      </c>
      <c r="B23" s="2" t="s">
        <v>42</v>
      </c>
      <c r="C23" s="1" t="s">
        <v>42</v>
      </c>
      <c r="D23" s="1" t="n">
        <v>8</v>
      </c>
      <c r="G23" s="1" t="n">
        <v>8</v>
      </c>
    </row>
    <row r="24" customFormat="false" ht="15" hidden="false" customHeight="false" outlineLevel="0" collapsed="false">
      <c r="A24" s="1" t="n">
        <v>10</v>
      </c>
      <c r="B24" s="2" t="s">
        <v>45</v>
      </c>
      <c r="C24" s="1" t="s">
        <v>45</v>
      </c>
      <c r="D24" s="1" t="n">
        <v>3</v>
      </c>
      <c r="E24" s="1" t="n">
        <f aca="false">ROUND(AVERAGE(D24:D25),0)</f>
        <v>3</v>
      </c>
      <c r="F24" s="1" t="n">
        <v>3</v>
      </c>
      <c r="G24" s="1" t="n">
        <f aca="false">MAX(F24,E24)</f>
        <v>3</v>
      </c>
    </row>
    <row r="25" customFormat="false" ht="15" hidden="false" customHeight="false" outlineLevel="0" collapsed="false">
      <c r="C25" s="1" t="s">
        <v>45</v>
      </c>
      <c r="D25" s="1" t="n">
        <v>3</v>
      </c>
    </row>
    <row r="26" customFormat="false" ht="15" hidden="false" customHeight="false" outlineLevel="0" collapsed="false">
      <c r="A26" s="1" t="n">
        <v>11</v>
      </c>
      <c r="B26" s="2" t="s">
        <v>48</v>
      </c>
      <c r="C26" s="1" t="s">
        <v>48</v>
      </c>
      <c r="D26" s="1" t="n">
        <v>7</v>
      </c>
      <c r="G26" s="1" t="n">
        <v>7</v>
      </c>
    </row>
    <row r="27" customFormat="false" ht="15" hidden="false" customHeight="false" outlineLevel="0" collapsed="false">
      <c r="A27" s="1" t="n">
        <v>12</v>
      </c>
      <c r="B27" s="2" t="s">
        <v>51</v>
      </c>
      <c r="C27" s="1" t="s">
        <v>51</v>
      </c>
      <c r="D27" s="1" t="n">
        <v>10</v>
      </c>
      <c r="E27" s="1" t="n">
        <f aca="false">ROUND(AVERAGE(D27:D28),0)</f>
        <v>9</v>
      </c>
      <c r="F27" s="1" t="n">
        <v>7</v>
      </c>
      <c r="G27" s="1" t="n">
        <f aca="false">MAX(F27,E27)</f>
        <v>9</v>
      </c>
    </row>
    <row r="28" customFormat="false" ht="15" hidden="false" customHeight="false" outlineLevel="0" collapsed="false">
      <c r="C28" s="1" t="s">
        <v>51</v>
      </c>
      <c r="D28" s="1" t="n">
        <v>7</v>
      </c>
    </row>
    <row r="29" customFormat="false" ht="15" hidden="false" customHeight="false" outlineLevel="0" collapsed="false">
      <c r="A29" s="1" t="n">
        <v>13</v>
      </c>
      <c r="B29" s="2" t="s">
        <v>54</v>
      </c>
      <c r="C29" s="1" t="s">
        <v>54</v>
      </c>
      <c r="D29" s="1" t="n">
        <v>1</v>
      </c>
      <c r="G29" s="1" t="n">
        <v>1</v>
      </c>
    </row>
    <row r="30" customFormat="false" ht="15" hidden="false" customHeight="false" outlineLevel="0" collapsed="false">
      <c r="A30" s="1" t="n">
        <v>14</v>
      </c>
      <c r="B30" s="2" t="s">
        <v>57</v>
      </c>
      <c r="C30" s="1" t="s">
        <v>57</v>
      </c>
      <c r="D30" s="1" t="n">
        <v>7</v>
      </c>
      <c r="G30" s="1" t="n">
        <v>7</v>
      </c>
    </row>
    <row r="31" customFormat="false" ht="15" hidden="false" customHeight="false" outlineLevel="0" collapsed="false">
      <c r="A31" s="1" t="n">
        <v>15</v>
      </c>
      <c r="B31" s="2" t="s">
        <v>60</v>
      </c>
      <c r="C31" s="1" t="s">
        <v>60</v>
      </c>
      <c r="D31" s="1" t="n">
        <v>7</v>
      </c>
      <c r="E31" s="1" t="n">
        <f aca="false">ROUND(AVERAGE(D31:D32),0)</f>
        <v>5</v>
      </c>
      <c r="F31" s="1" t="n">
        <v>3</v>
      </c>
      <c r="G31" s="1" t="n">
        <f aca="false">MAX(F31,E31)</f>
        <v>5</v>
      </c>
    </row>
    <row r="32" customFormat="false" ht="15" hidden="false" customHeight="false" outlineLevel="0" collapsed="false">
      <c r="C32" s="1" t="s">
        <v>60</v>
      </c>
      <c r="D32" s="1" t="n">
        <v>3</v>
      </c>
    </row>
    <row r="33" customFormat="false" ht="15" hidden="false" customHeight="false" outlineLevel="0" collapsed="false">
      <c r="A33" s="9" t="n">
        <v>16</v>
      </c>
      <c r="B33" s="8" t="s">
        <v>63</v>
      </c>
      <c r="D33" s="1" t="n">
        <v>1</v>
      </c>
      <c r="G33" s="1" t="n">
        <v>1</v>
      </c>
    </row>
    <row r="34" customFormat="false" ht="15" hidden="false" customHeight="false" outlineLevel="0" collapsed="false">
      <c r="A34" s="1" t="n">
        <v>17</v>
      </c>
      <c r="B34" s="2" t="s">
        <v>69</v>
      </c>
      <c r="D34" s="1" t="n">
        <v>1</v>
      </c>
      <c r="G34" s="1" t="n">
        <v>1</v>
      </c>
    </row>
    <row r="35" customFormat="false" ht="15" hidden="false" customHeight="false" outlineLevel="0" collapsed="false">
      <c r="A35" s="9" t="n">
        <v>18</v>
      </c>
      <c r="B35" s="8" t="s">
        <v>72</v>
      </c>
      <c r="C35" s="1" t="s">
        <v>115</v>
      </c>
      <c r="D35" s="1" t="n">
        <v>6</v>
      </c>
      <c r="G35" s="1" t="n">
        <v>6</v>
      </c>
    </row>
    <row r="36" customFormat="false" ht="15" hidden="false" customHeight="false" outlineLevel="0" collapsed="false">
      <c r="A36" s="1" t="n">
        <v>19</v>
      </c>
      <c r="B36" s="2" t="s">
        <v>75</v>
      </c>
      <c r="C36" s="1" t="s">
        <v>75</v>
      </c>
      <c r="D36" s="1" t="n">
        <v>7</v>
      </c>
      <c r="G36" s="1" t="n">
        <v>7</v>
      </c>
    </row>
    <row r="37" customFormat="false" ht="15" hidden="false" customHeight="false" outlineLevel="0" collapsed="false">
      <c r="A37" s="1" t="n">
        <v>20</v>
      </c>
      <c r="B37" s="2" t="s">
        <v>78</v>
      </c>
      <c r="C37" s="1" t="s">
        <v>78</v>
      </c>
      <c r="D37" s="1" t="n">
        <v>9</v>
      </c>
      <c r="E37" s="1" t="n">
        <f aca="false">ROUND(AVERAGE(D37:D39),0)</f>
        <v>7</v>
      </c>
      <c r="F37" s="1" t="n">
        <v>8</v>
      </c>
      <c r="G37" s="1" t="n">
        <f aca="false">MAX(F37,E37)</f>
        <v>8</v>
      </c>
    </row>
    <row r="38" customFormat="false" ht="15" hidden="false" customHeight="false" outlineLevel="0" collapsed="false">
      <c r="C38" s="1" t="s">
        <v>78</v>
      </c>
      <c r="D38" s="1" t="n">
        <v>8</v>
      </c>
    </row>
    <row r="39" customFormat="false" ht="15" hidden="false" customHeight="false" outlineLevel="0" collapsed="false">
      <c r="C39" s="1" t="s">
        <v>78</v>
      </c>
      <c r="D39" s="1" t="n">
        <v>4</v>
      </c>
    </row>
    <row r="40" customFormat="false" ht="15" hidden="false" customHeight="false" outlineLevel="0" collapsed="false">
      <c r="A40" s="9" t="n">
        <v>21</v>
      </c>
      <c r="B40" s="8" t="s">
        <v>81</v>
      </c>
      <c r="D40" s="1" t="n">
        <v>1</v>
      </c>
      <c r="G40" s="1" t="n">
        <v>1</v>
      </c>
    </row>
    <row r="41" customFormat="false" ht="15" hidden="false" customHeight="false" outlineLevel="0" collapsed="false">
      <c r="F41" s="1" t="s">
        <v>10</v>
      </c>
      <c r="G41" s="1" t="n">
        <f aca="false">COUNTIF(G2:G40,"&gt;0")</f>
        <v>21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D2" activeCellId="0" sqref="D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5.69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117</v>
      </c>
    </row>
    <row r="2" customFormat="false" ht="15" hidden="false" customHeight="false" outlineLevel="0" collapsed="false">
      <c r="A2" s="1" t="n">
        <v>1</v>
      </c>
      <c r="B2" s="2" t="s">
        <v>13</v>
      </c>
      <c r="C2" s="1" t="s">
        <v>13</v>
      </c>
      <c r="D2" s="1" t="n">
        <v>3.75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5.25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5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9.25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n">
        <v>7.75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n">
        <v>9.25</v>
      </c>
    </row>
    <row r="8" customFormat="false" ht="15" hidden="false" customHeight="false" outlineLevel="0" collapsed="false">
      <c r="A8" s="1" t="n">
        <v>7</v>
      </c>
      <c r="B8" s="2" t="s">
        <v>36</v>
      </c>
      <c r="C8" s="1" t="s">
        <v>36</v>
      </c>
      <c r="D8" s="1" t="n">
        <v>6.5</v>
      </c>
    </row>
    <row r="9" customFormat="false" ht="15" hidden="false" customHeight="false" outlineLevel="0" collapsed="false">
      <c r="A9" s="1" t="n">
        <v>8</v>
      </c>
      <c r="B9" s="2" t="s">
        <v>39</v>
      </c>
      <c r="C9" s="1" t="s">
        <v>39</v>
      </c>
      <c r="D9" s="1" t="n">
        <v>9.75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s">
        <v>42</v>
      </c>
      <c r="D10" s="1" t="n">
        <v>4.25</v>
      </c>
    </row>
    <row r="11" customFormat="false" ht="15" hidden="false" customHeight="false" outlineLevel="0" collapsed="false">
      <c r="A11" s="1" t="n">
        <v>10</v>
      </c>
      <c r="B11" s="2" t="s">
        <v>45</v>
      </c>
      <c r="C11" s="1" t="s">
        <v>45</v>
      </c>
      <c r="D11" s="1" t="n">
        <v>4.75</v>
      </c>
    </row>
    <row r="12" customFormat="false" ht="15" hidden="false" customHeight="false" outlineLevel="0" collapsed="false">
      <c r="A12" s="1" t="n">
        <v>11</v>
      </c>
      <c r="B12" s="2" t="s">
        <v>48</v>
      </c>
      <c r="C12" s="1" t="s">
        <v>48</v>
      </c>
      <c r="D12" s="1" t="n">
        <v>8.75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s">
        <v>51</v>
      </c>
      <c r="D13" s="1" t="n">
        <v>8.5</v>
      </c>
    </row>
    <row r="14" customFormat="false" ht="15" hidden="false" customHeight="false" outlineLevel="0" collapsed="false">
      <c r="A14" s="1" t="n">
        <v>13</v>
      </c>
      <c r="B14" s="2" t="s">
        <v>54</v>
      </c>
      <c r="C14" s="1" t="s">
        <v>54</v>
      </c>
      <c r="D14" s="1" t="n">
        <v>4.5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s">
        <v>57</v>
      </c>
      <c r="D15" s="1" t="n">
        <v>8.25</v>
      </c>
    </row>
    <row r="16" customFormat="false" ht="15" hidden="false" customHeight="false" outlineLevel="0" collapsed="false">
      <c r="A16" s="1" t="n">
        <v>15</v>
      </c>
      <c r="B16" s="2" t="s">
        <v>60</v>
      </c>
      <c r="C16" s="1" t="s">
        <v>60</v>
      </c>
      <c r="D16" s="1" t="n">
        <v>7.75</v>
      </c>
    </row>
    <row r="17" customFormat="false" ht="15" hidden="false" customHeight="false" outlineLevel="0" collapsed="false">
      <c r="A17" s="9" t="n">
        <v>16</v>
      </c>
      <c r="B17" s="8" t="s">
        <v>63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69</v>
      </c>
      <c r="C18" s="1" t="s">
        <v>69</v>
      </c>
      <c r="D18" s="1" t="n">
        <v>4</v>
      </c>
    </row>
    <row r="19" customFormat="false" ht="15" hidden="false" customHeight="false" outlineLevel="0" collapsed="false">
      <c r="A19" s="9" t="n">
        <v>18</v>
      </c>
      <c r="B19" s="8" t="s">
        <v>72</v>
      </c>
      <c r="D19" s="1" t="n">
        <v>1</v>
      </c>
    </row>
    <row r="20" customFormat="false" ht="15" hidden="false" customHeight="false" outlineLevel="0" collapsed="false">
      <c r="A20" s="1" t="n">
        <v>19</v>
      </c>
      <c r="B20" s="2" t="s">
        <v>75</v>
      </c>
      <c r="C20" s="1" t="s">
        <v>75</v>
      </c>
      <c r="D20" s="1" t="n">
        <v>3.25</v>
      </c>
    </row>
    <row r="21" customFormat="false" ht="15" hidden="false" customHeight="false" outlineLevel="0" collapsed="false">
      <c r="A21" s="1" t="n">
        <v>20</v>
      </c>
      <c r="B21" s="2" t="s">
        <v>78</v>
      </c>
      <c r="C21" s="1" t="s">
        <v>78</v>
      </c>
      <c r="D21" s="1" t="n">
        <v>9.75</v>
      </c>
    </row>
    <row r="22" customFormat="false" ht="15" hidden="false" customHeight="false" outlineLevel="0" collapsed="false">
      <c r="A22" s="9" t="n">
        <v>21</v>
      </c>
      <c r="B22" s="8" t="s">
        <v>81</v>
      </c>
      <c r="D22" s="1" t="n">
        <v>1</v>
      </c>
    </row>
    <row r="23" customFormat="false" ht="15" hidden="false" customHeight="false" outlineLevel="0" collapsed="false">
      <c r="C23" s="1" t="s">
        <v>120</v>
      </c>
      <c r="D23" s="1" t="n">
        <f aca="false">COUNTIF(D2:D22,"&gt;0")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D2" activeCellId="0" sqref="D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5.69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117</v>
      </c>
    </row>
    <row r="2" customFormat="false" ht="15" hidden="false" customHeight="false" outlineLevel="0" collapsed="false">
      <c r="A2" s="1" t="n">
        <v>1</v>
      </c>
      <c r="B2" s="2" t="s">
        <v>13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10</v>
      </c>
    </row>
    <row r="4" customFormat="false" ht="15" hidden="false" customHeight="false" outlineLevel="0" collapsed="false">
      <c r="A4" s="1" t="n">
        <v>3</v>
      </c>
      <c r="B4" s="2" t="s">
        <v>22</v>
      </c>
      <c r="C4" s="1" t="s">
        <v>22</v>
      </c>
      <c r="D4" s="1" t="n">
        <v>10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29</v>
      </c>
      <c r="D6" s="1" t="n">
        <v>1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36</v>
      </c>
      <c r="C8" s="1" t="s">
        <v>36</v>
      </c>
      <c r="D8" s="1" t="n">
        <v>10</v>
      </c>
    </row>
    <row r="9" customFormat="false" ht="15" hidden="false" customHeight="false" outlineLevel="0" collapsed="false">
      <c r="A9" s="1" t="n">
        <v>8</v>
      </c>
      <c r="B9" s="2" t="s">
        <v>39</v>
      </c>
      <c r="C9" s="1" t="s">
        <v>39</v>
      </c>
      <c r="D9" s="1" t="n">
        <v>10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s">
        <v>42</v>
      </c>
      <c r="D10" s="1" t="n">
        <v>9</v>
      </c>
    </row>
    <row r="11" customFormat="false" ht="15" hidden="false" customHeight="false" outlineLevel="0" collapsed="false">
      <c r="A11" s="1" t="n">
        <v>10</v>
      </c>
      <c r="B11" s="2" t="s">
        <v>45</v>
      </c>
      <c r="C11" s="1" t="s">
        <v>45</v>
      </c>
      <c r="D11" s="1" t="n">
        <v>9</v>
      </c>
    </row>
    <row r="12" customFormat="false" ht="15" hidden="false" customHeight="false" outlineLevel="0" collapsed="false">
      <c r="A12" s="1" t="n">
        <v>11</v>
      </c>
      <c r="B12" s="2" t="s">
        <v>48</v>
      </c>
      <c r="C12" s="1" t="s">
        <v>48</v>
      </c>
      <c r="D12" s="1" t="n">
        <v>10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s">
        <v>51</v>
      </c>
      <c r="D13" s="1" t="n">
        <v>10</v>
      </c>
    </row>
    <row r="14" customFormat="false" ht="15" hidden="false" customHeight="false" outlineLevel="0" collapsed="false">
      <c r="A14" s="1" t="n">
        <v>13</v>
      </c>
      <c r="B14" s="2" t="s">
        <v>54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s">
        <v>57</v>
      </c>
      <c r="D15" s="1" t="n">
        <v>10</v>
      </c>
    </row>
    <row r="16" customFormat="false" ht="15" hidden="false" customHeight="false" outlineLevel="0" collapsed="false">
      <c r="A16" s="1" t="n">
        <v>15</v>
      </c>
      <c r="B16" s="2" t="s">
        <v>60</v>
      </c>
      <c r="C16" s="1" t="s">
        <v>60</v>
      </c>
      <c r="D16" s="1" t="n">
        <v>10</v>
      </c>
    </row>
    <row r="17" customFormat="false" ht="15" hidden="false" customHeight="false" outlineLevel="0" collapsed="false">
      <c r="A17" s="9" t="n">
        <v>16</v>
      </c>
      <c r="B17" s="8" t="s">
        <v>63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69</v>
      </c>
      <c r="D18" s="1" t="n">
        <v>1</v>
      </c>
    </row>
    <row r="19" customFormat="false" ht="15" hidden="false" customHeight="false" outlineLevel="0" collapsed="false">
      <c r="A19" s="9" t="n">
        <v>18</v>
      </c>
      <c r="B19" s="8" t="s">
        <v>72</v>
      </c>
      <c r="D19" s="1" t="n">
        <v>1</v>
      </c>
    </row>
    <row r="20" customFormat="false" ht="15" hidden="false" customHeight="false" outlineLevel="0" collapsed="false">
      <c r="A20" s="1" t="n">
        <v>19</v>
      </c>
      <c r="B20" s="2" t="s">
        <v>75</v>
      </c>
      <c r="D20" s="1" t="n">
        <v>1</v>
      </c>
    </row>
    <row r="21" customFormat="false" ht="15" hidden="false" customHeight="false" outlineLevel="0" collapsed="false">
      <c r="A21" s="1" t="n">
        <v>20</v>
      </c>
      <c r="B21" s="2" t="s">
        <v>78</v>
      </c>
      <c r="C21" s="1" t="s">
        <v>78</v>
      </c>
      <c r="D21" s="1" t="n">
        <v>10</v>
      </c>
    </row>
    <row r="22" customFormat="false" ht="15" hidden="false" customHeight="false" outlineLevel="0" collapsed="false">
      <c r="A22" s="9" t="n">
        <v>21</v>
      </c>
      <c r="B22" s="8" t="s">
        <v>81</v>
      </c>
      <c r="D22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5.69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117</v>
      </c>
      <c r="E1" s="1" t="s">
        <v>121</v>
      </c>
      <c r="F1" s="1" t="s">
        <v>118</v>
      </c>
      <c r="G1" s="1" t="s">
        <v>119</v>
      </c>
    </row>
    <row r="2" customFormat="false" ht="15" hidden="false" customHeight="false" outlineLevel="0" collapsed="false">
      <c r="A2" s="1" t="n">
        <v>1</v>
      </c>
      <c r="B2" s="2" t="s">
        <v>13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19</v>
      </c>
      <c r="C3" s="1" t="s">
        <v>19</v>
      </c>
      <c r="D3" s="1" t="n">
        <v>7</v>
      </c>
      <c r="E3" s="1" t="n">
        <f aca="false">ROUND(AVERAGE(D3:D4),0)</f>
        <v>6</v>
      </c>
      <c r="F3" s="1" t="n">
        <v>5</v>
      </c>
      <c r="G3" s="1" t="n">
        <f aca="false">MAX(E3,F3)</f>
        <v>6</v>
      </c>
    </row>
    <row r="4" customFormat="false" ht="15" hidden="false" customHeight="false" outlineLevel="0" collapsed="false">
      <c r="C4" s="1" t="s">
        <v>19</v>
      </c>
      <c r="D4" s="1" t="n">
        <v>5</v>
      </c>
    </row>
    <row r="5" customFormat="false" ht="15" hidden="false" customHeight="false" outlineLevel="0" collapsed="false">
      <c r="A5" s="1" t="n">
        <v>3</v>
      </c>
      <c r="B5" s="2" t="s">
        <v>22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4</v>
      </c>
      <c r="B6" s="2" t="s">
        <v>26</v>
      </c>
      <c r="C6" s="1" t="s">
        <v>26</v>
      </c>
      <c r="D6" s="1" t="n">
        <v>9</v>
      </c>
      <c r="G6" s="1" t="n">
        <v>9</v>
      </c>
    </row>
    <row r="7" customFormat="false" ht="15" hidden="false" customHeight="false" outlineLevel="0" collapsed="false">
      <c r="A7" s="1" t="n">
        <v>5</v>
      </c>
      <c r="B7" s="2" t="s">
        <v>29</v>
      </c>
      <c r="D7" s="1" t="n">
        <v>1</v>
      </c>
      <c r="G7" s="1" t="n">
        <v>1</v>
      </c>
    </row>
    <row r="8" customFormat="false" ht="15" hidden="false" customHeight="false" outlineLevel="0" collapsed="false">
      <c r="A8" s="1" t="n">
        <v>6</v>
      </c>
      <c r="B8" s="2" t="s">
        <v>32</v>
      </c>
      <c r="C8" s="1" t="s">
        <v>32</v>
      </c>
      <c r="D8" s="1" t="n">
        <v>10</v>
      </c>
      <c r="E8" s="1" t="n">
        <f aca="false">ROUND(AVERAGE(D8:D10),0)</f>
        <v>6</v>
      </c>
      <c r="F8" s="1" t="n">
        <v>5</v>
      </c>
      <c r="G8" s="1" t="n">
        <f aca="false">MAX(E8,F8)</f>
        <v>6</v>
      </c>
    </row>
    <row r="9" customFormat="false" ht="15" hidden="false" customHeight="false" outlineLevel="0" collapsed="false">
      <c r="C9" s="1" t="s">
        <v>32</v>
      </c>
      <c r="D9" s="1" t="n">
        <v>5</v>
      </c>
    </row>
    <row r="10" customFormat="false" ht="15" hidden="false" customHeight="false" outlineLevel="0" collapsed="false">
      <c r="C10" s="1" t="s">
        <v>32</v>
      </c>
      <c r="D10" s="1" t="n">
        <v>4</v>
      </c>
    </row>
    <row r="11" customFormat="false" ht="15" hidden="false" customHeight="false" outlineLevel="0" collapsed="false">
      <c r="A11" s="1" t="n">
        <v>7</v>
      </c>
      <c r="B11" s="2" t="s">
        <v>36</v>
      </c>
      <c r="C11" s="1" t="s">
        <v>36</v>
      </c>
      <c r="D11" s="1" t="n">
        <v>8</v>
      </c>
      <c r="G11" s="1" t="n">
        <v>8</v>
      </c>
    </row>
    <row r="12" customFormat="false" ht="15" hidden="false" customHeight="false" outlineLevel="0" collapsed="false">
      <c r="A12" s="1" t="n">
        <v>8</v>
      </c>
      <c r="B12" s="2" t="s">
        <v>39</v>
      </c>
      <c r="C12" s="1" t="s">
        <v>39</v>
      </c>
      <c r="D12" s="1" t="n">
        <v>8</v>
      </c>
      <c r="G12" s="1" t="n">
        <v>8</v>
      </c>
    </row>
    <row r="13" customFormat="false" ht="15" hidden="false" customHeight="false" outlineLevel="0" collapsed="false">
      <c r="A13" s="1" t="n">
        <v>9</v>
      </c>
      <c r="B13" s="2" t="s">
        <v>42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10</v>
      </c>
      <c r="B14" s="2" t="s">
        <v>45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11</v>
      </c>
      <c r="B15" s="2" t="s">
        <v>48</v>
      </c>
      <c r="C15" s="1" t="s">
        <v>48</v>
      </c>
      <c r="D15" s="1" t="n">
        <v>10</v>
      </c>
      <c r="E15" s="1" t="n">
        <f aca="false">ROUND(AVERAGE(D15:D19),0)</f>
        <v>7</v>
      </c>
      <c r="F15" s="1" t="n">
        <v>8</v>
      </c>
      <c r="G15" s="1" t="n">
        <f aca="false">MAX(E15,F15)</f>
        <v>8</v>
      </c>
    </row>
    <row r="16" customFormat="false" ht="15" hidden="false" customHeight="false" outlineLevel="0" collapsed="false">
      <c r="C16" s="1" t="s">
        <v>48</v>
      </c>
      <c r="D16" s="1" t="n">
        <v>8</v>
      </c>
    </row>
    <row r="17" customFormat="false" ht="15" hidden="false" customHeight="false" outlineLevel="0" collapsed="false">
      <c r="C17" s="1" t="s">
        <v>48</v>
      </c>
      <c r="D17" s="1" t="n">
        <v>7</v>
      </c>
    </row>
    <row r="18" customFormat="false" ht="15" hidden="false" customHeight="false" outlineLevel="0" collapsed="false">
      <c r="C18" s="1" t="s">
        <v>48</v>
      </c>
      <c r="D18" s="1" t="n">
        <v>6</v>
      </c>
    </row>
    <row r="19" customFormat="false" ht="15" hidden="false" customHeight="false" outlineLevel="0" collapsed="false">
      <c r="C19" s="1" t="s">
        <v>48</v>
      </c>
      <c r="D19" s="1" t="n">
        <v>3</v>
      </c>
    </row>
    <row r="20" customFormat="false" ht="15" hidden="false" customHeight="false" outlineLevel="0" collapsed="false">
      <c r="A20" s="1" t="n">
        <v>12</v>
      </c>
      <c r="B20" s="2" t="s">
        <v>51</v>
      </c>
      <c r="C20" s="1" t="s">
        <v>51</v>
      </c>
      <c r="D20" s="1" t="n">
        <v>10</v>
      </c>
      <c r="E20" s="1" t="n">
        <f aca="false">ROUND(AVERAGE(D20:D23),0)</f>
        <v>8</v>
      </c>
      <c r="F20" s="1" t="n">
        <v>9</v>
      </c>
      <c r="G20" s="1" t="n">
        <f aca="false">MAX(E20,F20)</f>
        <v>9</v>
      </c>
    </row>
    <row r="21" customFormat="false" ht="15" hidden="false" customHeight="false" outlineLevel="0" collapsed="false">
      <c r="C21" s="1" t="s">
        <v>51</v>
      </c>
      <c r="D21" s="1" t="n">
        <v>9</v>
      </c>
    </row>
    <row r="22" customFormat="false" ht="15" hidden="false" customHeight="false" outlineLevel="0" collapsed="false">
      <c r="C22" s="1" t="s">
        <v>51</v>
      </c>
      <c r="D22" s="1" t="n">
        <v>7</v>
      </c>
    </row>
    <row r="23" customFormat="false" ht="15" hidden="false" customHeight="false" outlineLevel="0" collapsed="false">
      <c r="C23" s="1" t="s">
        <v>51</v>
      </c>
      <c r="D23" s="1" t="n">
        <v>7</v>
      </c>
    </row>
    <row r="24" customFormat="false" ht="15" hidden="false" customHeight="false" outlineLevel="0" collapsed="false">
      <c r="A24" s="1" t="n">
        <v>13</v>
      </c>
      <c r="B24" s="2" t="s">
        <v>54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14</v>
      </c>
      <c r="B25" s="2" t="s">
        <v>57</v>
      </c>
      <c r="C25" s="1" t="s">
        <v>57</v>
      </c>
      <c r="D25" s="1" t="n">
        <v>9</v>
      </c>
      <c r="G25" s="1" t="n">
        <v>9</v>
      </c>
    </row>
    <row r="26" customFormat="false" ht="15" hidden="false" customHeight="false" outlineLevel="0" collapsed="false">
      <c r="A26" s="1" t="n">
        <v>15</v>
      </c>
      <c r="B26" s="2" t="s">
        <v>60</v>
      </c>
      <c r="C26" s="1" t="s">
        <v>60</v>
      </c>
      <c r="D26" s="1" t="n">
        <v>5</v>
      </c>
      <c r="G26" s="1" t="n">
        <v>5</v>
      </c>
    </row>
    <row r="27" customFormat="false" ht="15" hidden="false" customHeight="false" outlineLevel="0" collapsed="false">
      <c r="A27" s="9" t="n">
        <v>16</v>
      </c>
      <c r="B27" s="8" t="s">
        <v>63</v>
      </c>
      <c r="D27" s="1" t="n">
        <v>1</v>
      </c>
      <c r="G27" s="1" t="n">
        <v>1</v>
      </c>
    </row>
    <row r="28" customFormat="false" ht="15" hidden="false" customHeight="false" outlineLevel="0" collapsed="false">
      <c r="A28" s="1" t="n">
        <v>17</v>
      </c>
      <c r="B28" s="2" t="s">
        <v>69</v>
      </c>
      <c r="D28" s="1" t="n">
        <v>1</v>
      </c>
      <c r="G28" s="1" t="n">
        <v>1</v>
      </c>
    </row>
    <row r="29" customFormat="false" ht="15" hidden="false" customHeight="false" outlineLevel="0" collapsed="false">
      <c r="A29" s="9" t="n">
        <v>18</v>
      </c>
      <c r="B29" s="8" t="s">
        <v>72</v>
      </c>
      <c r="D29" s="1" t="n">
        <v>1</v>
      </c>
      <c r="G29" s="1" t="n">
        <v>1</v>
      </c>
    </row>
    <row r="30" customFormat="false" ht="15" hidden="false" customHeight="false" outlineLevel="0" collapsed="false">
      <c r="A30" s="1" t="n">
        <v>19</v>
      </c>
      <c r="B30" s="2" t="s">
        <v>75</v>
      </c>
      <c r="D30" s="1" t="n">
        <v>1</v>
      </c>
      <c r="G30" s="1" t="n">
        <v>1</v>
      </c>
    </row>
    <row r="31" customFormat="false" ht="15" hidden="false" customHeight="false" outlineLevel="0" collapsed="false">
      <c r="A31" s="1" t="n">
        <v>20</v>
      </c>
      <c r="B31" s="2" t="s">
        <v>78</v>
      </c>
      <c r="C31" s="1" t="s">
        <v>78</v>
      </c>
      <c r="D31" s="1" t="n">
        <v>6</v>
      </c>
      <c r="E31" s="1" t="n">
        <f aca="false">ROUND(AVERAGE(D31:D32),0)</f>
        <v>6</v>
      </c>
      <c r="F31" s="1" t="n">
        <v>6</v>
      </c>
      <c r="G31" s="1" t="n">
        <f aca="false">MAX(E31,F31)</f>
        <v>6</v>
      </c>
    </row>
    <row r="32" customFormat="false" ht="15" hidden="false" customHeight="false" outlineLevel="0" collapsed="false">
      <c r="C32" s="1" t="s">
        <v>78</v>
      </c>
      <c r="D32" s="1" t="n">
        <v>6</v>
      </c>
    </row>
    <row r="33" customFormat="false" ht="15" hidden="false" customHeight="false" outlineLevel="0" collapsed="false">
      <c r="A33" s="9" t="n">
        <v>21</v>
      </c>
      <c r="B33" s="8" t="s">
        <v>81</v>
      </c>
      <c r="D33" s="1" t="n">
        <v>1</v>
      </c>
      <c r="G33" s="1" t="n">
        <v>1</v>
      </c>
    </row>
    <row r="34" customFormat="false" ht="15" hidden="false" customHeight="false" outlineLevel="0" collapsed="false">
      <c r="F34" s="1" t="s">
        <v>10</v>
      </c>
      <c r="G34" s="1" t="n">
        <f aca="false">COUNT(G2:G34,"&gt;0")</f>
        <v>21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5.69"/>
    <col collapsed="false" customWidth="true" hidden="false" outlineLevel="0" max="3" min="3" style="1" width="17.4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117</v>
      </c>
    </row>
    <row r="2" customFormat="false" ht="15" hidden="false" customHeight="false" outlineLevel="0" collapsed="false">
      <c r="A2" s="1" t="n">
        <v>1</v>
      </c>
      <c r="B2" s="2" t="s">
        <v>13</v>
      </c>
      <c r="C2" s="1" t="s">
        <v>13</v>
      </c>
      <c r="D2" s="1" t="n">
        <v>9</v>
      </c>
    </row>
    <row r="3" customFormat="false" ht="15" hidden="false" customHeight="false" outlineLevel="0" collapsed="false">
      <c r="A3" s="1" t="n">
        <v>2</v>
      </c>
      <c r="B3" s="2" t="s">
        <v>19</v>
      </c>
      <c r="D3" s="1" t="n">
        <v>1</v>
      </c>
    </row>
    <row r="4" customFormat="false" ht="15" hidden="false" customHeight="false" outlineLevel="0" collapsed="false">
      <c r="A4" s="1" t="n">
        <v>3</v>
      </c>
      <c r="B4" s="2" t="s">
        <v>22</v>
      </c>
      <c r="D4" s="1" t="n">
        <v>1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29</v>
      </c>
      <c r="D6" s="1" t="n">
        <v>1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n">
        <v>9</v>
      </c>
    </row>
    <row r="8" customFormat="false" ht="15" hidden="false" customHeight="false" outlineLevel="0" collapsed="false">
      <c r="A8" s="1" t="n">
        <v>7</v>
      </c>
      <c r="B8" s="2" t="s">
        <v>36</v>
      </c>
      <c r="D8" s="1" t="n">
        <v>1</v>
      </c>
    </row>
    <row r="9" customFormat="false" ht="15" hidden="false" customHeight="false" outlineLevel="0" collapsed="false">
      <c r="A9" s="1" t="n">
        <v>8</v>
      </c>
      <c r="B9" s="2" t="s">
        <v>39</v>
      </c>
      <c r="C9" s="1" t="s">
        <v>39</v>
      </c>
      <c r="D9" s="1" t="n">
        <v>10</v>
      </c>
    </row>
    <row r="10" customFormat="false" ht="15" hidden="false" customHeight="false" outlineLevel="0" collapsed="false">
      <c r="A10" s="1" t="n">
        <v>9</v>
      </c>
      <c r="B10" s="2" t="s">
        <v>42</v>
      </c>
      <c r="C10" s="1" t="s">
        <v>42</v>
      </c>
      <c r="D10" s="1" t="n">
        <v>9</v>
      </c>
    </row>
    <row r="11" customFormat="false" ht="15" hidden="false" customHeight="false" outlineLevel="0" collapsed="false">
      <c r="A11" s="1" t="n">
        <v>10</v>
      </c>
      <c r="B11" s="2" t="s">
        <v>45</v>
      </c>
      <c r="C11" s="1" t="s">
        <v>45</v>
      </c>
      <c r="D11" s="1" t="n">
        <v>9</v>
      </c>
    </row>
    <row r="12" customFormat="false" ht="15" hidden="false" customHeight="false" outlineLevel="0" collapsed="false">
      <c r="A12" s="1" t="n">
        <v>11</v>
      </c>
      <c r="B12" s="2" t="s">
        <v>48</v>
      </c>
      <c r="C12" s="1" t="s">
        <v>48</v>
      </c>
      <c r="D12" s="1" t="n">
        <v>9</v>
      </c>
    </row>
    <row r="13" customFormat="false" ht="15" hidden="false" customHeight="false" outlineLevel="0" collapsed="false">
      <c r="A13" s="1" t="n">
        <v>12</v>
      </c>
      <c r="B13" s="2" t="s">
        <v>51</v>
      </c>
      <c r="C13" s="1" t="s">
        <v>51</v>
      </c>
      <c r="D13" s="1" t="n">
        <v>10</v>
      </c>
    </row>
    <row r="14" customFormat="false" ht="15" hidden="false" customHeight="false" outlineLevel="0" collapsed="false">
      <c r="A14" s="1" t="n">
        <v>13</v>
      </c>
      <c r="B14" s="2" t="s">
        <v>54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57</v>
      </c>
      <c r="C15" s="1" t="s">
        <v>57</v>
      </c>
      <c r="D15" s="1" t="n">
        <v>10</v>
      </c>
    </row>
    <row r="16" customFormat="false" ht="15" hidden="false" customHeight="false" outlineLevel="0" collapsed="false">
      <c r="A16" s="1" t="n">
        <v>15</v>
      </c>
      <c r="B16" s="2" t="s">
        <v>60</v>
      </c>
      <c r="D16" s="1" t="n">
        <v>1</v>
      </c>
    </row>
    <row r="17" customFormat="false" ht="15" hidden="false" customHeight="false" outlineLevel="0" collapsed="false">
      <c r="A17" s="9" t="n">
        <v>16</v>
      </c>
      <c r="B17" s="8" t="s">
        <v>63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69</v>
      </c>
      <c r="D18" s="1" t="n">
        <v>1</v>
      </c>
    </row>
    <row r="19" customFormat="false" ht="15" hidden="false" customHeight="false" outlineLevel="0" collapsed="false">
      <c r="A19" s="9" t="n">
        <v>18</v>
      </c>
      <c r="B19" s="8" t="s">
        <v>72</v>
      </c>
      <c r="D19" s="1" t="n">
        <v>1</v>
      </c>
    </row>
    <row r="20" customFormat="false" ht="15" hidden="false" customHeight="false" outlineLevel="0" collapsed="false">
      <c r="A20" s="1" t="n">
        <v>19</v>
      </c>
      <c r="B20" s="2" t="s">
        <v>75</v>
      </c>
      <c r="C20" s="1" t="s">
        <v>75</v>
      </c>
      <c r="D20" s="1" t="n">
        <v>8</v>
      </c>
    </row>
    <row r="21" customFormat="false" ht="15" hidden="false" customHeight="false" outlineLevel="0" collapsed="false">
      <c r="A21" s="1" t="n">
        <v>20</v>
      </c>
      <c r="B21" s="2" t="s">
        <v>78</v>
      </c>
      <c r="C21" s="1" t="s">
        <v>78</v>
      </c>
      <c r="D21" s="1" t="n">
        <v>10</v>
      </c>
    </row>
    <row r="22" customFormat="false" ht="15" hidden="false" customHeight="false" outlineLevel="0" collapsed="false">
      <c r="A22" s="9" t="n">
        <v>21</v>
      </c>
      <c r="B22" s="8" t="s">
        <v>81</v>
      </c>
      <c r="D22" s="1" t="n">
        <v>1</v>
      </c>
    </row>
    <row r="23" customFormat="false" ht="15" hidden="false" customHeight="false" outlineLevel="0" collapsed="false">
      <c r="C23" s="1" t="s">
        <v>10</v>
      </c>
      <c r="D23" s="2" t="n">
        <f aca="false">COUNTIF(D2:D22,"&gt;0")</f>
        <v>21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13013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2026-09-30T16:20:33Z</dcterms:modified>
  <cp:revision>141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