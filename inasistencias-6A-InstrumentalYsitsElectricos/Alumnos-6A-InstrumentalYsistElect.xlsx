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" sheetId="2" state="visible" r:id="rId4"/>
    <sheet name="1-volt y amp" sheetId="3" state="visible" r:id="rId5"/>
    <sheet name="2-vol-multi" sheetId="4" state="visible" r:id="rId6"/>
    <sheet name="3-amp-multi" sheetId="5" state="visible" r:id="rId7"/>
    <sheet name="Evaluacion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<sst xmlns="http://schemas.openxmlformats.org/spreadsheetml/2006/main" count="705" uniqueCount="103">
  <si>
    <t xml:space="preserve">Carpeta</t>
  </si>
  <si>
    <t xml:space="preserve">nro</t>
  </si>
  <si>
    <t xml:space="preserve">Apellido(s)</t>
  </si>
  <si>
    <t xml:space="preserve">obs</t>
  </si>
  <si>
    <t xml:space="preserve">presentes</t>
  </si>
  <si>
    <t xml:space="preserve">tarde</t>
  </si>
  <si>
    <t xml:space="preserve">ausentes</t>
  </si>
  <si>
    <t xml:space="preserve">total</t>
  </si>
  <si>
    <t xml:space="preserve">nota</t>
  </si>
  <si>
    <t xml:space="preserve">V.P</t>
  </si>
  <si>
    <t xml:space="preserve">AMIGO</t>
  </si>
  <si>
    <t xml:space="preserve">P</t>
  </si>
  <si>
    <t xml:space="preserve">A</t>
  </si>
  <si>
    <t xml:space="preserve">T</t>
  </si>
  <si>
    <t xml:space="preserve">ANDRADA BASCOPE</t>
  </si>
  <si>
    <t xml:space="preserve">p</t>
  </si>
  <si>
    <t xml:space="preserve">APURIL</t>
  </si>
  <si>
    <t xml:space="preserve">AYBAR</t>
  </si>
  <si>
    <t xml:space="preserve">bertola galizzi</t>
  </si>
  <si>
    <t xml:space="preserve">BIROCCO FRETES</t>
  </si>
  <si>
    <t xml:space="preserve">BRUNO</t>
  </si>
  <si>
    <t xml:space="preserve">Dellana</t>
  </si>
  <si>
    <t xml:space="preserve">DI FEBO</t>
  </si>
  <si>
    <t xml:space="preserve">Dimeo</t>
  </si>
  <si>
    <t xml:space="preserve">recursante</t>
  </si>
  <si>
    <t xml:space="preserve">medico</t>
  </si>
  <si>
    <t xml:space="preserve">ENGERS GONZALEZ</t>
  </si>
  <si>
    <t xml:space="preserve">GERAGHTY</t>
  </si>
  <si>
    <t xml:space="preserve">Hoyos</t>
  </si>
  <si>
    <t xml:space="preserve">Ibarra Yegro</t>
  </si>
  <si>
    <t xml:space="preserve">LOPEZ BERZA</t>
  </si>
  <si>
    <t xml:space="preserve">MARTINEZ DEL PINO</t>
  </si>
  <si>
    <t xml:space="preserve">MEDINA</t>
  </si>
  <si>
    <t xml:space="preserve">SANTIBAÑEZ RAMÍREZ</t>
  </si>
  <si>
    <t xml:space="preserve">SUAREZ</t>
  </si>
  <si>
    <t xml:space="preserve">VILLCA</t>
  </si>
  <si>
    <t xml:space="preserve">ZARRAGA</t>
  </si>
  <si>
    <t xml:space="preserve">media</t>
  </si>
  <si>
    <t xml:space="preserve">Nombre</t>
  </si>
  <si>
    <t xml:space="preserve">Dirección de correo</t>
  </si>
  <si>
    <t xml:space="preserve">carpeta</t>
  </si>
  <si>
    <t xml:space="preserve">1-volt y amp</t>
  </si>
  <si>
    <t xml:space="preserve">2- vol multi</t>
  </si>
  <si>
    <t xml:space="preserve">Recup</t>
  </si>
  <si>
    <t xml:space="preserve">3-ampe multi</t>
  </si>
  <si>
    <t xml:space="preserve">Evaluacion</t>
  </si>
  <si>
    <t xml:space="preserve">asistencia</t>
  </si>
  <si>
    <t xml:space="preserve">val ped</t>
  </si>
  <si>
    <t xml:space="preserve">Chorico-pineros</t>
  </si>
  <si>
    <t xml:space="preserve">Nota</t>
  </si>
  <si>
    <t xml:space="preserve">4-bco de prueba</t>
  </si>
  <si>
    <t xml:space="preserve">5-Especif DCU</t>
  </si>
  <si>
    <t xml:space="preserve">Vercel</t>
  </si>
  <si>
    <t xml:space="preserve">Lucila Yanel</t>
  </si>
  <si>
    <t xml:space="preserve">patorouge77@hotmail.com</t>
  </si>
  <si>
    <t xml:space="preserve">Lourdes Elizabeth</t>
  </si>
  <si>
    <t xml:space="preserve">gralraul71@gmail.com</t>
  </si>
  <si>
    <t xml:space="preserve">Germán Ezequiel</t>
  </si>
  <si>
    <t xml:space="preserve">gerapuril@gmail.com</t>
  </si>
  <si>
    <t xml:space="preserve">Lautaro Francisco</t>
  </si>
  <si>
    <t xml:space="preserve">aybarguillermo@gmail.com</t>
  </si>
  <si>
    <t xml:space="preserve">Sathya</t>
  </si>
  <si>
    <t xml:space="preserve">sathyxzz@gmail.com</t>
  </si>
  <si>
    <t xml:space="preserve">Santiago</t>
  </si>
  <si>
    <t xml:space="preserve">SANTIAGOBIROCCOFRETES@GMAIL.COM</t>
  </si>
  <si>
    <t xml:space="preserve">Mateo Ignacio</t>
  </si>
  <si>
    <t xml:space="preserve">mateoibruno5@gmail.com</t>
  </si>
  <si>
    <t xml:space="preserve">Mirko</t>
  </si>
  <si>
    <t xml:space="preserve">mirkod2009@gmail.com</t>
  </si>
  <si>
    <t xml:space="preserve">Liam Yoel</t>
  </si>
  <si>
    <t xml:space="preserve">liamdifebo15@gmail.com</t>
  </si>
  <si>
    <t xml:space="preserve">Francisco Gael</t>
  </si>
  <si>
    <t xml:space="preserve">dimeofrancisco@gmail.com</t>
  </si>
  <si>
    <t xml:space="preserve">Facundo Agustin</t>
  </si>
  <si>
    <t xml:space="preserve">morenabonitafacturas@gmail.com</t>
  </si>
  <si>
    <t xml:space="preserve">Pedro Gabriel</t>
  </si>
  <si>
    <t xml:space="preserve">tristangabrielgeraghty@gmail.com</t>
  </si>
  <si>
    <t xml:space="preserve">Miqueas Ariel</t>
  </si>
  <si>
    <t xml:space="preserve">victoriacruz.alzu@gmail.com</t>
  </si>
  <si>
    <t xml:space="preserve">Tobias</t>
  </si>
  <si>
    <t xml:space="preserve">alexa_r3@yahoo.com.ar</t>
  </si>
  <si>
    <t xml:space="preserve">Zoe Antonella</t>
  </si>
  <si>
    <t xml:space="preserve">electroariel_@hotmail.com</t>
  </si>
  <si>
    <t xml:space="preserve">modicar en alumnos</t>
  </si>
  <si>
    <t xml:space="preserve">Gabriel Lautaro</t>
  </si>
  <si>
    <t xml:space="preserve">gabrieladelpino10@gmail.com</t>
  </si>
  <si>
    <t xml:space="preserve">Facundo Ariel</t>
  </si>
  <si>
    <t xml:space="preserve">48376287@gmail.com</t>
  </si>
  <si>
    <t xml:space="preserve">Araceli Rosario Abigail</t>
  </si>
  <si>
    <t xml:space="preserve">habibiaraceli08@gmail.com</t>
  </si>
  <si>
    <t xml:space="preserve">Matías</t>
  </si>
  <si>
    <t xml:space="preserve">matiassua09@gmail.com</t>
  </si>
  <si>
    <t xml:space="preserve">Franco Joaquín</t>
  </si>
  <si>
    <t xml:space="preserve">rutyayala28@gmail.com</t>
  </si>
  <si>
    <t xml:space="preserve">Ramiro Demian</t>
  </si>
  <si>
    <t xml:space="preserve">zarragaramiro01@gmail.com</t>
  </si>
  <si>
    <t xml:space="preserve">Calificación/10,00</t>
  </si>
  <si>
    <t xml:space="preserve">promedi</t>
  </si>
  <si>
    <t xml:space="preserve">segundo </t>
  </si>
  <si>
    <t xml:space="preserve">final</t>
  </si>
  <si>
    <t xml:space="preserve">toal</t>
  </si>
  <si>
    <t xml:space="preserve">promedio</t>
  </si>
  <si>
    <t xml:space="preserve">segundo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</si>
</sst>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000000"/>
        <sz val="12"/>
      </font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DL27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AE25" activeCellId="0" sqref="AE25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22" min="3" style="1" width="9.6"/>
    <col collapsed="false" customWidth="true" hidden="false" outlineLevel="0" max="980" min="980" style="1" width="9.33"/>
    <col collapsed="false" customWidth="true" hidden="false" outlineLevel="0" max="16384" min="16338" style="1" width="10.58"/>
  </cols>
  <sheetData>
    <row r="1" customFormat="false" ht="15" hidden="false" customHeight="false" outlineLevel="0" collapsed="false">
      <c r="B1" s="2"/>
      <c r="I1" s="2" t="s">
        <v>0</v>
      </c>
    </row>
    <row r="2" customFormat="false" ht="15" hidden="false" customHeight="false" outlineLevel="0" collapsed="false">
      <c r="A2" s="1" t="s">
        <v>1</v>
      </c>
      <c r="B2" s="2" t="s">
        <v>2</v>
      </c>
      <c r="C2" s="3" t="n">
        <v>46093</v>
      </c>
      <c r="D2" s="3" t="n">
        <v>46100</v>
      </c>
      <c r="E2" s="3" t="s">
        <v>3</v>
      </c>
      <c r="F2" s="3" t="n">
        <v>46121</v>
      </c>
      <c r="G2" s="3"/>
      <c r="H2" s="3" t="n">
        <v>46128</v>
      </c>
      <c r="I2" s="3" t="n">
        <v>46135</v>
      </c>
      <c r="J2" s="3" t="n">
        <v>46149</v>
      </c>
      <c r="K2" s="3" t="n">
        <v>46156</v>
      </c>
      <c r="L2" s="3" t="n">
        <v>46163</v>
      </c>
      <c r="M2" s="3" t="n">
        <v>46170</v>
      </c>
      <c r="N2" s="3" t="s">
        <v>3</v>
      </c>
      <c r="O2" s="3" t="s">
        <v>4</v>
      </c>
      <c r="P2" s="3" t="s">
        <v>5</v>
      </c>
      <c r="Q2" s="3" t="s">
        <v>6</v>
      </c>
      <c r="R2" s="3" t="s">
        <v>7</v>
      </c>
      <c r="S2" s="3" t="s">
        <v>8</v>
      </c>
      <c r="T2" s="3" t="s">
        <v>9</v>
      </c>
      <c r="U2" s="3" t="n">
        <v>46177</v>
      </c>
      <c r="V2" s="3" t="n">
        <v>46184</v>
      </c>
      <c r="W2" s="3" t="n">
        <v>46191</v>
      </c>
      <c r="X2" s="3" t="n">
        <v>46198</v>
      </c>
      <c r="Y2" s="3" t="s">
        <v>3</v>
      </c>
      <c r="Z2" s="3" t="n">
        <v>46254</v>
      </c>
      <c r="AA2" s="3" t="n">
        <v>46268</v>
      </c>
      <c r="AB2" s="3" t="n">
        <v>46275</v>
      </c>
      <c r="AC2" s="3" t="n">
        <v>46282</v>
      </c>
      <c r="AD2" s="3" t="n">
        <v>46289</v>
      </c>
      <c r="AE2" s="3" t="n">
        <v>46296</v>
      </c>
      <c r="AF2" s="3" t="n">
        <v>46247</v>
      </c>
      <c r="AG2" s="3" t="n">
        <v>46254</v>
      </c>
      <c r="AH2" s="3" t="n">
        <v>46261</v>
      </c>
      <c r="AI2" s="3" t="n">
        <v>46268</v>
      </c>
      <c r="AJ2" s="3" t="n">
        <v>46275</v>
      </c>
      <c r="AK2" s="3" t="n">
        <v>46282</v>
      </c>
      <c r="AL2" s="3" t="n">
        <v>46289</v>
      </c>
      <c r="AM2" s="3" t="n">
        <v>46296</v>
      </c>
      <c r="AN2" s="3" t="n">
        <v>46303</v>
      </c>
      <c r="AO2" s="3" t="n">
        <v>46310</v>
      </c>
      <c r="AP2" s="3" t="n">
        <v>46317</v>
      </c>
      <c r="AQ2" s="3" t="n">
        <v>46324</v>
      </c>
      <c r="AR2" s="3" t="n">
        <v>46331</v>
      </c>
      <c r="AS2" s="3" t="n">
        <v>46338</v>
      </c>
      <c r="AT2" s="3" t="n">
        <v>46345</v>
      </c>
      <c r="AU2" s="3" t="n">
        <v>46352</v>
      </c>
      <c r="AV2" s="3" t="n">
        <v>46359</v>
      </c>
      <c r="AW2" s="3" t="n">
        <v>46366</v>
      </c>
      <c r="AX2" s="3" t="n">
        <v>46373</v>
      </c>
      <c r="AY2" s="3" t="n">
        <v>46380</v>
      </c>
      <c r="AZ2" s="3" t="n">
        <v>46387</v>
      </c>
      <c r="BA2" s="3"/>
    </row>
    <row r="3" s="1" customFormat="true" ht="15" hidden="false" customHeight="false" outlineLevel="0" collapsed="false">
      <c r="A3" s="1" t="n">
        <v>1</v>
      </c>
      <c r="B3" s="2" t="s">
        <v>10</v>
      </c>
      <c r="C3" s="1" t="s">
        <v>11</v>
      </c>
      <c r="D3" s="1" t="s">
        <v>11</v>
      </c>
      <c r="F3" s="1" t="s">
        <v>12</v>
      </c>
      <c r="H3" s="1" t="s">
        <v>11</v>
      </c>
      <c r="I3" s="1" t="s">
        <v>11</v>
      </c>
      <c r="J3" s="1" t="s">
        <v>11</v>
      </c>
      <c r="K3" s="1" t="s">
        <v>11</v>
      </c>
      <c r="L3" s="1" t="s">
        <v>11</v>
      </c>
      <c r="M3" s="1" t="s">
        <v>13</v>
      </c>
      <c r="N3" s="4" t="n">
        <v>0.770833333333333</v>
      </c>
      <c r="O3" s="1" t="n">
        <f aca="false">COUNTIF(C3:M3,"P")</f>
        <v>7</v>
      </c>
      <c r="P3" s="1" t="n">
        <f aca="false">COUNTIF(C3:M3,"T")</f>
        <v>1</v>
      </c>
      <c r="Q3" s="1" t="n">
        <f aca="false">COUNTIF(C3:M3,"A")</f>
        <v>1</v>
      </c>
      <c r="R3" s="1" t="n">
        <f aca="false">SUM(O3:Q3)</f>
        <v>9</v>
      </c>
      <c r="S3" s="5" t="n">
        <f aca="false">ROUND((O3+P3/4)*10/R3,0)</f>
        <v>8</v>
      </c>
      <c r="T3" s="5" t="str">
        <f aca="false">IF(S3&gt;6,"TEA",IF(S3&gt;3,"TEP","TED"))</f>
        <v>TEA</v>
      </c>
      <c r="U3" s="1" t="s">
        <v>12</v>
      </c>
      <c r="V3" s="1" t="s">
        <v>11</v>
      </c>
      <c r="W3" s="1" t="s">
        <v>11</v>
      </c>
      <c r="X3" s="1" t="s">
        <v>13</v>
      </c>
      <c r="Y3" s="4" t="n">
        <v>0.791666666666667</v>
      </c>
      <c r="Z3" s="1" t="s">
        <v>12</v>
      </c>
      <c r="AA3" s="1" t="s">
        <v>11</v>
      </c>
      <c r="AB3" s="1" t="s">
        <v>11</v>
      </c>
      <c r="AC3" s="1" t="s">
        <v>11</v>
      </c>
      <c r="AD3" s="1" t="s">
        <v>12</v>
      </c>
      <c r="AE3" s="1" t="s">
        <v>11</v>
      </c>
    </row>
    <row r="4" s="1" customFormat="true" ht="15" hidden="false" customHeight="false" outlineLevel="0" collapsed="false">
      <c r="A4" s="1" t="n">
        <v>2</v>
      </c>
      <c r="B4" s="2" t="s">
        <v>14</v>
      </c>
      <c r="C4" s="1" t="s">
        <v>11</v>
      </c>
      <c r="D4" s="1" t="s">
        <v>11</v>
      </c>
      <c r="F4" s="1" t="s">
        <v>11</v>
      </c>
      <c r="H4" s="1" t="s">
        <v>11</v>
      </c>
      <c r="I4" s="1" t="s">
        <v>11</v>
      </c>
      <c r="J4" s="1" t="s">
        <v>11</v>
      </c>
      <c r="K4" s="1" t="s">
        <v>11</v>
      </c>
      <c r="L4" s="1" t="s">
        <v>11</v>
      </c>
      <c r="M4" s="1" t="s">
        <v>11</v>
      </c>
      <c r="O4" s="1" t="n">
        <f aca="false">COUNTIF(C4:M4,"P")</f>
        <v>9</v>
      </c>
      <c r="P4" s="1" t="n">
        <f aca="false">COUNTIF(C4:M4,"T")</f>
        <v>0</v>
      </c>
      <c r="Q4" s="1" t="n">
        <f aca="false">COUNTIF(C4:M4,"A")</f>
        <v>0</v>
      </c>
      <c r="R4" s="1" t="n">
        <f aca="false">SUM(O4:Q4)</f>
        <v>9</v>
      </c>
      <c r="S4" s="5" t="n">
        <f aca="false">ROUND((O4+P4/4)*10/R4,0)</f>
        <v>10</v>
      </c>
      <c r="T4" s="5" t="str">
        <f aca="false">IF(S4&gt;6,"TEA",IF(S4&gt;3,"TEP","TED"))</f>
        <v>TEA</v>
      </c>
      <c r="U4" s="1" t="s">
        <v>11</v>
      </c>
      <c r="V4" s="1" t="s">
        <v>15</v>
      </c>
      <c r="W4" s="1" t="s">
        <v>11</v>
      </c>
      <c r="X4" s="1" t="s">
        <v>11</v>
      </c>
      <c r="Z4" s="1" t="s">
        <v>12</v>
      </c>
      <c r="AA4" s="1" t="s">
        <v>11</v>
      </c>
      <c r="AB4" s="1" t="s">
        <v>11</v>
      </c>
      <c r="AC4" s="1" t="s">
        <v>11</v>
      </c>
      <c r="AD4" s="1" t="s">
        <v>11</v>
      </c>
      <c r="AE4" s="1" t="s">
        <v>11</v>
      </c>
    </row>
    <row r="5" s="1" customFormat="true" ht="15" hidden="false" customHeight="false" outlineLevel="0" collapsed="false">
      <c r="A5" s="1" t="n">
        <v>3</v>
      </c>
      <c r="B5" s="2" t="s">
        <v>16</v>
      </c>
      <c r="C5" s="1" t="s">
        <v>11</v>
      </c>
      <c r="D5" s="1" t="s">
        <v>11</v>
      </c>
      <c r="F5" s="1" t="s">
        <v>11</v>
      </c>
      <c r="H5" s="1" t="s">
        <v>11</v>
      </c>
      <c r="I5" s="1" t="s">
        <v>11</v>
      </c>
      <c r="J5" s="1" t="s">
        <v>11</v>
      </c>
      <c r="K5" s="1" t="s">
        <v>12</v>
      </c>
      <c r="L5" s="1" t="s">
        <v>11</v>
      </c>
      <c r="M5" s="1" t="s">
        <v>11</v>
      </c>
      <c r="O5" s="1" t="n">
        <f aca="false">COUNTIF(C5:M5,"P")</f>
        <v>8</v>
      </c>
      <c r="P5" s="1" t="n">
        <f aca="false">COUNTIF(C5:M5,"T")</f>
        <v>0</v>
      </c>
      <c r="Q5" s="1" t="n">
        <f aca="false">COUNTIF(C5:M5,"A")</f>
        <v>1</v>
      </c>
      <c r="R5" s="1" t="n">
        <f aca="false">SUM(O5:Q5)</f>
        <v>9</v>
      </c>
      <c r="S5" s="5" t="n">
        <f aca="false">ROUND((O5+P5/4)*10/R5,0)</f>
        <v>9</v>
      </c>
      <c r="T5" s="5" t="str">
        <f aca="false">IF(S5&gt;6,"TEA",IF(S5&gt;3,"TEP","TED"))</f>
        <v>TEA</v>
      </c>
      <c r="U5" s="1" t="s">
        <v>11</v>
      </c>
      <c r="V5" s="1" t="s">
        <v>11</v>
      </c>
      <c r="W5" s="1" t="s">
        <v>11</v>
      </c>
      <c r="X5" s="1" t="s">
        <v>11</v>
      </c>
      <c r="Z5" s="1" t="s">
        <v>12</v>
      </c>
      <c r="AA5" s="1" t="s">
        <v>11</v>
      </c>
      <c r="AB5" s="1" t="s">
        <v>11</v>
      </c>
      <c r="AC5" s="1" t="s">
        <v>11</v>
      </c>
      <c r="AD5" s="1" t="s">
        <v>11</v>
      </c>
      <c r="AE5" s="1" t="s">
        <v>11</v>
      </c>
    </row>
    <row r="6" s="1" customFormat="true" ht="15" hidden="false" customHeight="false" outlineLevel="0" collapsed="false">
      <c r="A6" s="1" t="n">
        <v>4</v>
      </c>
      <c r="B6" s="2" t="s">
        <v>17</v>
      </c>
      <c r="C6" s="1" t="s">
        <v>11</v>
      </c>
      <c r="D6" s="1" t="s">
        <v>11</v>
      </c>
      <c r="F6" s="1" t="s">
        <v>11</v>
      </c>
      <c r="H6" s="1" t="s">
        <v>11</v>
      </c>
      <c r="I6" s="1" t="s">
        <v>11</v>
      </c>
      <c r="J6" s="1" t="s">
        <v>11</v>
      </c>
      <c r="K6" s="1" t="s">
        <v>11</v>
      </c>
      <c r="L6" s="1" t="s">
        <v>11</v>
      </c>
      <c r="M6" s="1" t="s">
        <v>11</v>
      </c>
      <c r="O6" s="1" t="n">
        <f aca="false">COUNTIF(C6:M6,"P")</f>
        <v>9</v>
      </c>
      <c r="P6" s="1" t="n">
        <f aca="false">COUNTIF(C6:M6,"T")</f>
        <v>0</v>
      </c>
      <c r="Q6" s="1" t="n">
        <f aca="false">COUNTIF(C6:M6,"A")</f>
        <v>0</v>
      </c>
      <c r="R6" s="1" t="n">
        <f aca="false">SUM(O6:Q6)</f>
        <v>9</v>
      </c>
      <c r="S6" s="5" t="n">
        <f aca="false">ROUND((O6+P6/4)*10/R6,0)</f>
        <v>10</v>
      </c>
      <c r="T6" s="5" t="str">
        <f aca="false">IF(S6&gt;6,"TEA",IF(S6&gt;3,"TEP","TED"))</f>
        <v>TEA</v>
      </c>
      <c r="U6" s="1" t="s">
        <v>11</v>
      </c>
      <c r="V6" s="1" t="s">
        <v>11</v>
      </c>
      <c r="W6" s="1" t="s">
        <v>11</v>
      </c>
      <c r="X6" s="1" t="s">
        <v>11</v>
      </c>
      <c r="Z6" s="1" t="s">
        <v>12</v>
      </c>
      <c r="AA6" s="1" t="s">
        <v>12</v>
      </c>
      <c r="AB6" s="1" t="s">
        <v>11</v>
      </c>
      <c r="AC6" s="1" t="s">
        <v>11</v>
      </c>
      <c r="AD6" s="1" t="s">
        <v>11</v>
      </c>
      <c r="AE6" s="1" t="s">
        <v>11</v>
      </c>
    </row>
    <row r="7" s="1" customFormat="true" ht="15" hidden="false" customHeight="false" outlineLevel="0" collapsed="false">
      <c r="A7" s="1" t="n">
        <v>5</v>
      </c>
      <c r="B7" s="2" t="s">
        <v>18</v>
      </c>
      <c r="C7" s="1" t="s">
        <v>11</v>
      </c>
      <c r="D7" s="1" t="s">
        <v>11</v>
      </c>
      <c r="F7" s="1" t="s">
        <v>12</v>
      </c>
      <c r="H7" s="1" t="s">
        <v>11</v>
      </c>
      <c r="I7" s="1" t="s">
        <v>11</v>
      </c>
      <c r="J7" s="1" t="s">
        <v>11</v>
      </c>
      <c r="K7" s="1" t="s">
        <v>11</v>
      </c>
      <c r="L7" s="1" t="s">
        <v>11</v>
      </c>
      <c r="M7" s="1" t="s">
        <v>12</v>
      </c>
      <c r="O7" s="1" t="n">
        <f aca="false">COUNTIF(C7:M7,"P")</f>
        <v>7</v>
      </c>
      <c r="P7" s="1" t="n">
        <f aca="false">COUNTIF(C7:M7,"T")</f>
        <v>0</v>
      </c>
      <c r="Q7" s="1" t="n">
        <f aca="false">COUNTIF(C7:M7,"A")</f>
        <v>2</v>
      </c>
      <c r="R7" s="1" t="n">
        <f aca="false">SUM(O7:Q7)</f>
        <v>9</v>
      </c>
      <c r="S7" s="5" t="n">
        <f aca="false">ROUND((O7+P7/4)*10/R7,0)</f>
        <v>8</v>
      </c>
      <c r="T7" s="5" t="str">
        <f aca="false">IF(S7&gt;6,"TEA",IF(S7&gt;3,"TEP","TED"))</f>
        <v>TEA</v>
      </c>
      <c r="U7" s="1" t="s">
        <v>11</v>
      </c>
      <c r="V7" s="1" t="s">
        <v>11</v>
      </c>
      <c r="W7" s="1" t="s">
        <v>11</v>
      </c>
      <c r="X7" s="1" t="s">
        <v>12</v>
      </c>
      <c r="Z7" s="1" t="s">
        <v>12</v>
      </c>
      <c r="AA7" s="1" t="s">
        <v>12</v>
      </c>
      <c r="AB7" s="1" t="s">
        <v>11</v>
      </c>
      <c r="AC7" s="1" t="s">
        <v>11</v>
      </c>
      <c r="AD7" s="1" t="s">
        <v>11</v>
      </c>
      <c r="AE7" s="1" t="s">
        <v>11</v>
      </c>
    </row>
    <row r="8" s="2" customFormat="true" ht="15" hidden="false" customHeight="false" outlineLevel="0" collapsed="false">
      <c r="A8" s="1" t="n">
        <v>6</v>
      </c>
      <c r="B8" s="2" t="s">
        <v>19</v>
      </c>
      <c r="C8" s="2" t="s">
        <v>11</v>
      </c>
      <c r="D8" s="2" t="s">
        <v>11</v>
      </c>
      <c r="F8" s="2" t="s">
        <v>11</v>
      </c>
      <c r="H8" s="2" t="s">
        <v>11</v>
      </c>
      <c r="I8" s="2" t="s">
        <v>11</v>
      </c>
      <c r="J8" s="2" t="s">
        <v>11</v>
      </c>
      <c r="K8" s="2" t="s">
        <v>11</v>
      </c>
      <c r="L8" s="2" t="s">
        <v>11</v>
      </c>
      <c r="M8" s="2" t="s">
        <v>11</v>
      </c>
      <c r="O8" s="1" t="n">
        <f aca="false">COUNTIF(C8:M8,"P")</f>
        <v>9</v>
      </c>
      <c r="P8" s="1" t="n">
        <f aca="false">COUNTIF(C8:M8,"T")</f>
        <v>0</v>
      </c>
      <c r="Q8" s="1" t="n">
        <f aca="false">COUNTIF(C8:M8,"A")</f>
        <v>0</v>
      </c>
      <c r="R8" s="1" t="n">
        <f aca="false">SUM(O8:Q8)</f>
        <v>9</v>
      </c>
      <c r="S8" s="5" t="n">
        <f aca="false">ROUND((O8+P8/4)*10/R8,0)</f>
        <v>10</v>
      </c>
      <c r="T8" s="5" t="str">
        <f aca="false">IF(S8&gt;6,"TEA",IF(S8&gt;3,"TEP","TED"))</f>
        <v>TEA</v>
      </c>
      <c r="U8" s="2" t="s">
        <v>11</v>
      </c>
      <c r="V8" s="2" t="s">
        <v>11</v>
      </c>
      <c r="W8" s="2" t="s">
        <v>11</v>
      </c>
      <c r="X8" s="2" t="s">
        <v>11</v>
      </c>
      <c r="Z8" s="1" t="s">
        <v>12</v>
      </c>
      <c r="AA8" s="2" t="s">
        <v>11</v>
      </c>
      <c r="AB8" s="2" t="s">
        <v>11</v>
      </c>
      <c r="AC8" s="2" t="s">
        <v>11</v>
      </c>
      <c r="AD8" s="2" t="s">
        <v>11</v>
      </c>
      <c r="AE8" s="2" t="s">
        <v>11</v>
      </c>
      <c r="AKR8" s="1"/>
      <c r="AKS8" s="1"/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  <c r="AMN8" s="1"/>
      <c r="AMO8" s="1"/>
      <c r="AMP8" s="1"/>
      <c r="AMQ8" s="1"/>
      <c r="AMR8" s="1"/>
      <c r="AMS8" s="1"/>
      <c r="AMT8" s="1"/>
      <c r="XDJ8" s="1"/>
      <c r="XDK8" s="1"/>
      <c r="XDL8" s="1"/>
    </row>
    <row r="9" s="1" customFormat="true" ht="15" hidden="false" customHeight="false" outlineLevel="0" collapsed="false">
      <c r="A9" s="1" t="n">
        <v>7</v>
      </c>
      <c r="B9" s="2" t="s">
        <v>20</v>
      </c>
      <c r="C9" s="1" t="s">
        <v>11</v>
      </c>
      <c r="D9" s="1" t="s">
        <v>11</v>
      </c>
      <c r="F9" s="1" t="s">
        <v>11</v>
      </c>
      <c r="H9" s="1" t="s">
        <v>12</v>
      </c>
      <c r="I9" s="1" t="s">
        <v>11</v>
      </c>
      <c r="J9" s="1" t="s">
        <v>11</v>
      </c>
      <c r="K9" s="1" t="s">
        <v>11</v>
      </c>
      <c r="L9" s="1" t="s">
        <v>11</v>
      </c>
      <c r="M9" s="1" t="s">
        <v>11</v>
      </c>
      <c r="O9" s="1" t="n">
        <f aca="false">COUNTIF(C9:M9,"P")</f>
        <v>8</v>
      </c>
      <c r="P9" s="1" t="n">
        <f aca="false">COUNTIF(C9:M9,"T")</f>
        <v>0</v>
      </c>
      <c r="Q9" s="1" t="n">
        <f aca="false">COUNTIF(C9:M9,"A")</f>
        <v>1</v>
      </c>
      <c r="R9" s="1" t="n">
        <f aca="false">SUM(O9:Q9)</f>
        <v>9</v>
      </c>
      <c r="S9" s="5" t="n">
        <f aca="false">ROUND((O9+P9/4)*10/R9,0)</f>
        <v>9</v>
      </c>
      <c r="T9" s="5" t="str">
        <f aca="false">IF(S9&gt;6,"TEA",IF(S9&gt;3,"TEP","TED"))</f>
        <v>TEA</v>
      </c>
      <c r="U9" s="1" t="s">
        <v>11</v>
      </c>
      <c r="V9" s="1" t="s">
        <v>12</v>
      </c>
      <c r="W9" s="1" t="s">
        <v>11</v>
      </c>
      <c r="X9" s="1" t="s">
        <v>11</v>
      </c>
      <c r="Z9" s="1" t="s">
        <v>12</v>
      </c>
      <c r="AA9" s="1" t="s">
        <v>11</v>
      </c>
      <c r="AB9" s="1" t="s">
        <v>11</v>
      </c>
      <c r="AC9" s="1" t="s">
        <v>11</v>
      </c>
      <c r="AD9" s="1" t="s">
        <v>11</v>
      </c>
      <c r="AE9" s="1" t="s">
        <v>11</v>
      </c>
    </row>
    <row r="10" s="1" customFormat="true" ht="15" hidden="false" customHeight="false" outlineLevel="0" collapsed="false">
      <c r="A10" s="1" t="n">
        <v>8</v>
      </c>
      <c r="B10" s="2" t="s">
        <v>21</v>
      </c>
      <c r="C10" s="1" t="s">
        <v>11</v>
      </c>
      <c r="D10" s="1" t="s">
        <v>11</v>
      </c>
      <c r="F10" s="1" t="s">
        <v>11</v>
      </c>
      <c r="H10" s="1" t="s">
        <v>11</v>
      </c>
      <c r="I10" s="1" t="s">
        <v>11</v>
      </c>
      <c r="J10" s="1" t="s">
        <v>11</v>
      </c>
      <c r="K10" s="1" t="s">
        <v>11</v>
      </c>
      <c r="L10" s="1" t="s">
        <v>11</v>
      </c>
      <c r="M10" s="1" t="s">
        <v>11</v>
      </c>
      <c r="O10" s="1" t="n">
        <f aca="false">COUNTIF(C10:M10,"P")</f>
        <v>9</v>
      </c>
      <c r="P10" s="1" t="n">
        <f aca="false">COUNTIF(C10:M10,"T")</f>
        <v>0</v>
      </c>
      <c r="Q10" s="1" t="n">
        <f aca="false">COUNTIF(C10:M10,"A")</f>
        <v>0</v>
      </c>
      <c r="R10" s="1" t="n">
        <f aca="false">SUM(O10:Q10)</f>
        <v>9</v>
      </c>
      <c r="S10" s="5" t="n">
        <f aca="false">ROUND((O10+P10/4)*10/R10,0)</f>
        <v>10</v>
      </c>
      <c r="T10" s="5" t="str">
        <f aca="false">IF(S10&gt;6,"TEA",IF(S10&gt;3,"TEP","TED"))</f>
        <v>TEA</v>
      </c>
      <c r="U10" s="1" t="s">
        <v>11</v>
      </c>
      <c r="V10" s="1" t="s">
        <v>11</v>
      </c>
      <c r="W10" s="1" t="s">
        <v>11</v>
      </c>
      <c r="X10" s="1" t="s">
        <v>11</v>
      </c>
      <c r="Z10" s="1" t="s">
        <v>12</v>
      </c>
      <c r="AA10" s="1" t="s">
        <v>11</v>
      </c>
      <c r="AB10" s="1" t="s">
        <v>11</v>
      </c>
      <c r="AC10" s="1" t="s">
        <v>11</v>
      </c>
      <c r="AD10" s="1" t="s">
        <v>11</v>
      </c>
      <c r="AE10" s="1" t="s">
        <v>11</v>
      </c>
    </row>
    <row r="11" s="1" customFormat="true" ht="15" hidden="false" customHeight="false" outlineLevel="0" collapsed="false">
      <c r="A11" s="1" t="n">
        <v>9</v>
      </c>
      <c r="B11" s="2" t="s">
        <v>22</v>
      </c>
      <c r="C11" s="1" t="s">
        <v>11</v>
      </c>
      <c r="D11" s="1" t="s">
        <v>11</v>
      </c>
      <c r="F11" s="1" t="s">
        <v>11</v>
      </c>
      <c r="H11" s="1" t="s">
        <v>11</v>
      </c>
      <c r="I11" s="1" t="s">
        <v>11</v>
      </c>
      <c r="J11" s="1" t="s">
        <v>11</v>
      </c>
      <c r="K11" s="1" t="s">
        <v>11</v>
      </c>
      <c r="L11" s="1" t="s">
        <v>11</v>
      </c>
      <c r="M11" s="1" t="s">
        <v>11</v>
      </c>
      <c r="O11" s="1" t="n">
        <f aca="false">COUNTIF(C11:M11,"P")</f>
        <v>9</v>
      </c>
      <c r="P11" s="1" t="n">
        <f aca="false">COUNTIF(C11:M11,"T")</f>
        <v>0</v>
      </c>
      <c r="Q11" s="1" t="n">
        <f aca="false">COUNTIF(C11:M11,"A")</f>
        <v>0</v>
      </c>
      <c r="R11" s="1" t="n">
        <f aca="false">SUM(O11:Q11)</f>
        <v>9</v>
      </c>
      <c r="S11" s="5" t="n">
        <f aca="false">ROUND((O11+P11/4)*10/R11,0)</f>
        <v>10</v>
      </c>
      <c r="T11" s="5" t="str">
        <f aca="false">IF(S11&gt;6,"TEA",IF(S11&gt;3,"TEP","TED"))</f>
        <v>TEA</v>
      </c>
      <c r="U11" s="1" t="s">
        <v>11</v>
      </c>
      <c r="V11" s="1" t="s">
        <v>11</v>
      </c>
      <c r="W11" s="1" t="s">
        <v>12</v>
      </c>
      <c r="X11" s="1" t="s">
        <v>11</v>
      </c>
      <c r="Z11" s="1" t="s">
        <v>12</v>
      </c>
      <c r="AA11" s="1" t="s">
        <v>11</v>
      </c>
      <c r="AB11" s="1" t="s">
        <v>12</v>
      </c>
      <c r="AC11" s="1" t="s">
        <v>11</v>
      </c>
      <c r="AD11" s="1" t="s">
        <v>11</v>
      </c>
      <c r="AE11" s="1" t="s">
        <v>11</v>
      </c>
    </row>
    <row r="12" s="7" customFormat="true" ht="15" hidden="false" customHeight="false" outlineLevel="0" collapsed="false">
      <c r="A12" s="6" t="n">
        <v>10</v>
      </c>
      <c r="B12" s="7" t="s">
        <v>23</v>
      </c>
      <c r="C12" s="7" t="s">
        <v>11</v>
      </c>
      <c r="D12" s="7" t="s">
        <v>12</v>
      </c>
      <c r="E12" s="7" t="s">
        <v>24</v>
      </c>
      <c r="F12" s="7" t="s">
        <v>12</v>
      </c>
      <c r="G12" s="7" t="s">
        <v>25</v>
      </c>
      <c r="H12" s="7" t="s">
        <v>12</v>
      </c>
      <c r="I12" s="7" t="s">
        <v>12</v>
      </c>
      <c r="J12" s="7" t="s">
        <v>12</v>
      </c>
      <c r="K12" s="7" t="s">
        <v>12</v>
      </c>
      <c r="L12" s="7" t="s">
        <v>12</v>
      </c>
      <c r="M12" s="7" t="s">
        <v>12</v>
      </c>
      <c r="O12" s="6" t="n">
        <f aca="false">COUNTIF(C12:M12,"P")</f>
        <v>1</v>
      </c>
      <c r="P12" s="1" t="n">
        <f aca="false">COUNTIF(C12:M12,"T")</f>
        <v>0</v>
      </c>
      <c r="Q12" s="6" t="n">
        <f aca="false">COUNTIF(C12:M12,"A")</f>
        <v>8</v>
      </c>
      <c r="R12" s="6" t="n">
        <f aca="false">SUM(O12:Q12)</f>
        <v>9</v>
      </c>
      <c r="S12" s="5" t="n">
        <f aca="false">ROUND((O12+P12/4)*10/R12,0)</f>
        <v>1</v>
      </c>
      <c r="T12" s="5" t="str">
        <f aca="false">IF(S12&gt;6,"TEA",IF(S12&gt;3,"TEP","TED"))</f>
        <v>TED</v>
      </c>
      <c r="U12" s="7" t="s">
        <v>12</v>
      </c>
      <c r="V12" s="7" t="s">
        <v>12</v>
      </c>
      <c r="W12" s="7" t="s">
        <v>12</v>
      </c>
      <c r="X12" s="7" t="s">
        <v>12</v>
      </c>
      <c r="Z12" s="1" t="s">
        <v>12</v>
      </c>
      <c r="AA12" s="7" t="s">
        <v>12</v>
      </c>
      <c r="AB12" s="7" t="s">
        <v>12</v>
      </c>
      <c r="AC12" s="7" t="s">
        <v>12</v>
      </c>
      <c r="AD12" s="7" t="s">
        <v>12</v>
      </c>
      <c r="AE12" s="7" t="s">
        <v>12</v>
      </c>
      <c r="AKR12" s="6"/>
      <c r="AKS12" s="6"/>
      <c r="AKT12" s="6"/>
      <c r="AKU12" s="6"/>
      <c r="AKV12" s="6"/>
      <c r="AKW12" s="6"/>
      <c r="AKX12" s="6"/>
      <c r="AKY12" s="6"/>
      <c r="AKZ12" s="6"/>
      <c r="ALA12" s="6"/>
      <c r="ALB12" s="6"/>
      <c r="ALC12" s="6"/>
      <c r="ALD12" s="6"/>
      <c r="ALE12" s="6"/>
      <c r="ALF12" s="6"/>
      <c r="ALG12" s="6"/>
      <c r="ALH12" s="6"/>
      <c r="ALI12" s="6"/>
      <c r="ALJ12" s="6"/>
      <c r="ALK12" s="6"/>
      <c r="ALL12" s="6"/>
      <c r="ALM12" s="6"/>
      <c r="ALN12" s="6"/>
      <c r="ALO12" s="6"/>
      <c r="ALP12" s="6"/>
      <c r="ALQ12" s="6"/>
      <c r="ALR12" s="6"/>
      <c r="ALS12" s="6"/>
      <c r="ALT12" s="6"/>
      <c r="ALU12" s="6"/>
      <c r="ALV12" s="6"/>
      <c r="ALW12" s="6"/>
      <c r="ALX12" s="6"/>
      <c r="ALY12" s="6"/>
      <c r="ALZ12" s="6"/>
      <c r="AMA12" s="6"/>
      <c r="AMB12" s="6"/>
      <c r="AMC12" s="6"/>
      <c r="AMD12" s="6"/>
      <c r="AME12" s="6"/>
      <c r="AMF12" s="6"/>
      <c r="AMG12" s="6"/>
      <c r="AMH12" s="6"/>
      <c r="AMI12" s="6"/>
      <c r="AMJ12" s="6"/>
      <c r="AMK12" s="6"/>
      <c r="AML12" s="6"/>
      <c r="AMM12" s="6"/>
      <c r="AMN12" s="6"/>
      <c r="AMO12" s="6"/>
      <c r="AMP12" s="6"/>
      <c r="AMQ12" s="6"/>
      <c r="AMR12" s="6"/>
      <c r="AMS12" s="6"/>
      <c r="AMT12" s="6"/>
      <c r="XDJ12" s="6"/>
      <c r="XDK12" s="6"/>
      <c r="XDL12" s="6"/>
    </row>
    <row r="13" s="1" customFormat="true" ht="15" hidden="false" customHeight="false" outlineLevel="0" collapsed="false">
      <c r="A13" s="1" t="n">
        <v>11</v>
      </c>
      <c r="B13" s="2" t="s">
        <v>26</v>
      </c>
      <c r="C13" s="1" t="s">
        <v>11</v>
      </c>
      <c r="D13" s="1" t="s">
        <v>11</v>
      </c>
      <c r="F13" s="2" t="s">
        <v>11</v>
      </c>
      <c r="G13" s="2"/>
      <c r="H13" s="1" t="s">
        <v>11</v>
      </c>
      <c r="I13" s="1" t="s">
        <v>11</v>
      </c>
      <c r="J13" s="1" t="s">
        <v>11</v>
      </c>
      <c r="K13" s="1" t="s">
        <v>11</v>
      </c>
      <c r="L13" s="1" t="s">
        <v>11</v>
      </c>
      <c r="M13" s="1" t="s">
        <v>11</v>
      </c>
      <c r="O13" s="1" t="n">
        <f aca="false">COUNTIF(C13:M13,"P")</f>
        <v>9</v>
      </c>
      <c r="P13" s="1" t="n">
        <f aca="false">COUNTIF(C13:M13,"T")</f>
        <v>0</v>
      </c>
      <c r="Q13" s="1" t="n">
        <f aca="false">COUNTIF(C13:M13,"A")</f>
        <v>0</v>
      </c>
      <c r="R13" s="1" t="n">
        <f aca="false">SUM(O13:Q13)</f>
        <v>9</v>
      </c>
      <c r="S13" s="5" t="n">
        <f aca="false">ROUND((O13+P13/4)*10/R13,0)</f>
        <v>10</v>
      </c>
      <c r="T13" s="5" t="str">
        <f aca="false">IF(S13&gt;6,"TEA",IF(S13&gt;3,"TEP","TED"))</f>
        <v>TEA</v>
      </c>
      <c r="U13" s="1" t="s">
        <v>11</v>
      </c>
      <c r="V13" s="1" t="s">
        <v>11</v>
      </c>
      <c r="W13" s="1" t="s">
        <v>11</v>
      </c>
      <c r="X13" s="1" t="s">
        <v>11</v>
      </c>
      <c r="Z13" s="1" t="s">
        <v>12</v>
      </c>
      <c r="AA13" s="1" t="s">
        <v>11</v>
      </c>
      <c r="AB13" s="1" t="s">
        <v>11</v>
      </c>
      <c r="AC13" s="1" t="s">
        <v>11</v>
      </c>
      <c r="AD13" s="1" t="s">
        <v>11</v>
      </c>
      <c r="AE13" s="1" t="s">
        <v>11</v>
      </c>
    </row>
    <row r="14" s="1" customFormat="true" ht="15" hidden="false" customHeight="false" outlineLevel="0" collapsed="false">
      <c r="A14" s="1" t="n">
        <v>12</v>
      </c>
      <c r="B14" s="2" t="s">
        <v>27</v>
      </c>
      <c r="C14" s="1" t="s">
        <v>11</v>
      </c>
      <c r="D14" s="1" t="s">
        <v>12</v>
      </c>
      <c r="F14" s="2" t="s">
        <v>11</v>
      </c>
      <c r="G14" s="2"/>
      <c r="H14" s="1" t="s">
        <v>11</v>
      </c>
      <c r="I14" s="1" t="s">
        <v>11</v>
      </c>
      <c r="J14" s="1" t="s">
        <v>11</v>
      </c>
      <c r="K14" s="1" t="s">
        <v>11</v>
      </c>
      <c r="L14" s="1" t="s">
        <v>11</v>
      </c>
      <c r="M14" s="1" t="s">
        <v>11</v>
      </c>
      <c r="O14" s="1" t="n">
        <f aca="false">COUNTIF(C14:M14,"P")</f>
        <v>8</v>
      </c>
      <c r="P14" s="1" t="n">
        <f aca="false">COUNTIF(C14:M14,"T")</f>
        <v>0</v>
      </c>
      <c r="Q14" s="1" t="n">
        <f aca="false">COUNTIF(C14:M14,"A")</f>
        <v>1</v>
      </c>
      <c r="R14" s="1" t="n">
        <f aca="false">SUM(O14:Q14)</f>
        <v>9</v>
      </c>
      <c r="S14" s="5" t="n">
        <f aca="false">ROUND((O14+P14/4)*10/R14,0)</f>
        <v>9</v>
      </c>
      <c r="T14" s="5" t="str">
        <f aca="false">IF(S14&gt;6,"TEA",IF(S14&gt;3,"TEP","TED"))</f>
        <v>TEA</v>
      </c>
      <c r="U14" s="1" t="s">
        <v>11</v>
      </c>
      <c r="V14" s="1" t="s">
        <v>11</v>
      </c>
      <c r="W14" s="1" t="s">
        <v>11</v>
      </c>
      <c r="X14" s="1" t="s">
        <v>11</v>
      </c>
      <c r="Z14" s="1" t="s">
        <v>12</v>
      </c>
      <c r="AA14" s="1" t="s">
        <v>11</v>
      </c>
      <c r="AB14" s="1" t="s">
        <v>11</v>
      </c>
      <c r="AC14" s="1" t="s">
        <v>15</v>
      </c>
      <c r="AD14" s="1" t="s">
        <v>11</v>
      </c>
      <c r="AE14" s="1" t="s">
        <v>11</v>
      </c>
    </row>
    <row r="15" s="7" customFormat="true" ht="15" hidden="false" customHeight="false" outlineLevel="0" collapsed="false">
      <c r="A15" s="6" t="n">
        <v>13</v>
      </c>
      <c r="B15" s="7" t="s">
        <v>28</v>
      </c>
      <c r="C15" s="7" t="s">
        <v>11</v>
      </c>
      <c r="D15" s="7" t="s">
        <v>12</v>
      </c>
      <c r="E15" s="7" t="s">
        <v>24</v>
      </c>
      <c r="F15" s="7" t="s">
        <v>12</v>
      </c>
      <c r="H15" s="7" t="s">
        <v>12</v>
      </c>
      <c r="I15" s="7" t="s">
        <v>12</v>
      </c>
      <c r="J15" s="7" t="s">
        <v>12</v>
      </c>
      <c r="K15" s="7" t="s">
        <v>12</v>
      </c>
      <c r="L15" s="7" t="s">
        <v>12</v>
      </c>
      <c r="M15" s="7" t="s">
        <v>12</v>
      </c>
      <c r="O15" s="6" t="n">
        <f aca="false">COUNTIF(C15:M15,"P")</f>
        <v>1</v>
      </c>
      <c r="P15" s="1" t="n">
        <f aca="false">COUNTIF(C15:M15,"T")</f>
        <v>0</v>
      </c>
      <c r="Q15" s="6" t="n">
        <f aca="false">COUNTIF(C15:M15,"A")</f>
        <v>8</v>
      </c>
      <c r="R15" s="6" t="n">
        <f aca="false">SUM(O15:Q15)</f>
        <v>9</v>
      </c>
      <c r="S15" s="5" t="n">
        <f aca="false">ROUND((O15+P15/4)*10/R15,0)</f>
        <v>1</v>
      </c>
      <c r="T15" s="5" t="str">
        <f aca="false">IF(S15&gt;6,"TEA",IF(S15&gt;3,"TEP","TED"))</f>
        <v>TED</v>
      </c>
      <c r="U15" s="7" t="s">
        <v>12</v>
      </c>
      <c r="V15" s="7" t="s">
        <v>12</v>
      </c>
      <c r="W15" s="7" t="s">
        <v>12</v>
      </c>
      <c r="X15" s="7" t="s">
        <v>12</v>
      </c>
      <c r="Z15" s="1" t="s">
        <v>12</v>
      </c>
      <c r="AA15" s="7" t="s">
        <v>12</v>
      </c>
      <c r="AB15" s="7" t="s">
        <v>12</v>
      </c>
      <c r="AC15" s="7" t="s">
        <v>12</v>
      </c>
      <c r="AD15" s="7" t="s">
        <v>12</v>
      </c>
      <c r="AE15" s="7" t="s">
        <v>12</v>
      </c>
      <c r="AKR15" s="6"/>
      <c r="AKS15" s="6"/>
      <c r="AKT15" s="6"/>
      <c r="AKU15" s="6"/>
      <c r="AKV15" s="6"/>
      <c r="AKW15" s="6"/>
      <c r="AKX15" s="6"/>
      <c r="AKY15" s="6"/>
      <c r="AKZ15" s="6"/>
      <c r="ALA15" s="6"/>
      <c r="ALB15" s="6"/>
      <c r="ALC15" s="6"/>
      <c r="ALD15" s="6"/>
      <c r="ALE15" s="6"/>
      <c r="ALF15" s="6"/>
      <c r="ALG15" s="6"/>
      <c r="ALH15" s="6"/>
      <c r="ALI15" s="6"/>
      <c r="ALJ15" s="6"/>
      <c r="ALK15" s="6"/>
      <c r="ALL15" s="6"/>
      <c r="ALM15" s="6"/>
      <c r="ALN15" s="6"/>
      <c r="ALO15" s="6"/>
      <c r="ALP15" s="6"/>
      <c r="ALQ15" s="6"/>
      <c r="ALR15" s="6"/>
      <c r="ALS15" s="6"/>
      <c r="ALT15" s="6"/>
      <c r="ALU15" s="6"/>
      <c r="ALV15" s="6"/>
      <c r="ALW15" s="6"/>
      <c r="ALX15" s="6"/>
      <c r="ALY15" s="6"/>
      <c r="ALZ15" s="6"/>
      <c r="AMA15" s="6"/>
      <c r="AMB15" s="6"/>
      <c r="AMC15" s="6"/>
      <c r="AMD15" s="6"/>
      <c r="AME15" s="6"/>
      <c r="AMF15" s="6"/>
      <c r="AMG15" s="6"/>
      <c r="AMH15" s="6"/>
      <c r="AMI15" s="6"/>
      <c r="AMJ15" s="6"/>
      <c r="AMK15" s="6"/>
      <c r="AML15" s="6"/>
      <c r="AMM15" s="6"/>
      <c r="AMN15" s="6"/>
      <c r="AMO15" s="6"/>
      <c r="AMP15" s="6"/>
      <c r="AMQ15" s="6"/>
      <c r="AMR15" s="6"/>
      <c r="AMS15" s="6"/>
      <c r="AMT15" s="6"/>
      <c r="XDJ15" s="6"/>
      <c r="XDK15" s="6"/>
      <c r="XDL15" s="6"/>
    </row>
    <row r="16" s="1" customFormat="true" ht="15" hidden="false" customHeight="false" outlineLevel="0" collapsed="false">
      <c r="A16" s="1" t="n">
        <v>14</v>
      </c>
      <c r="B16" s="2" t="s">
        <v>29</v>
      </c>
      <c r="C16" s="1" t="s">
        <v>11</v>
      </c>
      <c r="D16" s="1" t="s">
        <v>11</v>
      </c>
      <c r="F16" s="2" t="s">
        <v>12</v>
      </c>
      <c r="G16" s="2"/>
      <c r="H16" s="1" t="s">
        <v>11</v>
      </c>
      <c r="I16" s="1" t="s">
        <v>11</v>
      </c>
      <c r="J16" s="1" t="s">
        <v>11</v>
      </c>
      <c r="K16" s="1" t="s">
        <v>11</v>
      </c>
      <c r="L16" s="1" t="s">
        <v>11</v>
      </c>
      <c r="M16" s="1" t="s">
        <v>11</v>
      </c>
      <c r="O16" s="1" t="n">
        <f aca="false">COUNTIF(C16:M16,"P")</f>
        <v>8</v>
      </c>
      <c r="P16" s="1" t="n">
        <f aca="false">COUNTIF(C16:M16,"T")</f>
        <v>0</v>
      </c>
      <c r="Q16" s="1" t="n">
        <f aca="false">COUNTIF(C16:M16,"A")</f>
        <v>1</v>
      </c>
      <c r="R16" s="1" t="n">
        <f aca="false">SUM(O16:Q16)</f>
        <v>9</v>
      </c>
      <c r="S16" s="5" t="n">
        <f aca="false">ROUND((O16+P16/4)*10/R16,0)</f>
        <v>9</v>
      </c>
      <c r="T16" s="5" t="str">
        <f aca="false">IF(S16&gt;6,"TEA",IF(S16&gt;3,"TEP","TED"))</f>
        <v>TEA</v>
      </c>
      <c r="U16" s="1" t="s">
        <v>11</v>
      </c>
      <c r="V16" s="1" t="s">
        <v>11</v>
      </c>
      <c r="W16" s="1" t="s">
        <v>11</v>
      </c>
      <c r="X16" s="1" t="s">
        <v>11</v>
      </c>
      <c r="Z16" s="1" t="s">
        <v>12</v>
      </c>
      <c r="AA16" s="1" t="s">
        <v>11</v>
      </c>
      <c r="AB16" s="1" t="s">
        <v>11</v>
      </c>
      <c r="AC16" s="1" t="s">
        <v>11</v>
      </c>
      <c r="AD16" s="1" t="s">
        <v>11</v>
      </c>
      <c r="AE16" s="1" t="s">
        <v>11</v>
      </c>
    </row>
    <row r="17" s="1" customFormat="true" ht="15" hidden="false" customHeight="false" outlineLevel="0" collapsed="false">
      <c r="A17" s="1" t="n">
        <v>15</v>
      </c>
      <c r="B17" s="2" t="s">
        <v>30</v>
      </c>
      <c r="C17" s="1" t="s">
        <v>11</v>
      </c>
      <c r="D17" s="1" t="s">
        <v>11</v>
      </c>
      <c r="F17" s="2" t="s">
        <v>11</v>
      </c>
      <c r="G17" s="2"/>
      <c r="H17" s="1" t="s">
        <v>11</v>
      </c>
      <c r="I17" s="1" t="s">
        <v>11</v>
      </c>
      <c r="J17" s="1" t="s">
        <v>11</v>
      </c>
      <c r="K17" s="1" t="s">
        <v>11</v>
      </c>
      <c r="L17" s="1" t="s">
        <v>12</v>
      </c>
      <c r="M17" s="1" t="s">
        <v>11</v>
      </c>
      <c r="O17" s="1" t="n">
        <f aca="false">COUNTIF(C17:M17,"P")</f>
        <v>8</v>
      </c>
      <c r="P17" s="1" t="n">
        <f aca="false">COUNTIF(C17:M17,"T")</f>
        <v>0</v>
      </c>
      <c r="Q17" s="1" t="n">
        <f aca="false">COUNTIF(C17:M17,"A")</f>
        <v>1</v>
      </c>
      <c r="R17" s="1" t="n">
        <f aca="false">SUM(O17:Q17)</f>
        <v>9</v>
      </c>
      <c r="S17" s="5" t="n">
        <f aca="false">ROUND((O17+P17/4)*10/R17,0)</f>
        <v>9</v>
      </c>
      <c r="T17" s="5" t="str">
        <f aca="false">IF(S17&gt;6,"TEA",IF(S17&gt;3,"TEP","TED"))</f>
        <v>TEA</v>
      </c>
      <c r="U17" s="1" t="s">
        <v>11</v>
      </c>
      <c r="V17" s="1" t="s">
        <v>11</v>
      </c>
      <c r="W17" s="1" t="s">
        <v>12</v>
      </c>
      <c r="X17" s="1" t="s">
        <v>11</v>
      </c>
      <c r="Z17" s="1" t="s">
        <v>12</v>
      </c>
      <c r="AA17" s="1" t="s">
        <v>11</v>
      </c>
      <c r="AB17" s="1" t="s">
        <v>11</v>
      </c>
      <c r="AC17" s="1" t="s">
        <v>11</v>
      </c>
      <c r="AD17" s="1" t="s">
        <v>11</v>
      </c>
      <c r="AE17" s="1" t="s">
        <v>12</v>
      </c>
    </row>
    <row r="18" s="7" customFormat="true" ht="15" hidden="false" customHeight="false" outlineLevel="0" collapsed="false">
      <c r="A18" s="6" t="n">
        <v>16</v>
      </c>
      <c r="B18" s="7" t="s">
        <v>31</v>
      </c>
      <c r="C18" s="7" t="s">
        <v>11</v>
      </c>
      <c r="D18" s="7" t="s">
        <v>12</v>
      </c>
      <c r="E18" s="7" t="s">
        <v>24</v>
      </c>
      <c r="F18" s="7" t="s">
        <v>12</v>
      </c>
      <c r="H18" s="7" t="s">
        <v>12</v>
      </c>
      <c r="I18" s="7" t="s">
        <v>12</v>
      </c>
      <c r="J18" s="7" t="s">
        <v>12</v>
      </c>
      <c r="K18" s="7" t="s">
        <v>12</v>
      </c>
      <c r="L18" s="7" t="s">
        <v>12</v>
      </c>
      <c r="M18" s="7" t="s">
        <v>12</v>
      </c>
      <c r="O18" s="6" t="n">
        <f aca="false">COUNTIF(C18:M18,"P")</f>
        <v>1</v>
      </c>
      <c r="P18" s="1" t="n">
        <f aca="false">COUNTIF(C18:M18,"T")</f>
        <v>0</v>
      </c>
      <c r="Q18" s="6" t="n">
        <f aca="false">COUNTIF(C18:M18,"A")</f>
        <v>8</v>
      </c>
      <c r="R18" s="6" t="n">
        <f aca="false">SUM(O18:Q18)</f>
        <v>9</v>
      </c>
      <c r="S18" s="5" t="n">
        <f aca="false">ROUND((O18+P18/4)*10/R18,0)</f>
        <v>1</v>
      </c>
      <c r="T18" s="5" t="str">
        <f aca="false">IF(S18&gt;6,"TEA",IF(S18&gt;3,"TEP","TED"))</f>
        <v>TED</v>
      </c>
      <c r="U18" s="7" t="s">
        <v>12</v>
      </c>
      <c r="V18" s="7" t="s">
        <v>12</v>
      </c>
      <c r="W18" s="7" t="s">
        <v>12</v>
      </c>
      <c r="X18" s="7" t="s">
        <v>12</v>
      </c>
      <c r="Z18" s="1" t="s">
        <v>12</v>
      </c>
      <c r="AA18" s="7" t="s">
        <v>12</v>
      </c>
      <c r="AB18" s="7" t="s">
        <v>12</v>
      </c>
      <c r="AC18" s="7" t="s">
        <v>12</v>
      </c>
      <c r="AD18" s="7" t="s">
        <v>12</v>
      </c>
      <c r="AE18" s="7" t="s">
        <v>12</v>
      </c>
      <c r="AKR18" s="6"/>
      <c r="AKS18" s="6"/>
      <c r="AKT18" s="6"/>
      <c r="AKU18" s="6"/>
      <c r="AKV18" s="6"/>
      <c r="AKW18" s="6"/>
      <c r="AKX18" s="6"/>
      <c r="AKY18" s="6"/>
      <c r="AKZ18" s="6"/>
      <c r="ALA18" s="6"/>
      <c r="ALB18" s="6"/>
      <c r="ALC18" s="6"/>
      <c r="ALD18" s="6"/>
      <c r="ALE18" s="6"/>
      <c r="ALF18" s="6"/>
      <c r="ALG18" s="6"/>
      <c r="ALH18" s="6"/>
      <c r="ALI18" s="6"/>
      <c r="ALJ18" s="6"/>
      <c r="ALK18" s="6"/>
      <c r="ALL18" s="6"/>
      <c r="ALM18" s="6"/>
      <c r="ALN18" s="6"/>
      <c r="ALO18" s="6"/>
      <c r="ALP18" s="6"/>
      <c r="ALQ18" s="6"/>
      <c r="ALR18" s="6"/>
      <c r="ALS18" s="6"/>
      <c r="ALT18" s="6"/>
      <c r="ALU18" s="6"/>
      <c r="ALV18" s="6"/>
      <c r="ALW18" s="6"/>
      <c r="ALX18" s="6"/>
      <c r="ALY18" s="6"/>
      <c r="ALZ18" s="6"/>
      <c r="AMA18" s="6"/>
      <c r="AMB18" s="6"/>
      <c r="AMC18" s="6"/>
      <c r="AMD18" s="6"/>
      <c r="AME18" s="6"/>
      <c r="AMF18" s="6"/>
      <c r="AMG18" s="6"/>
      <c r="AMH18" s="6"/>
      <c r="AMI18" s="6"/>
      <c r="AMJ18" s="6"/>
      <c r="AMK18" s="6"/>
      <c r="AML18" s="6"/>
      <c r="AMM18" s="6"/>
      <c r="AMN18" s="6"/>
      <c r="AMO18" s="6"/>
      <c r="AMP18" s="6"/>
      <c r="AMQ18" s="6"/>
      <c r="AMR18" s="6"/>
      <c r="AMS18" s="6"/>
      <c r="AMT18" s="6"/>
      <c r="XDJ18" s="6"/>
      <c r="XDK18" s="6"/>
      <c r="XDL18" s="6"/>
    </row>
    <row r="19" s="7" customFormat="true" ht="15" hidden="false" customHeight="false" outlineLevel="0" collapsed="false">
      <c r="A19" s="6" t="n">
        <v>17</v>
      </c>
      <c r="B19" s="7" t="s">
        <v>32</v>
      </c>
      <c r="C19" s="7" t="s">
        <v>11</v>
      </c>
      <c r="D19" s="7" t="s">
        <v>12</v>
      </c>
      <c r="E19" s="7" t="s">
        <v>24</v>
      </c>
      <c r="F19" s="7" t="s">
        <v>12</v>
      </c>
      <c r="H19" s="7" t="s">
        <v>12</v>
      </c>
      <c r="I19" s="7" t="s">
        <v>12</v>
      </c>
      <c r="J19" s="7" t="s">
        <v>12</v>
      </c>
      <c r="K19" s="7" t="s">
        <v>12</v>
      </c>
      <c r="L19" s="7" t="s">
        <v>12</v>
      </c>
      <c r="M19" s="7" t="s">
        <v>12</v>
      </c>
      <c r="O19" s="6" t="n">
        <f aca="false">COUNTIF(C19:M19,"P")</f>
        <v>1</v>
      </c>
      <c r="P19" s="1" t="n">
        <f aca="false">COUNTIF(C19:M19,"T")</f>
        <v>0</v>
      </c>
      <c r="Q19" s="6" t="n">
        <f aca="false">COUNTIF(C19:M19,"A")</f>
        <v>8</v>
      </c>
      <c r="R19" s="6" t="n">
        <f aca="false">SUM(O19:Q19)</f>
        <v>9</v>
      </c>
      <c r="S19" s="5" t="n">
        <f aca="false">ROUND((O19+P19/4)*10/R19,0)</f>
        <v>1</v>
      </c>
      <c r="T19" s="5" t="str">
        <f aca="false">IF(S19&gt;6,"TEA",IF(S19&gt;3,"TEP","TED"))</f>
        <v>TED</v>
      </c>
      <c r="U19" s="7" t="s">
        <v>12</v>
      </c>
      <c r="V19" s="7" t="s">
        <v>12</v>
      </c>
      <c r="W19" s="7" t="s">
        <v>12</v>
      </c>
      <c r="X19" s="7" t="s">
        <v>12</v>
      </c>
      <c r="Z19" s="1" t="s">
        <v>12</v>
      </c>
      <c r="AA19" s="7" t="s">
        <v>12</v>
      </c>
      <c r="AB19" s="7" t="s">
        <v>12</v>
      </c>
      <c r="AC19" s="7" t="s">
        <v>12</v>
      </c>
      <c r="AD19" s="7" t="s">
        <v>12</v>
      </c>
      <c r="AE19" s="7" t="s">
        <v>12</v>
      </c>
      <c r="AKR19" s="6"/>
      <c r="AKS19" s="6"/>
      <c r="AKT19" s="6"/>
      <c r="AKU19" s="6"/>
      <c r="AKV19" s="6"/>
      <c r="AKW19" s="6"/>
      <c r="AKX19" s="6"/>
      <c r="AKY19" s="6"/>
      <c r="AKZ19" s="6"/>
      <c r="ALA19" s="6"/>
      <c r="ALB19" s="6"/>
      <c r="ALC19" s="6"/>
      <c r="ALD19" s="6"/>
      <c r="ALE19" s="6"/>
      <c r="ALF19" s="6"/>
      <c r="ALG19" s="6"/>
      <c r="ALH19" s="6"/>
      <c r="ALI19" s="6"/>
      <c r="ALJ19" s="6"/>
      <c r="ALK19" s="6"/>
      <c r="ALL19" s="6"/>
      <c r="ALM19" s="6"/>
      <c r="ALN19" s="6"/>
      <c r="ALO19" s="6"/>
      <c r="ALP19" s="6"/>
      <c r="ALQ19" s="6"/>
      <c r="ALR19" s="6"/>
      <c r="ALS19" s="6"/>
      <c r="ALT19" s="6"/>
      <c r="ALU19" s="6"/>
      <c r="ALV19" s="6"/>
      <c r="ALW19" s="6"/>
      <c r="ALX19" s="6"/>
      <c r="ALY19" s="6"/>
      <c r="ALZ19" s="6"/>
      <c r="AMA19" s="6"/>
      <c r="AMB19" s="6"/>
      <c r="AMC19" s="6"/>
      <c r="AMD19" s="6"/>
      <c r="AME19" s="6"/>
      <c r="AMF19" s="6"/>
      <c r="AMG19" s="6"/>
      <c r="AMH19" s="6"/>
      <c r="AMI19" s="6"/>
      <c r="AMJ19" s="6"/>
      <c r="AMK19" s="6"/>
      <c r="AML19" s="6"/>
      <c r="AMM19" s="6"/>
      <c r="AMN19" s="6"/>
      <c r="AMO19" s="6"/>
      <c r="AMP19" s="6"/>
      <c r="AMQ19" s="6"/>
      <c r="AMR19" s="6"/>
      <c r="AMS19" s="6"/>
      <c r="AMT19" s="6"/>
      <c r="XDJ19" s="6"/>
      <c r="XDK19" s="6"/>
      <c r="XDL19" s="6"/>
    </row>
    <row r="20" s="1" customFormat="true" ht="15" hidden="false" customHeight="false" outlineLevel="0" collapsed="false">
      <c r="A20" s="1" t="n">
        <v>18</v>
      </c>
      <c r="B20" s="2" t="s">
        <v>33</v>
      </c>
      <c r="C20" s="1" t="s">
        <v>12</v>
      </c>
      <c r="D20" s="1" t="s">
        <v>11</v>
      </c>
      <c r="F20" s="2" t="s">
        <v>11</v>
      </c>
      <c r="G20" s="2"/>
      <c r="H20" s="1" t="s">
        <v>11</v>
      </c>
      <c r="I20" s="1" t="s">
        <v>11</v>
      </c>
      <c r="J20" s="1" t="s">
        <v>11</v>
      </c>
      <c r="K20" s="1" t="s">
        <v>12</v>
      </c>
      <c r="L20" s="1" t="s">
        <v>11</v>
      </c>
      <c r="M20" s="1" t="s">
        <v>12</v>
      </c>
      <c r="O20" s="1" t="n">
        <f aca="false">COUNTIF(C20:M20,"P")</f>
        <v>6</v>
      </c>
      <c r="P20" s="1" t="n">
        <f aca="false">COUNTIF(C20:M20,"T")</f>
        <v>0</v>
      </c>
      <c r="Q20" s="1" t="n">
        <f aca="false">COUNTIF(C20:M20,"A")</f>
        <v>3</v>
      </c>
      <c r="R20" s="1" t="n">
        <f aca="false">SUM(O20:Q20)</f>
        <v>9</v>
      </c>
      <c r="S20" s="5" t="n">
        <f aca="false">ROUND((O20+P20/4)*10/R20,0)</f>
        <v>7</v>
      </c>
      <c r="T20" s="5" t="str">
        <f aca="false">IF(S20&gt;6,"TEA",IF(S20&gt;3,"TEP","TED"))</f>
        <v>TEA</v>
      </c>
      <c r="U20" s="1" t="s">
        <v>11</v>
      </c>
      <c r="V20" s="1" t="s">
        <v>12</v>
      </c>
      <c r="W20" s="1" t="s">
        <v>11</v>
      </c>
      <c r="X20" s="1" t="s">
        <v>11</v>
      </c>
      <c r="Z20" s="1" t="s">
        <v>11</v>
      </c>
      <c r="AA20" s="1" t="s">
        <v>11</v>
      </c>
      <c r="AB20" s="1" t="s">
        <v>11</v>
      </c>
      <c r="AC20" s="1" t="s">
        <v>11</v>
      </c>
      <c r="AD20" s="1" t="s">
        <v>11</v>
      </c>
      <c r="AE20" s="1" t="s">
        <v>11</v>
      </c>
    </row>
    <row r="21" s="1" customFormat="true" ht="15" hidden="false" customHeight="false" outlineLevel="0" collapsed="false">
      <c r="A21" s="1" t="n">
        <v>19</v>
      </c>
      <c r="B21" s="2" t="s">
        <v>34</v>
      </c>
      <c r="C21" s="1" t="s">
        <v>11</v>
      </c>
      <c r="D21" s="1" t="s">
        <v>11</v>
      </c>
      <c r="F21" s="2" t="s">
        <v>11</v>
      </c>
      <c r="G21" s="2"/>
      <c r="H21" s="1" t="s">
        <v>12</v>
      </c>
      <c r="I21" s="1" t="s">
        <v>11</v>
      </c>
      <c r="J21" s="1" t="s">
        <v>11</v>
      </c>
      <c r="K21" s="1" t="s">
        <v>11</v>
      </c>
      <c r="L21" s="1" t="s">
        <v>11</v>
      </c>
      <c r="M21" s="1" t="s">
        <v>13</v>
      </c>
      <c r="N21" s="4" t="n">
        <v>0.770833333333333</v>
      </c>
      <c r="O21" s="1" t="n">
        <f aca="false">COUNTIF(C21:M21,"P")</f>
        <v>7</v>
      </c>
      <c r="P21" s="1" t="n">
        <f aca="false">COUNTIF(C21:M21,"T")</f>
        <v>1</v>
      </c>
      <c r="Q21" s="1" t="n">
        <f aca="false">COUNTIF(C21:M21,"A")</f>
        <v>1</v>
      </c>
      <c r="R21" s="1" t="n">
        <f aca="false">SUM(O21:Q21)</f>
        <v>9</v>
      </c>
      <c r="S21" s="5" t="n">
        <f aca="false">ROUND((O21+P21/4)*10/R21,0)</f>
        <v>8</v>
      </c>
      <c r="T21" s="5" t="str">
        <f aca="false">IF(S21&gt;6,"TEA",IF(S21&gt;3,"TEP","TED"))</f>
        <v>TEA</v>
      </c>
      <c r="U21" s="1" t="s">
        <v>12</v>
      </c>
      <c r="V21" s="1" t="s">
        <v>11</v>
      </c>
      <c r="W21" s="1" t="s">
        <v>11</v>
      </c>
      <c r="X21" s="1" t="s">
        <v>13</v>
      </c>
      <c r="Y21" s="4" t="n">
        <v>0.791666666666667</v>
      </c>
      <c r="Z21" s="1" t="s">
        <v>12</v>
      </c>
      <c r="AA21" s="1" t="s">
        <v>11</v>
      </c>
      <c r="AB21" s="1" t="s">
        <v>11</v>
      </c>
      <c r="AC21" s="1" t="s">
        <v>11</v>
      </c>
      <c r="AD21" s="1" t="s">
        <v>12</v>
      </c>
      <c r="AE21" s="1" t="s">
        <v>11</v>
      </c>
    </row>
    <row r="22" s="2" customFormat="true" ht="15" hidden="false" customHeight="false" outlineLevel="0" collapsed="false">
      <c r="A22" s="1" t="n">
        <v>20</v>
      </c>
      <c r="B22" s="2" t="s">
        <v>35</v>
      </c>
      <c r="C22" s="1" t="s">
        <v>11</v>
      </c>
      <c r="D22" s="1" t="s">
        <v>11</v>
      </c>
      <c r="E22" s="1"/>
      <c r="F22" s="2" t="s">
        <v>11</v>
      </c>
      <c r="H22" s="1" t="s">
        <v>11</v>
      </c>
      <c r="I22" s="1" t="s">
        <v>11</v>
      </c>
      <c r="J22" s="1" t="s">
        <v>11</v>
      </c>
      <c r="K22" s="1" t="s">
        <v>11</v>
      </c>
      <c r="L22" s="1" t="s">
        <v>12</v>
      </c>
      <c r="M22" s="1" t="s">
        <v>11</v>
      </c>
      <c r="N22" s="1"/>
      <c r="O22" s="1" t="n">
        <f aca="false">COUNTIF(C22:M22,"P")</f>
        <v>8</v>
      </c>
      <c r="P22" s="1" t="n">
        <f aca="false">COUNTIF(C22:M22,"T")</f>
        <v>0</v>
      </c>
      <c r="Q22" s="1" t="n">
        <f aca="false">COUNTIF(C22:M22,"A")</f>
        <v>1</v>
      </c>
      <c r="R22" s="1" t="n">
        <f aca="false">SUM(O22:Q22)</f>
        <v>9</v>
      </c>
      <c r="S22" s="5" t="n">
        <f aca="false">ROUND((O22+P22/4)*10/R22,0)</f>
        <v>9</v>
      </c>
      <c r="T22" s="5" t="str">
        <f aca="false">IF(S22&gt;6,"TEA",IF(S22&gt;3,"TEP","TED"))</f>
        <v>TEA</v>
      </c>
      <c r="U22" s="1" t="s">
        <v>12</v>
      </c>
      <c r="V22" s="1" t="s">
        <v>11</v>
      </c>
      <c r="W22" s="1" t="s">
        <v>11</v>
      </c>
      <c r="X22" s="1" t="s">
        <v>11</v>
      </c>
      <c r="Y22" s="1"/>
      <c r="Z22" s="1" t="s">
        <v>11</v>
      </c>
      <c r="AA22" s="1" t="s">
        <v>11</v>
      </c>
      <c r="AB22" s="1" t="s">
        <v>11</v>
      </c>
      <c r="AC22" s="1" t="s">
        <v>11</v>
      </c>
      <c r="AD22" s="1" t="s">
        <v>11</v>
      </c>
      <c r="AE22" s="1" t="s">
        <v>11</v>
      </c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XDJ22" s="1"/>
      <c r="XDK22" s="1"/>
      <c r="XDL22" s="1"/>
    </row>
    <row r="23" s="6" customFormat="true" ht="15" hidden="false" customHeight="false" outlineLevel="0" collapsed="false">
      <c r="A23" s="6" t="n">
        <v>21</v>
      </c>
      <c r="B23" s="7" t="s">
        <v>36</v>
      </c>
      <c r="C23" s="7" t="s">
        <v>11</v>
      </c>
      <c r="D23" s="7" t="s">
        <v>12</v>
      </c>
      <c r="E23" s="7" t="s">
        <v>24</v>
      </c>
      <c r="F23" s="7" t="s">
        <v>12</v>
      </c>
      <c r="G23" s="7"/>
      <c r="H23" s="7" t="s">
        <v>12</v>
      </c>
      <c r="I23" s="7" t="s">
        <v>11</v>
      </c>
      <c r="J23" s="7" t="s">
        <v>12</v>
      </c>
      <c r="K23" s="7" t="s">
        <v>12</v>
      </c>
      <c r="L23" s="7" t="s">
        <v>12</v>
      </c>
      <c r="M23" s="7" t="s">
        <v>12</v>
      </c>
      <c r="N23" s="7"/>
      <c r="O23" s="1" t="n">
        <f aca="false">COUNTIF(C23:M23,"P")</f>
        <v>2</v>
      </c>
      <c r="P23" s="1" t="n">
        <f aca="false">COUNTIF(C23:M23,"T")</f>
        <v>0</v>
      </c>
      <c r="Q23" s="1" t="n">
        <f aca="false">COUNTIF(C23:M23,"A")</f>
        <v>7</v>
      </c>
      <c r="R23" s="1" t="n">
        <f aca="false">SUM(O23:Q23)</f>
        <v>9</v>
      </c>
      <c r="S23" s="5" t="n">
        <f aca="false">ROUND((O23+P23/4)*10/R23,0)</f>
        <v>2</v>
      </c>
      <c r="T23" s="5" t="str">
        <f aca="false">IF(S23&gt;6,"TEA",IF(S23&gt;3,"TEP","TED"))</f>
        <v>TED</v>
      </c>
      <c r="U23" s="7" t="s">
        <v>12</v>
      </c>
      <c r="V23" s="7" t="s">
        <v>12</v>
      </c>
      <c r="W23" s="7" t="s">
        <v>12</v>
      </c>
      <c r="X23" s="7" t="s">
        <v>12</v>
      </c>
      <c r="Y23" s="7"/>
      <c r="Z23" s="1" t="s">
        <v>12</v>
      </c>
      <c r="AA23" s="7" t="s">
        <v>12</v>
      </c>
      <c r="AB23" s="7" t="s">
        <v>12</v>
      </c>
      <c r="AC23" s="7" t="s">
        <v>12</v>
      </c>
      <c r="AD23" s="7" t="s">
        <v>12</v>
      </c>
      <c r="AE23" s="7" t="s">
        <v>12</v>
      </c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  <c r="IV23" s="7"/>
      <c r="IW23" s="7"/>
      <c r="IX23" s="7"/>
      <c r="IY23" s="7"/>
      <c r="IZ23" s="7"/>
      <c r="JA23" s="7"/>
      <c r="JB23" s="7"/>
      <c r="JC23" s="7"/>
      <c r="JD23" s="7"/>
      <c r="JE23" s="7"/>
      <c r="JF23" s="7"/>
      <c r="JG23" s="7"/>
      <c r="JH23" s="7"/>
      <c r="JI23" s="7"/>
      <c r="JJ23" s="7"/>
      <c r="JK23" s="7"/>
      <c r="JL23" s="7"/>
      <c r="JM23" s="7"/>
      <c r="JN23" s="7"/>
      <c r="JO23" s="7"/>
      <c r="JP23" s="7"/>
      <c r="JQ23" s="7"/>
      <c r="JR23" s="7"/>
      <c r="JS23" s="7"/>
      <c r="JT23" s="7"/>
      <c r="JU23" s="7"/>
      <c r="JV23" s="7"/>
      <c r="JW23" s="7"/>
      <c r="JX23" s="7"/>
      <c r="JY23" s="7"/>
      <c r="JZ23" s="7"/>
      <c r="KA23" s="7"/>
      <c r="KB23" s="7"/>
      <c r="KC23" s="7"/>
      <c r="KD23" s="7"/>
      <c r="KE23" s="7"/>
      <c r="KF23" s="7"/>
      <c r="KG23" s="7"/>
      <c r="KH23" s="7"/>
      <c r="KI23" s="7"/>
      <c r="KJ23" s="7"/>
      <c r="KK23" s="7"/>
      <c r="KL23" s="7"/>
      <c r="KM23" s="7"/>
      <c r="KN23" s="7"/>
      <c r="KO23" s="7"/>
      <c r="KP23" s="7"/>
      <c r="KQ23" s="7"/>
      <c r="KR23" s="7"/>
      <c r="KS23" s="7"/>
      <c r="KT23" s="7"/>
      <c r="KU23" s="7"/>
      <c r="KV23" s="7"/>
      <c r="KW23" s="7"/>
      <c r="KX23" s="7"/>
      <c r="KY23" s="7"/>
      <c r="KZ23" s="7"/>
      <c r="LA23" s="7"/>
      <c r="LB23" s="7"/>
      <c r="LC23" s="7"/>
      <c r="LD23" s="7"/>
      <c r="LE23" s="7"/>
      <c r="LF23" s="7"/>
      <c r="LG23" s="7"/>
      <c r="LH23" s="7"/>
      <c r="LI23" s="7"/>
      <c r="LJ23" s="7"/>
      <c r="LK23" s="7"/>
      <c r="LL23" s="7"/>
      <c r="LM23" s="7"/>
      <c r="LN23" s="7"/>
      <c r="LO23" s="7"/>
      <c r="LP23" s="7"/>
      <c r="LQ23" s="7"/>
      <c r="LR23" s="7"/>
      <c r="LS23" s="7"/>
      <c r="LT23" s="7"/>
      <c r="LU23" s="7"/>
      <c r="LV23" s="7"/>
      <c r="LW23" s="7"/>
      <c r="LX23" s="7"/>
      <c r="LY23" s="7"/>
      <c r="LZ23" s="7"/>
      <c r="MA23" s="7"/>
      <c r="MB23" s="7"/>
      <c r="MC23" s="7"/>
      <c r="MD23" s="7"/>
      <c r="ME23" s="7"/>
      <c r="MF23" s="7"/>
      <c r="MG23" s="7"/>
      <c r="MH23" s="7"/>
      <c r="MI23" s="7"/>
      <c r="MJ23" s="7"/>
      <c r="MK23" s="7"/>
      <c r="ML23" s="7"/>
      <c r="MM23" s="7"/>
      <c r="MN23" s="7"/>
      <c r="MO23" s="7"/>
      <c r="MP23" s="7"/>
      <c r="MQ23" s="7"/>
      <c r="MR23" s="7"/>
      <c r="MS23" s="7"/>
      <c r="MT23" s="7"/>
      <c r="MU23" s="7"/>
      <c r="MV23" s="7"/>
      <c r="MW23" s="7"/>
      <c r="MX23" s="7"/>
      <c r="MY23" s="7"/>
      <c r="MZ23" s="7"/>
      <c r="NA23" s="7"/>
      <c r="NB23" s="7"/>
      <c r="NC23" s="7"/>
      <c r="ND23" s="7"/>
      <c r="NE23" s="7"/>
      <c r="NF23" s="7"/>
      <c r="NG23" s="7"/>
      <c r="NH23" s="7"/>
      <c r="NI23" s="7"/>
      <c r="NJ23" s="7"/>
      <c r="NK23" s="7"/>
      <c r="NL23" s="7"/>
      <c r="NM23" s="7"/>
      <c r="NN23" s="7"/>
      <c r="NO23" s="7"/>
      <c r="NP23" s="7"/>
      <c r="NQ23" s="7"/>
      <c r="NR23" s="7"/>
      <c r="NS23" s="7"/>
      <c r="NT23" s="7"/>
      <c r="NU23" s="7"/>
      <c r="NV23" s="7"/>
      <c r="NW23" s="7"/>
      <c r="NX23" s="7"/>
      <c r="NY23" s="7"/>
      <c r="NZ23" s="7"/>
      <c r="OA23" s="7"/>
      <c r="OB23" s="7"/>
      <c r="OC23" s="7"/>
      <c r="OD23" s="7"/>
      <c r="OE23" s="7"/>
      <c r="OF23" s="7"/>
      <c r="OG23" s="7"/>
      <c r="OH23" s="7"/>
      <c r="OI23" s="7"/>
      <c r="OJ23" s="7"/>
      <c r="OK23" s="7"/>
      <c r="OL23" s="7"/>
      <c r="OM23" s="7"/>
      <c r="ON23" s="7"/>
      <c r="OO23" s="7"/>
      <c r="OP23" s="7"/>
      <c r="OQ23" s="7"/>
      <c r="OR23" s="7"/>
      <c r="OS23" s="7"/>
      <c r="OT23" s="7"/>
      <c r="OU23" s="7"/>
      <c r="OV23" s="7"/>
      <c r="OW23" s="7"/>
      <c r="OX23" s="7"/>
      <c r="OY23" s="7"/>
      <c r="OZ23" s="7"/>
      <c r="PA23" s="7"/>
      <c r="PB23" s="7"/>
      <c r="PC23" s="7"/>
      <c r="PD23" s="7"/>
      <c r="PE23" s="7"/>
      <c r="PF23" s="7"/>
      <c r="PG23" s="7"/>
      <c r="PH23" s="7"/>
      <c r="PI23" s="7"/>
      <c r="PJ23" s="7"/>
      <c r="PK23" s="7"/>
      <c r="PL23" s="7"/>
      <c r="PM23" s="7"/>
      <c r="PN23" s="7"/>
      <c r="PO23" s="7"/>
      <c r="PP23" s="7"/>
      <c r="PQ23" s="7"/>
      <c r="PR23" s="7"/>
      <c r="PS23" s="7"/>
      <c r="PT23" s="7"/>
      <c r="PU23" s="7"/>
      <c r="PV23" s="7"/>
      <c r="PW23" s="7"/>
      <c r="PX23" s="7"/>
      <c r="PY23" s="7"/>
      <c r="PZ23" s="7"/>
      <c r="QA23" s="7"/>
      <c r="QB23" s="7"/>
      <c r="QC23" s="7"/>
      <c r="QD23" s="7"/>
      <c r="QE23" s="7"/>
      <c r="QF23" s="7"/>
      <c r="QG23" s="7"/>
      <c r="QH23" s="7"/>
      <c r="QI23" s="7"/>
      <c r="QJ23" s="7"/>
      <c r="QK23" s="7"/>
      <c r="QL23" s="7"/>
      <c r="QM23" s="7"/>
      <c r="QN23" s="7"/>
      <c r="QO23" s="7"/>
      <c r="QP23" s="7"/>
      <c r="QQ23" s="7"/>
      <c r="QR23" s="7"/>
      <c r="QS23" s="7"/>
      <c r="QT23" s="7"/>
      <c r="QU23" s="7"/>
      <c r="QV23" s="7"/>
      <c r="QW23" s="7"/>
      <c r="QX23" s="7"/>
      <c r="QY23" s="7"/>
      <c r="QZ23" s="7"/>
      <c r="RA23" s="7"/>
      <c r="RB23" s="7"/>
      <c r="RC23" s="7"/>
      <c r="RD23" s="7"/>
      <c r="RE23" s="7"/>
      <c r="RF23" s="7"/>
      <c r="RG23" s="7"/>
      <c r="RH23" s="7"/>
      <c r="RI23" s="7"/>
      <c r="RJ23" s="7"/>
      <c r="RK23" s="7"/>
      <c r="RL23" s="7"/>
      <c r="RM23" s="7"/>
      <c r="RN23" s="7"/>
      <c r="RO23" s="7"/>
      <c r="RP23" s="7"/>
      <c r="RQ23" s="7"/>
      <c r="RR23" s="7"/>
      <c r="RS23" s="7"/>
      <c r="RT23" s="7"/>
      <c r="RU23" s="7"/>
      <c r="RV23" s="7"/>
      <c r="RW23" s="7"/>
      <c r="RX23" s="7"/>
      <c r="RY23" s="7"/>
      <c r="RZ23" s="7"/>
      <c r="SA23" s="7"/>
      <c r="SB23" s="7"/>
      <c r="SC23" s="7"/>
      <c r="SD23" s="7"/>
      <c r="SE23" s="7"/>
      <c r="SF23" s="7"/>
      <c r="SG23" s="7"/>
      <c r="SH23" s="7"/>
      <c r="SI23" s="7"/>
      <c r="SJ23" s="7"/>
      <c r="SK23" s="7"/>
      <c r="SL23" s="7"/>
      <c r="SM23" s="7"/>
      <c r="SN23" s="7"/>
      <c r="SO23" s="7"/>
      <c r="SP23" s="7"/>
      <c r="SQ23" s="7"/>
      <c r="SR23" s="7"/>
      <c r="SS23" s="7"/>
      <c r="ST23" s="7"/>
      <c r="SU23" s="7"/>
      <c r="SV23" s="7"/>
      <c r="SW23" s="7"/>
      <c r="SX23" s="7"/>
      <c r="SY23" s="7"/>
      <c r="SZ23" s="7"/>
      <c r="TA23" s="7"/>
      <c r="TB23" s="7"/>
      <c r="TC23" s="7"/>
      <c r="TD23" s="7"/>
      <c r="TE23" s="7"/>
      <c r="TF23" s="7"/>
      <c r="TG23" s="7"/>
      <c r="TH23" s="7"/>
      <c r="TI23" s="7"/>
      <c r="TJ23" s="7"/>
      <c r="TK23" s="7"/>
      <c r="TL23" s="7"/>
      <c r="TM23" s="7"/>
      <c r="TN23" s="7"/>
      <c r="TO23" s="7"/>
      <c r="TP23" s="7"/>
      <c r="TQ23" s="7"/>
      <c r="TR23" s="7"/>
      <c r="TS23" s="7"/>
      <c r="TT23" s="7"/>
      <c r="TU23" s="7"/>
      <c r="TV23" s="7"/>
      <c r="TW23" s="7"/>
      <c r="TX23" s="7"/>
      <c r="TY23" s="7"/>
      <c r="TZ23" s="7"/>
      <c r="UA23" s="7"/>
      <c r="UB23" s="7"/>
      <c r="UC23" s="7"/>
      <c r="UD23" s="7"/>
      <c r="UE23" s="7"/>
      <c r="UF23" s="7"/>
      <c r="UG23" s="7"/>
      <c r="UH23" s="7"/>
      <c r="UI23" s="7"/>
      <c r="UJ23" s="7"/>
      <c r="UK23" s="7"/>
      <c r="UL23" s="7"/>
      <c r="UM23" s="7"/>
      <c r="UN23" s="7"/>
      <c r="UO23" s="7"/>
      <c r="UP23" s="7"/>
      <c r="UQ23" s="7"/>
      <c r="UR23" s="7"/>
      <c r="US23" s="7"/>
      <c r="UT23" s="7"/>
      <c r="UU23" s="7"/>
      <c r="UV23" s="7"/>
      <c r="UW23" s="7"/>
      <c r="UX23" s="7"/>
      <c r="UY23" s="7"/>
      <c r="UZ23" s="7"/>
      <c r="VA23" s="7"/>
      <c r="VB23" s="7"/>
      <c r="VC23" s="7"/>
      <c r="VD23" s="7"/>
      <c r="VE23" s="7"/>
      <c r="VF23" s="7"/>
      <c r="VG23" s="7"/>
      <c r="VH23" s="7"/>
      <c r="VI23" s="7"/>
      <c r="VJ23" s="7"/>
      <c r="VK23" s="7"/>
      <c r="VL23" s="7"/>
      <c r="VM23" s="7"/>
      <c r="VN23" s="7"/>
      <c r="VO23" s="7"/>
      <c r="VP23" s="7"/>
      <c r="VQ23" s="7"/>
      <c r="VR23" s="7"/>
      <c r="VS23" s="7"/>
      <c r="VT23" s="7"/>
      <c r="VU23" s="7"/>
      <c r="VV23" s="7"/>
      <c r="VW23" s="7"/>
      <c r="VX23" s="7"/>
      <c r="VY23" s="7"/>
      <c r="VZ23" s="7"/>
      <c r="WA23" s="7"/>
      <c r="WB23" s="7"/>
      <c r="WC23" s="7"/>
      <c r="WD23" s="7"/>
      <c r="WE23" s="7"/>
      <c r="WF23" s="7"/>
      <c r="WG23" s="7"/>
      <c r="WH23" s="7"/>
      <c r="WI23" s="7"/>
      <c r="WJ23" s="7"/>
      <c r="WK23" s="7"/>
      <c r="WL23" s="7"/>
      <c r="WM23" s="7"/>
      <c r="WN23" s="7"/>
      <c r="WO23" s="7"/>
      <c r="WP23" s="7"/>
      <c r="WQ23" s="7"/>
      <c r="WR23" s="7"/>
      <c r="WS23" s="7"/>
      <c r="WT23" s="7"/>
      <c r="WU23" s="7"/>
      <c r="WV23" s="7"/>
      <c r="WW23" s="7"/>
      <c r="WX23" s="7"/>
      <c r="WY23" s="7"/>
      <c r="WZ23" s="7"/>
      <c r="XA23" s="7"/>
      <c r="XB23" s="7"/>
      <c r="XC23" s="7"/>
      <c r="XD23" s="7"/>
      <c r="XE23" s="7"/>
      <c r="XF23" s="7"/>
      <c r="XG23" s="7"/>
      <c r="XH23" s="7"/>
      <c r="XI23" s="7"/>
      <c r="XJ23" s="7"/>
      <c r="XK23" s="7"/>
      <c r="XL23" s="7"/>
      <c r="XM23" s="7"/>
      <c r="XN23" s="7"/>
      <c r="XO23" s="7"/>
      <c r="XP23" s="7"/>
      <c r="XQ23" s="7"/>
      <c r="XR23" s="7"/>
      <c r="XS23" s="7"/>
      <c r="XT23" s="7"/>
      <c r="XU23" s="7"/>
      <c r="XV23" s="7"/>
      <c r="XW23" s="7"/>
      <c r="XX23" s="7"/>
      <c r="XY23" s="7"/>
      <c r="XZ23" s="7"/>
      <c r="YA23" s="7"/>
      <c r="YB23" s="7"/>
      <c r="YC23" s="7"/>
      <c r="YD23" s="7"/>
      <c r="YE23" s="7"/>
      <c r="YF23" s="7"/>
      <c r="YG23" s="7"/>
      <c r="YH23" s="7"/>
      <c r="YI23" s="7"/>
      <c r="YJ23" s="7"/>
      <c r="YK23" s="7"/>
      <c r="YL23" s="7"/>
      <c r="YM23" s="7"/>
      <c r="YN23" s="7"/>
      <c r="YO23" s="7"/>
      <c r="YP23" s="7"/>
      <c r="YQ23" s="7"/>
      <c r="YR23" s="7"/>
      <c r="YS23" s="7"/>
      <c r="YT23" s="7"/>
      <c r="YU23" s="7"/>
      <c r="YV23" s="7"/>
      <c r="YW23" s="7"/>
      <c r="YX23" s="7"/>
      <c r="YY23" s="7"/>
      <c r="YZ23" s="7"/>
      <c r="ZA23" s="7"/>
      <c r="ZB23" s="7"/>
      <c r="ZC23" s="7"/>
      <c r="ZD23" s="7"/>
      <c r="ZE23" s="7"/>
      <c r="ZF23" s="7"/>
      <c r="ZG23" s="7"/>
      <c r="ZH23" s="7"/>
      <c r="ZI23" s="7"/>
      <c r="ZJ23" s="7"/>
      <c r="ZK23" s="7"/>
      <c r="ZL23" s="7"/>
      <c r="ZM23" s="7"/>
      <c r="ZN23" s="7"/>
      <c r="ZO23" s="7"/>
      <c r="ZP23" s="7"/>
      <c r="ZQ23" s="7"/>
      <c r="ZR23" s="7"/>
      <c r="ZS23" s="7"/>
      <c r="ZT23" s="7"/>
      <c r="ZU23" s="7"/>
      <c r="ZV23" s="7"/>
      <c r="ZW23" s="7"/>
      <c r="ZX23" s="7"/>
      <c r="ZY23" s="7"/>
      <c r="ZZ23" s="7"/>
      <c r="AAA23" s="7"/>
      <c r="AAB23" s="7"/>
      <c r="AAC23" s="7"/>
      <c r="AAD23" s="7"/>
      <c r="AAE23" s="7"/>
      <c r="AAF23" s="7"/>
      <c r="AAG23" s="7"/>
      <c r="AAH23" s="7"/>
      <c r="AAI23" s="7"/>
      <c r="AAJ23" s="7"/>
      <c r="AAK23" s="7"/>
      <c r="AAL23" s="7"/>
      <c r="AAM23" s="7"/>
      <c r="AAN23" s="7"/>
      <c r="AAO23" s="7"/>
      <c r="AAP23" s="7"/>
      <c r="AAQ23" s="7"/>
      <c r="AAR23" s="7"/>
      <c r="AAS23" s="7"/>
      <c r="AAT23" s="7"/>
      <c r="AAU23" s="7"/>
      <c r="AAV23" s="7"/>
      <c r="AAW23" s="7"/>
      <c r="AAX23" s="7"/>
      <c r="AAY23" s="7"/>
      <c r="AAZ23" s="7"/>
      <c r="ABA23" s="7"/>
      <c r="ABB23" s="7"/>
      <c r="ABC23" s="7"/>
      <c r="ABD23" s="7"/>
      <c r="ABE23" s="7"/>
      <c r="ABF23" s="7"/>
      <c r="ABG23" s="7"/>
      <c r="ABH23" s="7"/>
      <c r="ABI23" s="7"/>
      <c r="ABJ23" s="7"/>
      <c r="ABK23" s="7"/>
      <c r="ABL23" s="7"/>
      <c r="ABM23" s="7"/>
      <c r="ABN23" s="7"/>
      <c r="ABO23" s="7"/>
      <c r="ABP23" s="7"/>
      <c r="ABQ23" s="7"/>
      <c r="ABR23" s="7"/>
      <c r="ABS23" s="7"/>
      <c r="ABT23" s="7"/>
      <c r="ABU23" s="7"/>
      <c r="ABV23" s="7"/>
      <c r="ABW23" s="7"/>
      <c r="ABX23" s="7"/>
      <c r="ABY23" s="7"/>
      <c r="ABZ23" s="7"/>
      <c r="ACA23" s="7"/>
      <c r="ACB23" s="7"/>
      <c r="ACC23" s="7"/>
      <c r="ACD23" s="7"/>
      <c r="ACE23" s="7"/>
      <c r="ACF23" s="7"/>
      <c r="ACG23" s="7"/>
      <c r="ACH23" s="7"/>
      <c r="ACI23" s="7"/>
      <c r="ACJ23" s="7"/>
      <c r="ACK23" s="7"/>
      <c r="ACL23" s="7"/>
      <c r="ACM23" s="7"/>
      <c r="ACN23" s="7"/>
      <c r="ACO23" s="7"/>
      <c r="ACP23" s="7"/>
      <c r="ACQ23" s="7"/>
      <c r="ACR23" s="7"/>
      <c r="ACS23" s="7"/>
      <c r="ACT23" s="7"/>
      <c r="ACU23" s="7"/>
      <c r="ACV23" s="7"/>
      <c r="ACW23" s="7"/>
      <c r="ACX23" s="7"/>
      <c r="ACY23" s="7"/>
      <c r="ACZ23" s="7"/>
      <c r="ADA23" s="7"/>
      <c r="ADB23" s="7"/>
      <c r="ADC23" s="7"/>
      <c r="ADD23" s="7"/>
      <c r="ADE23" s="7"/>
      <c r="ADF23" s="7"/>
      <c r="ADG23" s="7"/>
      <c r="ADH23" s="7"/>
      <c r="ADI23" s="7"/>
      <c r="ADJ23" s="7"/>
      <c r="ADK23" s="7"/>
      <c r="ADL23" s="7"/>
      <c r="ADM23" s="7"/>
      <c r="ADN23" s="7"/>
      <c r="ADO23" s="7"/>
      <c r="ADP23" s="7"/>
      <c r="ADQ23" s="7"/>
      <c r="ADR23" s="7"/>
      <c r="ADS23" s="7"/>
      <c r="ADT23" s="7"/>
      <c r="ADU23" s="7"/>
      <c r="ADV23" s="7"/>
      <c r="ADW23" s="7"/>
      <c r="ADX23" s="7"/>
      <c r="ADY23" s="7"/>
      <c r="ADZ23" s="7"/>
      <c r="AEA23" s="7"/>
      <c r="AEB23" s="7"/>
      <c r="AEC23" s="7"/>
      <c r="AED23" s="7"/>
      <c r="AEE23" s="7"/>
      <c r="AEF23" s="7"/>
      <c r="AEG23" s="7"/>
      <c r="AEH23" s="7"/>
      <c r="AEI23" s="7"/>
      <c r="AEJ23" s="7"/>
      <c r="AEK23" s="7"/>
      <c r="AEL23" s="7"/>
      <c r="AEM23" s="7"/>
      <c r="AEN23" s="7"/>
      <c r="AEO23" s="7"/>
      <c r="AEP23" s="7"/>
      <c r="AEQ23" s="7"/>
      <c r="AER23" s="7"/>
      <c r="AES23" s="7"/>
      <c r="AET23" s="7"/>
      <c r="AEU23" s="7"/>
      <c r="AEV23" s="7"/>
      <c r="AEW23" s="7"/>
      <c r="AEX23" s="7"/>
      <c r="AEY23" s="7"/>
      <c r="AEZ23" s="7"/>
      <c r="AFA23" s="7"/>
      <c r="AFB23" s="7"/>
      <c r="AFC23" s="7"/>
      <c r="AFD23" s="7"/>
      <c r="AFE23" s="7"/>
      <c r="AFF23" s="7"/>
      <c r="AFG23" s="7"/>
      <c r="AFH23" s="7"/>
      <c r="AFI23" s="7"/>
      <c r="AFJ23" s="7"/>
      <c r="AFK23" s="7"/>
      <c r="AFL23" s="7"/>
      <c r="AFM23" s="7"/>
      <c r="AFN23" s="7"/>
      <c r="AFO23" s="7"/>
      <c r="AFP23" s="7"/>
      <c r="AFQ23" s="7"/>
      <c r="AFR23" s="7"/>
      <c r="AFS23" s="7"/>
      <c r="AFT23" s="7"/>
      <c r="AFU23" s="7"/>
      <c r="AFV23" s="7"/>
      <c r="AFW23" s="7"/>
      <c r="AFX23" s="7"/>
      <c r="AFY23" s="7"/>
      <c r="AFZ23" s="7"/>
      <c r="AGA23" s="7"/>
      <c r="AGB23" s="7"/>
      <c r="AGC23" s="7"/>
      <c r="AGD23" s="7"/>
      <c r="AGE23" s="7"/>
      <c r="AGF23" s="7"/>
      <c r="AGG23" s="7"/>
      <c r="AGH23" s="7"/>
      <c r="AGI23" s="7"/>
      <c r="AGJ23" s="7"/>
      <c r="AGK23" s="7"/>
      <c r="AGL23" s="7"/>
      <c r="AGM23" s="7"/>
      <c r="AGN23" s="7"/>
      <c r="AGO23" s="7"/>
      <c r="AGP23" s="7"/>
      <c r="AGQ23" s="7"/>
      <c r="AGR23" s="7"/>
      <c r="AGS23" s="7"/>
      <c r="AGT23" s="7"/>
      <c r="AGU23" s="7"/>
      <c r="AGV23" s="7"/>
      <c r="AGW23" s="7"/>
      <c r="AGX23" s="7"/>
      <c r="AGY23" s="7"/>
      <c r="AGZ23" s="7"/>
      <c r="AHA23" s="7"/>
      <c r="AHB23" s="7"/>
      <c r="AHC23" s="7"/>
      <c r="AHD23" s="7"/>
      <c r="AHE23" s="7"/>
      <c r="AHF23" s="7"/>
      <c r="AHG23" s="7"/>
      <c r="AHH23" s="7"/>
      <c r="AHI23" s="7"/>
      <c r="AHJ23" s="7"/>
      <c r="AHK23" s="7"/>
      <c r="AHL23" s="7"/>
      <c r="AHM23" s="7"/>
      <c r="AHN23" s="7"/>
      <c r="AHO23" s="7"/>
      <c r="AHP23" s="7"/>
      <c r="AHQ23" s="7"/>
      <c r="AHR23" s="7"/>
      <c r="AHS23" s="7"/>
      <c r="AHT23" s="7"/>
      <c r="AHU23" s="7"/>
      <c r="AHV23" s="7"/>
      <c r="AHW23" s="7"/>
      <c r="AHX23" s="7"/>
      <c r="AHY23" s="7"/>
      <c r="AHZ23" s="7"/>
      <c r="AIA23" s="7"/>
      <c r="AIB23" s="7"/>
      <c r="AIC23" s="7"/>
      <c r="AID23" s="7"/>
      <c r="AIE23" s="7"/>
      <c r="AIF23" s="7"/>
      <c r="AIG23" s="7"/>
      <c r="AIH23" s="7"/>
      <c r="AII23" s="7"/>
      <c r="AIJ23" s="7"/>
      <c r="AIK23" s="7"/>
      <c r="AIL23" s="7"/>
      <c r="AIM23" s="7"/>
      <c r="AIN23" s="7"/>
      <c r="AIO23" s="7"/>
      <c r="AIP23" s="7"/>
      <c r="AIQ23" s="7"/>
      <c r="AIR23" s="7"/>
      <c r="AIS23" s="7"/>
      <c r="AIT23" s="7"/>
      <c r="AIU23" s="7"/>
      <c r="AIV23" s="7"/>
      <c r="AIW23" s="7"/>
      <c r="AIX23" s="7"/>
      <c r="AIY23" s="7"/>
      <c r="AIZ23" s="7"/>
      <c r="AJA23" s="7"/>
      <c r="AJB23" s="7"/>
      <c r="AJC23" s="7"/>
      <c r="AJD23" s="7"/>
      <c r="AJE23" s="7"/>
      <c r="AJF23" s="7"/>
      <c r="AJG23" s="7"/>
      <c r="AJH23" s="7"/>
      <c r="AJI23" s="7"/>
      <c r="AJJ23" s="7"/>
      <c r="AJK23" s="7"/>
      <c r="AJL23" s="7"/>
      <c r="AJM23" s="7"/>
      <c r="AJN23" s="7"/>
      <c r="AJO23" s="7"/>
      <c r="AJP23" s="7"/>
      <c r="AJQ23" s="7"/>
      <c r="AJR23" s="7"/>
      <c r="AJS23" s="7"/>
      <c r="AJT23" s="7"/>
      <c r="AJU23" s="7"/>
      <c r="AJV23" s="7"/>
      <c r="AJW23" s="7"/>
      <c r="AJX23" s="7"/>
      <c r="AJY23" s="7"/>
      <c r="AJZ23" s="7"/>
      <c r="AKA23" s="7"/>
      <c r="AKB23" s="7"/>
      <c r="AKC23" s="7"/>
      <c r="AKD23" s="7"/>
      <c r="AKE23" s="7"/>
      <c r="AKF23" s="7"/>
      <c r="AKG23" s="7"/>
      <c r="AKH23" s="7"/>
      <c r="AKI23" s="7"/>
      <c r="AKJ23" s="7"/>
      <c r="AKK23" s="7"/>
      <c r="AKL23" s="7"/>
      <c r="AKM23" s="7"/>
      <c r="AKN23" s="7"/>
      <c r="AKO23" s="7"/>
      <c r="AKP23" s="7"/>
      <c r="AKQ23" s="7"/>
    </row>
    <row r="24" customFormat="false" ht="15" hidden="false" customHeight="false" outlineLevel="0" collapsed="false">
      <c r="B24" s="1" t="s">
        <v>4</v>
      </c>
      <c r="C24" s="1" t="n">
        <f aca="false">COUNTIF(C3:C23,"P")</f>
        <v>20</v>
      </c>
      <c r="D24" s="1" t="n">
        <f aca="false">COUNTIF(D3:D23,"P")</f>
        <v>15</v>
      </c>
      <c r="F24" s="1" t="n">
        <f aca="false">COUNTIF(F3:F23,"P")</f>
        <v>13</v>
      </c>
      <c r="H24" s="1" t="n">
        <f aca="false">COUNTIF(H3:H23,"P")</f>
        <v>14</v>
      </c>
      <c r="I24" s="1" t="n">
        <f aca="false">COUNTIF(I3:I23,"P")</f>
        <v>17</v>
      </c>
      <c r="J24" s="1" t="n">
        <f aca="false">COUNTIF(J3:J23,"P")</f>
        <v>16</v>
      </c>
      <c r="K24" s="1" t="n">
        <f aca="false">COUNTIF(K3:K23,"P")</f>
        <v>14</v>
      </c>
      <c r="L24" s="1" t="n">
        <f aca="false">COUNTIF(L3:L23,"P")</f>
        <v>14</v>
      </c>
      <c r="M24" s="1" t="n">
        <f aca="false">COUNTIF(M3:M23,"P")</f>
        <v>12</v>
      </c>
      <c r="U24" s="1" t="n">
        <f aca="false">COUNTIF(U3:U23,"P")</f>
        <v>13</v>
      </c>
      <c r="V24" s="1" t="n">
        <f aca="false">COUNTIF(V3:V23,"P")</f>
        <v>14</v>
      </c>
      <c r="W24" s="1" t="n">
        <f aca="false">COUNTIF(W3:W23,"P")</f>
        <v>14</v>
      </c>
      <c r="X24" s="1" t="n">
        <f aca="false">COUNTIF(X3:X23,"P")</f>
        <v>13</v>
      </c>
      <c r="Z24" s="1" t="n">
        <f aca="false">COUNTIF(Z3:Z23,"P")</f>
        <v>2</v>
      </c>
      <c r="AA24" s="1" t="n">
        <f aca="false">COUNTIF(AA3:AA23,"P")</f>
        <v>14</v>
      </c>
      <c r="AB24" s="1" t="n">
        <f aca="false">COUNTIF(AB3:AB23,"P")</f>
        <v>15</v>
      </c>
      <c r="AC24" s="1" t="n">
        <f aca="false">COUNTIF(AC3:AC23,"P")</f>
        <v>16</v>
      </c>
      <c r="AD24" s="1" t="n">
        <f aca="false">COUNTIF(AD3:AD23,"P")</f>
        <v>14</v>
      </c>
      <c r="AE24" s="1" t="n">
        <f aca="false">COUNTIF(AE3:AE23,"P")</f>
        <v>15</v>
      </c>
    </row>
    <row r="25" customFormat="false" ht="15" hidden="false" customHeight="false" outlineLevel="0" collapsed="false">
      <c r="B25" s="1" t="s">
        <v>37</v>
      </c>
      <c r="W25" s="1" t="n">
        <f aca="false">COUNTIF(W3:W23,"M")</f>
        <v>0</v>
      </c>
      <c r="X25" s="1" t="n">
        <f aca="false">COUNTIF(X3:X23,"M")</f>
        <v>0</v>
      </c>
      <c r="Z25" s="1" t="n">
        <f aca="false">COUNTIF(Z3:Z23,"M")</f>
        <v>0</v>
      </c>
      <c r="AA25" s="1" t="n">
        <f aca="false">COUNTIF(AA3:AA23,"M")</f>
        <v>0</v>
      </c>
      <c r="AB25" s="1" t="n">
        <f aca="false">COUNTIF(AB3:AB23,"M")</f>
        <v>0</v>
      </c>
      <c r="AC25" s="1" t="n">
        <f aca="false">COUNTIF(AC3:AC23,"M")</f>
        <v>0</v>
      </c>
      <c r="AD25" s="1" t="n">
        <f aca="false">COUNTIF(AD3:AD23,"M")</f>
        <v>0</v>
      </c>
      <c r="AE25" s="1" t="n">
        <f aca="false">COUNTIF(AE3:AE23,"M")</f>
        <v>0</v>
      </c>
    </row>
    <row r="26" customFormat="false" ht="15" hidden="false" customHeight="false" outlineLevel="0" collapsed="false">
      <c r="B26" s="1" t="s">
        <v>5</v>
      </c>
      <c r="W26" s="1" t="n">
        <f aca="false">COUNTIF(W3:W23,"T")</f>
        <v>0</v>
      </c>
      <c r="X26" s="1" t="n">
        <f aca="false">COUNTIF(X3:X23,"T")</f>
        <v>2</v>
      </c>
      <c r="Z26" s="1" t="n">
        <f aca="false">COUNTIF(Z3:Z23,"T")</f>
        <v>0</v>
      </c>
      <c r="AA26" s="1" t="n">
        <f aca="false">COUNTIF(AA3:AA23,"T")</f>
        <v>0</v>
      </c>
      <c r="AB26" s="1" t="n">
        <f aca="false">COUNTIF(AB3:AB23,"T")</f>
        <v>0</v>
      </c>
      <c r="AC26" s="1" t="n">
        <f aca="false">COUNTIF(AC3:AC23,"T")</f>
        <v>0</v>
      </c>
      <c r="AD26" s="1" t="n">
        <f aca="false">COUNTIF(AD3:AD23,"T")</f>
        <v>0</v>
      </c>
      <c r="AE26" s="1" t="n">
        <f aca="false">COUNTIF(AE3:AE23,"T")</f>
        <v>0</v>
      </c>
    </row>
    <row r="27" customFormat="false" ht="15" hidden="false" customHeight="false" outlineLevel="0" collapsed="false">
      <c r="B27" s="1" t="s">
        <v>7</v>
      </c>
      <c r="W27" s="1" t="n">
        <f aca="false">SUM(W24:W26)</f>
        <v>14</v>
      </c>
      <c r="X27" s="1" t="n">
        <f aca="false">SUM(X24:X26)</f>
        <v>15</v>
      </c>
      <c r="Z27" s="1" t="n">
        <f aca="false">SUM(Z24:Z26)</f>
        <v>2</v>
      </c>
      <c r="AA27" s="1" t="n">
        <f aca="false">SUM(AA24:AA26)</f>
        <v>14</v>
      </c>
      <c r="AB27" s="1" t="n">
        <f aca="false">SUM(AB24:AB26)</f>
        <v>15</v>
      </c>
      <c r="AC27" s="1" t="n">
        <f aca="false">SUM(AC24:AC26)</f>
        <v>16</v>
      </c>
      <c r="AD27" s="1" t="n">
        <f aca="false">SUM(AD24:AD26)</f>
        <v>14</v>
      </c>
      <c r="AE27" s="1" t="n">
        <f aca="false">SUM(AE24:AE26)</f>
        <v>15</v>
      </c>
    </row>
  </sheetData>
  <conditionalFormatting sqref="S3:T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3">
      <formula>"TEA"</formula>
    </cfRule>
    <cfRule type="cellIs" priority="6" operator="equal" aboveAverage="0" equalAverage="0" bottom="0" percent="0" rank="0" text="" dxfId="4">
      <formula>"TEP"</formula>
    </cfRule>
    <cfRule type="cellIs" priority="7" operator="equal" aboveAverage="0" equalAverage="0" bottom="0" percent="0" rank="0" text="" dxfId="5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3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R17" activeCellId="0" sqref="R17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1.34"/>
    <col collapsed="false" customWidth="true" hidden="true" outlineLevel="0" max="4" min="4" style="1" width="35.71"/>
    <col collapsed="false" customWidth="true" hidden="false" outlineLevel="0" max="5" min="5" style="1" width="8.68"/>
    <col collapsed="false" customWidth="true" hidden="false" outlineLevel="0" max="6" min="6" style="1" width="11.78"/>
    <col collapsed="false" customWidth="false" hidden="false" outlineLevel="0" max="10" min="7" style="1" width="8.75"/>
    <col collapsed="false" customWidth="true" hidden="false" outlineLevel="0" max="11" min="11" style="1" width="10.37"/>
    <col collapsed="false" customWidth="false" hidden="false" outlineLevel="0" max="12" min="12" style="1" width="8.75"/>
    <col collapsed="false" customWidth="false" hidden="true" outlineLevel="0" max="14" min="14" style="1" width="8.75"/>
    <col collapsed="false" customWidth="true" hidden="false" outlineLevel="0" max="18" min="18" style="1" width="13.95"/>
    <col collapsed="false" customWidth="true" hidden="false" outlineLevel="0" max="19" min="19" style="1" width="13.18"/>
    <col collapsed="false" customWidth="true" hidden="false" outlineLevel="0" max="16384" min="16151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1</v>
      </c>
      <c r="B2" s="2" t="s">
        <v>38</v>
      </c>
      <c r="C2" s="2" t="s">
        <v>2</v>
      </c>
      <c r="D2" s="2" t="s">
        <v>39</v>
      </c>
      <c r="E2" s="3" t="s">
        <v>40</v>
      </c>
      <c r="F2" s="1" t="s">
        <v>41</v>
      </c>
      <c r="H2" s="1" t="s">
        <v>42</v>
      </c>
      <c r="I2" s="1" t="s">
        <v>43</v>
      </c>
      <c r="J2" s="1" t="s">
        <v>44</v>
      </c>
      <c r="K2" s="1" t="s">
        <v>45</v>
      </c>
      <c r="L2" s="1" t="s">
        <v>46</v>
      </c>
      <c r="M2" s="1" t="s">
        <v>8</v>
      </c>
      <c r="N2" s="1" t="s">
        <v>47</v>
      </c>
      <c r="O2" s="2" t="s">
        <v>48</v>
      </c>
      <c r="P2" s="2" t="s">
        <v>49</v>
      </c>
      <c r="R2" s="2" t="s">
        <v>50</v>
      </c>
      <c r="S2" s="2" t="s">
        <v>51</v>
      </c>
      <c r="W2" s="2" t="s">
        <v>52</v>
      </c>
    </row>
    <row r="3" customFormat="false" ht="15" hidden="false" customHeight="false" outlineLevel="0" collapsed="false">
      <c r="A3" s="1" t="n">
        <v>1</v>
      </c>
      <c r="B3" s="2" t="s">
        <v>53</v>
      </c>
      <c r="C3" s="2" t="s">
        <v>10</v>
      </c>
      <c r="D3" s="2" t="s">
        <v>54</v>
      </c>
      <c r="E3" s="5" t="n">
        <v>8</v>
      </c>
      <c r="F3" s="5" t="n">
        <v>9</v>
      </c>
      <c r="G3" s="5"/>
      <c r="H3" s="5" t="n">
        <v>5</v>
      </c>
      <c r="I3" s="5"/>
      <c r="J3" s="5" t="n">
        <v>5</v>
      </c>
      <c r="K3" s="5" t="n">
        <v>7</v>
      </c>
      <c r="L3" s="5" t="n">
        <v>8</v>
      </c>
      <c r="M3" s="5" t="n">
        <f aca="false">ROUND(AVERAGE(E3,F3,H3,J3,K3,L3),0)</f>
        <v>7</v>
      </c>
      <c r="N3" s="5" t="str">
        <f aca="false">IF(M3&gt;6,"TEA",IF(M3&gt;3,"TEP","TED"))</f>
        <v>TEA</v>
      </c>
      <c r="O3" s="1" t="n">
        <v>8</v>
      </c>
      <c r="P3" s="1" t="n">
        <f aca="false">IF(AND(M3&gt;6,O3&gt;6),ROUND((M3+O3)/2,0),MIN(M3,O3))</f>
        <v>8</v>
      </c>
      <c r="Q3" s="5" t="str">
        <f aca="false">IF(P3&gt;6,"TEA",IF(P3&gt;3,"TEP","TED"))</f>
        <v>TEA</v>
      </c>
      <c r="R3" s="5"/>
      <c r="S3" s="5"/>
      <c r="T3" s="5"/>
      <c r="U3" s="5"/>
      <c r="V3" s="5"/>
      <c r="W3" s="1" t="n">
        <v>10</v>
      </c>
    </row>
    <row r="4" customFormat="false" ht="15" hidden="false" customHeight="false" outlineLevel="0" collapsed="false">
      <c r="A4" s="1" t="n">
        <v>2</v>
      </c>
      <c r="B4" s="2" t="s">
        <v>55</v>
      </c>
      <c r="C4" s="2" t="s">
        <v>14</v>
      </c>
      <c r="D4" s="2" t="s">
        <v>56</v>
      </c>
      <c r="E4" s="5" t="n">
        <v>10</v>
      </c>
      <c r="F4" s="5" t="n">
        <v>5.5</v>
      </c>
      <c r="G4" s="5"/>
      <c r="H4" s="5" t="n">
        <v>8</v>
      </c>
      <c r="I4" s="5"/>
      <c r="J4" s="5" t="n">
        <v>7</v>
      </c>
      <c r="K4" s="5" t="n">
        <v>9</v>
      </c>
      <c r="L4" s="5" t="n">
        <v>10</v>
      </c>
      <c r="M4" s="5" t="n">
        <f aca="false">ROUND(AVERAGE(E4,F4,H4,J4,K4,L4),0)</f>
        <v>8</v>
      </c>
      <c r="N4" s="5" t="str">
        <f aca="false">IF(M4&gt;6,"TEA",IF(M4&gt;3,"TEP","TED"))</f>
        <v>TEA</v>
      </c>
      <c r="O4" s="1" t="n">
        <v>8</v>
      </c>
      <c r="P4" s="1" t="n">
        <f aca="false">IF(AND(M4&gt;6,O4&gt;6),ROUND((M4+O4)/2,0),MIN(M4,O4))</f>
        <v>8</v>
      </c>
      <c r="Q4" s="5" t="str">
        <f aca="false">IF(P4&gt;6,"TEA",IF(P4&gt;3,"TEP","TED"))</f>
        <v>TEA</v>
      </c>
      <c r="R4" s="5"/>
      <c r="S4" s="5"/>
      <c r="T4" s="5"/>
      <c r="U4" s="5"/>
      <c r="V4" s="5"/>
      <c r="W4" s="1" t="n">
        <v>10</v>
      </c>
    </row>
    <row r="5" customFormat="false" ht="15" hidden="false" customHeight="false" outlineLevel="0" collapsed="false">
      <c r="A5" s="1" t="n">
        <v>3</v>
      </c>
      <c r="B5" s="2" t="s">
        <v>57</v>
      </c>
      <c r="C5" s="2" t="s">
        <v>16</v>
      </c>
      <c r="D5" s="2" t="s">
        <v>58</v>
      </c>
      <c r="E5" s="5" t="n">
        <v>1</v>
      </c>
      <c r="F5" s="5" t="n">
        <v>7</v>
      </c>
      <c r="G5" s="5"/>
      <c r="H5" s="5" t="n">
        <v>7</v>
      </c>
      <c r="I5" s="5"/>
      <c r="J5" s="5" t="n">
        <v>7</v>
      </c>
      <c r="K5" s="5" t="n">
        <v>7</v>
      </c>
      <c r="L5" s="5" t="n">
        <v>9</v>
      </c>
      <c r="M5" s="5" t="n">
        <f aca="false">ROUND(AVERAGE(E5,F5,H5,J5,K5,L5),0)</f>
        <v>6</v>
      </c>
      <c r="N5" s="5" t="str">
        <f aca="false">IF(M5&gt;6,"TEA",IF(M5&gt;3,"TEP","TED"))</f>
        <v>TEP</v>
      </c>
      <c r="O5" s="1" t="n">
        <v>8</v>
      </c>
      <c r="P5" s="1" t="n">
        <f aca="false">IF(AND(M5&gt;6,O5&gt;6),ROUND((M5+O5)/2,0),MIN(M5,O5))</f>
        <v>6</v>
      </c>
      <c r="Q5" s="5" t="str">
        <f aca="false">IF(P5&gt;6,"TEA",IF(P5&gt;3,"TEP","TED"))</f>
        <v>TEP</v>
      </c>
      <c r="R5" s="5"/>
      <c r="S5" s="5"/>
      <c r="T5" s="5"/>
      <c r="U5" s="5"/>
      <c r="V5" s="5"/>
      <c r="W5" s="1" t="n">
        <v>10</v>
      </c>
    </row>
    <row r="6" customFormat="false" ht="15" hidden="false" customHeight="false" outlineLevel="0" collapsed="false">
      <c r="A6" s="1" t="n">
        <v>4</v>
      </c>
      <c r="B6" s="2" t="s">
        <v>59</v>
      </c>
      <c r="C6" s="2" t="s">
        <v>17</v>
      </c>
      <c r="D6" s="2" t="s">
        <v>60</v>
      </c>
      <c r="E6" s="5" t="n">
        <v>10</v>
      </c>
      <c r="F6" s="5" t="n">
        <v>10</v>
      </c>
      <c r="G6" s="5"/>
      <c r="H6" s="5" t="n">
        <v>10</v>
      </c>
      <c r="I6" s="5"/>
      <c r="J6" s="5" t="n">
        <v>10</v>
      </c>
      <c r="K6" s="5" t="n">
        <v>9</v>
      </c>
      <c r="L6" s="5" t="n">
        <v>10</v>
      </c>
      <c r="M6" s="5" t="n">
        <f aca="false">ROUND(AVERAGE(E6,F6,H6,J6,K6,L6),0)</f>
        <v>10</v>
      </c>
      <c r="N6" s="5" t="str">
        <f aca="false">IF(M6&gt;6,"TEA",IF(M6&gt;3,"TEP","TED"))</f>
        <v>TEA</v>
      </c>
      <c r="O6" s="1" t="n">
        <v>8</v>
      </c>
      <c r="P6" s="1" t="n">
        <f aca="false">IF(AND(M6&gt;6,O6&gt;6),ROUND((M6+O6)/2,0),MIN(M6,O6))</f>
        <v>9</v>
      </c>
      <c r="Q6" s="5" t="str">
        <f aca="false">IF(P6&gt;6,"TEA",IF(P6&gt;3,"TEP","TED"))</f>
        <v>TEA</v>
      </c>
      <c r="R6" s="5"/>
      <c r="S6" s="5"/>
      <c r="T6" s="5"/>
      <c r="U6" s="5"/>
      <c r="V6" s="5"/>
      <c r="W6" s="1" t="n">
        <v>1</v>
      </c>
    </row>
    <row r="7" customFormat="false" ht="15" hidden="false" customHeight="false" outlineLevel="0" collapsed="false">
      <c r="A7" s="1" t="n">
        <v>5</v>
      </c>
      <c r="B7" s="2" t="s">
        <v>61</v>
      </c>
      <c r="C7" s="2" t="s">
        <v>18</v>
      </c>
      <c r="D7" s="2" t="s">
        <v>62</v>
      </c>
      <c r="E7" s="5" t="n">
        <v>8</v>
      </c>
      <c r="F7" s="5" t="n">
        <v>10</v>
      </c>
      <c r="G7" s="5"/>
      <c r="H7" s="5" t="n">
        <v>9</v>
      </c>
      <c r="I7" s="3" t="n">
        <v>46135</v>
      </c>
      <c r="J7" s="5" t="n">
        <v>7</v>
      </c>
      <c r="K7" s="5" t="n">
        <v>10</v>
      </c>
      <c r="L7" s="5" t="n">
        <v>8</v>
      </c>
      <c r="M7" s="5" t="n">
        <f aca="false">ROUND(AVERAGE(E7,F7,H7,J7,K7,L7),0)</f>
        <v>9</v>
      </c>
      <c r="N7" s="5" t="str">
        <f aca="false">IF(M7&gt;6,"TEA",IF(M7&gt;3,"TEP","TED"))</f>
        <v>TEA</v>
      </c>
      <c r="O7" s="1" t="n">
        <v>8</v>
      </c>
      <c r="P7" s="1" t="n">
        <f aca="false">IF(AND(M7&gt;6,O7&gt;6),ROUND((M7+O7)/2,0),MIN(M7,O7))</f>
        <v>9</v>
      </c>
      <c r="Q7" s="5" t="str">
        <f aca="false">IF(P7&gt;6,"TEA",IF(P7&gt;3,"TEP","TED"))</f>
        <v>TEA</v>
      </c>
      <c r="R7" s="5"/>
      <c r="S7" s="5"/>
      <c r="T7" s="5"/>
      <c r="U7" s="5"/>
      <c r="V7" s="5"/>
      <c r="W7" s="1" t="n">
        <v>1</v>
      </c>
    </row>
    <row r="8" s="2" customFormat="true" ht="15" hidden="false" customHeight="false" outlineLevel="0" collapsed="false">
      <c r="A8" s="1" t="n">
        <v>6</v>
      </c>
      <c r="B8" s="2" t="s">
        <v>63</v>
      </c>
      <c r="C8" s="2" t="s">
        <v>19</v>
      </c>
      <c r="D8" s="2" t="s">
        <v>64</v>
      </c>
      <c r="E8" s="5" t="n">
        <v>8</v>
      </c>
      <c r="F8" s="5" t="n">
        <v>10</v>
      </c>
      <c r="G8" s="5"/>
      <c r="H8" s="5" t="n">
        <v>10</v>
      </c>
      <c r="I8" s="5"/>
      <c r="J8" s="5" t="n">
        <v>9</v>
      </c>
      <c r="K8" s="5" t="n">
        <v>10</v>
      </c>
      <c r="L8" s="5" t="n">
        <v>10</v>
      </c>
      <c r="M8" s="5" t="n">
        <f aca="false">ROUND(AVERAGE(E8,F8,H8,J8,K8,L8),0)</f>
        <v>10</v>
      </c>
      <c r="N8" s="5" t="str">
        <f aca="false">IF(M8&gt;6,"TEA",IF(M8&gt;3,"TEP","TED"))</f>
        <v>TEA</v>
      </c>
      <c r="O8" s="1" t="n">
        <v>8</v>
      </c>
      <c r="P8" s="1" t="n">
        <f aca="false">IF(AND(M8&gt;6,O8&gt;6),ROUND((M8+O8)/2,0),MIN(M8,O8))</f>
        <v>9</v>
      </c>
      <c r="Q8" s="5" t="str">
        <f aca="false">IF(P8&gt;6,"TEA",IF(P8&gt;3,"TEP","TED"))</f>
        <v>TEA</v>
      </c>
      <c r="R8" s="5"/>
      <c r="S8" s="5"/>
      <c r="T8" s="5"/>
      <c r="U8" s="5"/>
      <c r="V8" s="5"/>
      <c r="W8" s="1" t="n">
        <v>10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WWE8" s="1"/>
      <c r="WWF8" s="1"/>
      <c r="WWG8" s="1"/>
      <c r="WWH8" s="1"/>
      <c r="WWI8" s="1"/>
      <c r="WWJ8" s="1"/>
      <c r="WWK8" s="1"/>
      <c r="WWL8" s="1"/>
      <c r="WWM8" s="1"/>
      <c r="WWN8" s="1"/>
      <c r="WWO8" s="1"/>
      <c r="WWP8" s="1"/>
      <c r="WWQ8" s="1"/>
      <c r="WWR8" s="1"/>
      <c r="WWS8" s="1"/>
      <c r="WWT8" s="1"/>
      <c r="WWU8" s="1"/>
      <c r="WWV8" s="1"/>
      <c r="WWW8" s="1"/>
      <c r="WWX8" s="1"/>
      <c r="WWY8" s="1"/>
      <c r="WWZ8" s="1"/>
      <c r="WXA8" s="1"/>
      <c r="WXB8" s="1"/>
      <c r="WXC8" s="1"/>
      <c r="WXD8" s="1"/>
      <c r="WXE8" s="1"/>
      <c r="WXF8" s="1"/>
      <c r="WXG8" s="1"/>
      <c r="WXH8" s="1"/>
      <c r="WXI8" s="1"/>
      <c r="WXJ8" s="1"/>
      <c r="WXK8" s="1"/>
      <c r="WXL8" s="1"/>
      <c r="WXM8" s="1"/>
      <c r="WXN8" s="1"/>
      <c r="WXO8" s="1"/>
      <c r="WXP8" s="1"/>
      <c r="WXQ8" s="1"/>
      <c r="WXR8" s="1"/>
      <c r="WXS8" s="1"/>
      <c r="WXT8" s="1"/>
      <c r="WXU8" s="1"/>
      <c r="WXV8" s="1"/>
      <c r="WXW8" s="1"/>
      <c r="WXX8" s="1"/>
      <c r="WXY8" s="1"/>
      <c r="WXZ8" s="1"/>
      <c r="WYA8" s="1"/>
      <c r="WYB8" s="1"/>
      <c r="WYC8" s="1"/>
      <c r="WYD8" s="1"/>
      <c r="WYE8" s="1"/>
      <c r="WYF8" s="1"/>
    </row>
    <row r="9" customFormat="false" ht="15" hidden="false" customHeight="false" outlineLevel="0" collapsed="false">
      <c r="A9" s="1" t="n">
        <v>7</v>
      </c>
      <c r="B9" s="2" t="s">
        <v>65</v>
      </c>
      <c r="C9" s="2" t="s">
        <v>20</v>
      </c>
      <c r="D9" s="2" t="s">
        <v>66</v>
      </c>
      <c r="E9" s="5" t="n">
        <v>8</v>
      </c>
      <c r="F9" s="5" t="n">
        <v>10</v>
      </c>
      <c r="G9" s="5"/>
      <c r="H9" s="5" t="n">
        <v>8</v>
      </c>
      <c r="I9" s="5"/>
      <c r="J9" s="5" t="n">
        <v>1</v>
      </c>
      <c r="K9" s="5" t="n">
        <v>10</v>
      </c>
      <c r="L9" s="5" t="n">
        <v>9</v>
      </c>
      <c r="M9" s="5" t="n">
        <f aca="false">ROUND(AVERAGE(E9,F9,H9,J9,K9,L9),0)</f>
        <v>8</v>
      </c>
      <c r="N9" s="5" t="str">
        <f aca="false">IF(M9&gt;6,"TEA",IF(M9&gt;3,"TEP","TED"))</f>
        <v>TEA</v>
      </c>
      <c r="O9" s="1" t="n">
        <v>8</v>
      </c>
      <c r="P9" s="1" t="n">
        <f aca="false">IF(AND(M9&gt;6,O9&gt;6),ROUND((M9+O9)/2,0),MIN(M9,O9))</f>
        <v>8</v>
      </c>
      <c r="Q9" s="5" t="str">
        <f aca="false">IF(P9&gt;6,"TEA",IF(P9&gt;3,"TEP","TED"))</f>
        <v>TEA</v>
      </c>
      <c r="R9" s="5"/>
      <c r="S9" s="5"/>
      <c r="T9" s="5"/>
      <c r="U9" s="5"/>
      <c r="V9" s="5"/>
      <c r="W9" s="1" t="n">
        <v>10</v>
      </c>
    </row>
    <row r="10" customFormat="false" ht="15" hidden="false" customHeight="false" outlineLevel="0" collapsed="false">
      <c r="A10" s="1" t="n">
        <v>8</v>
      </c>
      <c r="B10" s="2" t="s">
        <v>67</v>
      </c>
      <c r="C10" s="2" t="s">
        <v>21</v>
      </c>
      <c r="D10" s="2" t="s">
        <v>68</v>
      </c>
      <c r="E10" s="5" t="n">
        <v>10</v>
      </c>
      <c r="F10" s="5" t="n">
        <v>10</v>
      </c>
      <c r="G10" s="5"/>
      <c r="H10" s="5" t="n">
        <v>10</v>
      </c>
      <c r="I10" s="5"/>
      <c r="J10" s="5" t="n">
        <v>10</v>
      </c>
      <c r="K10" s="5" t="n">
        <v>10</v>
      </c>
      <c r="L10" s="5" t="n">
        <v>10</v>
      </c>
      <c r="M10" s="5" t="n">
        <f aca="false">ROUND(AVERAGE(E10,F10,H10,J10,K10,L10),0)</f>
        <v>10</v>
      </c>
      <c r="N10" s="5" t="str">
        <f aca="false">IF(M10&gt;6,"TEA",IF(M10&gt;3,"TEP","TED"))</f>
        <v>TEA</v>
      </c>
      <c r="O10" s="1" t="n">
        <v>8</v>
      </c>
      <c r="P10" s="1" t="n">
        <f aca="false">IF(AND(M10&gt;6,O10&gt;6),ROUND((M10+O10)/2,0),MIN(M10,O10))</f>
        <v>9</v>
      </c>
      <c r="Q10" s="5" t="str">
        <f aca="false">IF(P10&gt;6,"TEA",IF(P10&gt;3,"TEP","TED"))</f>
        <v>TEA</v>
      </c>
      <c r="R10" s="5"/>
      <c r="S10" s="5"/>
      <c r="T10" s="5"/>
      <c r="U10" s="5"/>
      <c r="V10" s="5"/>
      <c r="W10" s="1" t="n">
        <v>10</v>
      </c>
    </row>
    <row r="11" customFormat="false" ht="15" hidden="false" customHeight="false" outlineLevel="0" collapsed="false">
      <c r="A11" s="1" t="n">
        <v>9</v>
      </c>
      <c r="B11" s="2" t="s">
        <v>69</v>
      </c>
      <c r="C11" s="2" t="s">
        <v>22</v>
      </c>
      <c r="D11" s="2" t="s">
        <v>70</v>
      </c>
      <c r="E11" s="5" t="n">
        <v>10</v>
      </c>
      <c r="F11" s="5" t="n">
        <v>10</v>
      </c>
      <c r="G11" s="5"/>
      <c r="H11" s="5" t="n">
        <v>10</v>
      </c>
      <c r="I11" s="5"/>
      <c r="J11" s="5" t="n">
        <v>6</v>
      </c>
      <c r="K11" s="5" t="n">
        <v>9</v>
      </c>
      <c r="L11" s="5" t="n">
        <v>10</v>
      </c>
      <c r="M11" s="5" t="n">
        <f aca="false">ROUND(AVERAGE(E11,F11,H11,J11,K11,L11),0)</f>
        <v>9</v>
      </c>
      <c r="N11" s="5" t="str">
        <f aca="false">IF(M11&gt;6,"TEA",IF(M11&gt;3,"TEP","TED"))</f>
        <v>TEA</v>
      </c>
      <c r="O11" s="1" t="n">
        <v>8</v>
      </c>
      <c r="P11" s="1" t="n">
        <f aca="false">IF(AND(M11&gt;6,O11&gt;6),ROUND((M11+O11)/2,0),MIN(M11,O11))</f>
        <v>9</v>
      </c>
      <c r="Q11" s="5" t="str">
        <f aca="false">IF(P11&gt;6,"TEA",IF(P11&gt;3,"TEP","TED"))</f>
        <v>TEA</v>
      </c>
      <c r="R11" s="5"/>
      <c r="S11" s="5"/>
      <c r="T11" s="5"/>
      <c r="U11" s="5"/>
      <c r="V11" s="5"/>
      <c r="W11" s="1" t="n">
        <v>10</v>
      </c>
    </row>
    <row r="12" s="7" customFormat="true" ht="15" hidden="false" customHeight="false" outlineLevel="0" collapsed="false">
      <c r="A12" s="6" t="n">
        <v>10</v>
      </c>
      <c r="B12" s="7" t="s">
        <v>71</v>
      </c>
      <c r="C12" s="7" t="s">
        <v>23</v>
      </c>
      <c r="D12" s="7" t="s">
        <v>72</v>
      </c>
      <c r="E12" s="6" t="n">
        <v>1</v>
      </c>
      <c r="F12" s="6" t="n">
        <v>1</v>
      </c>
      <c r="G12" s="6"/>
      <c r="H12" s="6" t="n">
        <v>1</v>
      </c>
      <c r="I12" s="6"/>
      <c r="J12" s="6" t="n">
        <v>1</v>
      </c>
      <c r="K12" s="5" t="n">
        <v>1</v>
      </c>
      <c r="L12" s="6" t="n">
        <v>1</v>
      </c>
      <c r="M12" s="5" t="n">
        <f aca="false">ROUND(AVERAGE(E12,F12,H12,J12,K12,L12),0)</f>
        <v>1</v>
      </c>
      <c r="N12" s="5" t="str">
        <f aca="false">IF(M12&gt;6,"TEA",IF(M12&gt;3,"TEP","TED"))</f>
        <v>TED</v>
      </c>
      <c r="O12" s="1" t="n">
        <v>1</v>
      </c>
      <c r="P12" s="1" t="n">
        <f aca="false">IF(AND(M12&gt;6,O12&gt;6),ROUND((M12+O12)/2,0),MIN(M12,O12))</f>
        <v>1</v>
      </c>
      <c r="Q12" s="5" t="str">
        <f aca="false">IF(P12&gt;6,"TEA",IF(P12&gt;3,"TEP","TED"))</f>
        <v>TED</v>
      </c>
      <c r="R12" s="5"/>
      <c r="S12" s="5"/>
      <c r="T12" s="5"/>
      <c r="U12" s="5"/>
      <c r="V12" s="5"/>
      <c r="W12" s="6" t="n">
        <v>1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WWE12" s="6"/>
      <c r="WWF12" s="6"/>
      <c r="WWG12" s="6"/>
      <c r="WWH12" s="6"/>
      <c r="WWI12" s="6"/>
      <c r="WWJ12" s="6"/>
      <c r="WWK12" s="6"/>
      <c r="WWL12" s="6"/>
      <c r="WWM12" s="6"/>
      <c r="WWN12" s="6"/>
      <c r="WWO12" s="6"/>
      <c r="WWP12" s="6"/>
      <c r="WWQ12" s="6"/>
      <c r="WWR12" s="6"/>
      <c r="WWS12" s="6"/>
      <c r="WWT12" s="6"/>
      <c r="WWU12" s="6"/>
      <c r="WWV12" s="6"/>
      <c r="WWW12" s="6"/>
      <c r="WWX12" s="6"/>
      <c r="WWY12" s="6"/>
      <c r="WWZ12" s="6"/>
      <c r="WXA12" s="6"/>
      <c r="WXB12" s="6"/>
      <c r="WXC12" s="6"/>
      <c r="WXD12" s="6"/>
      <c r="WXE12" s="6"/>
      <c r="WXF12" s="6"/>
      <c r="WXG12" s="6"/>
      <c r="WXH12" s="6"/>
      <c r="WXI12" s="6"/>
      <c r="WXJ12" s="6"/>
      <c r="WXK12" s="6"/>
      <c r="WXL12" s="6"/>
      <c r="WXM12" s="6"/>
      <c r="WXN12" s="6"/>
      <c r="WXO12" s="6"/>
      <c r="WXP12" s="6"/>
      <c r="WXQ12" s="6"/>
      <c r="WXR12" s="6"/>
      <c r="WXS12" s="6"/>
      <c r="WXT12" s="6"/>
      <c r="WXU12" s="6"/>
      <c r="WXV12" s="6"/>
      <c r="WXW12" s="6"/>
      <c r="WXX12" s="6"/>
      <c r="WXY12" s="6"/>
      <c r="WXZ12" s="6"/>
      <c r="WYA12" s="6"/>
      <c r="WYB12" s="6"/>
      <c r="WYC12" s="6"/>
      <c r="WYD12" s="6"/>
      <c r="WYE12" s="6"/>
      <c r="WYF12" s="6"/>
    </row>
    <row r="13" s="1" customFormat="true" ht="15" hidden="false" customHeight="false" outlineLevel="0" collapsed="false">
      <c r="A13" s="1" t="n">
        <v>11</v>
      </c>
      <c r="B13" s="2" t="s">
        <v>73</v>
      </c>
      <c r="C13" s="2" t="s">
        <v>26</v>
      </c>
      <c r="D13" s="2" t="s">
        <v>74</v>
      </c>
      <c r="E13" s="5" t="n">
        <v>10</v>
      </c>
      <c r="F13" s="5" t="n">
        <v>9</v>
      </c>
      <c r="G13" s="5"/>
      <c r="H13" s="5" t="n">
        <v>10</v>
      </c>
      <c r="I13" s="5"/>
      <c r="J13" s="5" t="n">
        <v>9</v>
      </c>
      <c r="K13" s="5" t="n">
        <v>8</v>
      </c>
      <c r="L13" s="5" t="n">
        <v>10</v>
      </c>
      <c r="M13" s="5" t="n">
        <f aca="false">ROUND(AVERAGE(E13,F13,H13,J13,K13,L13),0)</f>
        <v>9</v>
      </c>
      <c r="N13" s="5" t="str">
        <f aca="false">IF(M13&gt;6,"TEA",IF(M13&gt;3,"TEP","TED"))</f>
        <v>TEA</v>
      </c>
      <c r="O13" s="1" t="n">
        <v>8</v>
      </c>
      <c r="P13" s="1" t="n">
        <f aca="false">IF(AND(M13&gt;6,O13&gt;6),ROUND((M13+O13)/2,0),MIN(M13,O13))</f>
        <v>9</v>
      </c>
      <c r="Q13" s="5" t="str">
        <f aca="false">IF(P13&gt;6,"TEA",IF(P13&gt;3,"TEP","TED"))</f>
        <v>TEA</v>
      </c>
      <c r="R13" s="5"/>
      <c r="S13" s="5"/>
      <c r="T13" s="5"/>
      <c r="U13" s="5"/>
      <c r="V13" s="5"/>
      <c r="W13" s="1" t="n">
        <v>10</v>
      </c>
    </row>
    <row r="14" s="1" customFormat="true" ht="15" hidden="false" customHeight="false" outlineLevel="0" collapsed="false">
      <c r="A14" s="1" t="n">
        <v>12</v>
      </c>
      <c r="B14" s="2" t="s">
        <v>75</v>
      </c>
      <c r="C14" s="2" t="s">
        <v>27</v>
      </c>
      <c r="D14" s="2" t="s">
        <v>76</v>
      </c>
      <c r="E14" s="5" t="n">
        <v>10</v>
      </c>
      <c r="F14" s="5" t="n">
        <v>10</v>
      </c>
      <c r="G14" s="5"/>
      <c r="H14" s="5" t="n">
        <v>9</v>
      </c>
      <c r="I14" s="5"/>
      <c r="J14" s="5" t="n">
        <v>9</v>
      </c>
      <c r="K14" s="5" t="n">
        <v>10</v>
      </c>
      <c r="L14" s="5" t="n">
        <v>9</v>
      </c>
      <c r="M14" s="5" t="n">
        <f aca="false">ROUND(AVERAGE(E14,F14,H14,J14,K14,L14),0)</f>
        <v>10</v>
      </c>
      <c r="N14" s="5" t="str">
        <f aca="false">IF(M14&gt;6,"TEA",IF(M14&gt;3,"TEP","TED"))</f>
        <v>TEA</v>
      </c>
      <c r="O14" s="1" t="n">
        <v>8</v>
      </c>
      <c r="P14" s="1" t="n">
        <f aca="false">IF(AND(M14&gt;6,O14&gt;6),ROUND((M14+O14)/2,0),MIN(M14,O14))</f>
        <v>9</v>
      </c>
      <c r="Q14" s="5" t="str">
        <f aca="false">IF(P14&gt;6,"TEA",IF(P14&gt;3,"TEP","TED"))</f>
        <v>TEA</v>
      </c>
      <c r="R14" s="5"/>
      <c r="S14" s="5"/>
      <c r="T14" s="5"/>
      <c r="U14" s="5"/>
      <c r="V14" s="5"/>
      <c r="W14" s="1" t="n">
        <v>10</v>
      </c>
    </row>
    <row r="15" s="7" customFormat="true" ht="15" hidden="false" customHeight="false" outlineLevel="0" collapsed="false">
      <c r="A15" s="6" t="n">
        <v>13</v>
      </c>
      <c r="B15" s="7" t="s">
        <v>77</v>
      </c>
      <c r="C15" s="7" t="s">
        <v>28</v>
      </c>
      <c r="D15" s="7" t="s">
        <v>78</v>
      </c>
      <c r="E15" s="6" t="n">
        <v>1</v>
      </c>
      <c r="F15" s="6" t="n">
        <v>1</v>
      </c>
      <c r="G15" s="6"/>
      <c r="H15" s="6" t="n">
        <v>1</v>
      </c>
      <c r="I15" s="6"/>
      <c r="J15" s="6" t="n">
        <v>1</v>
      </c>
      <c r="K15" s="5" t="n">
        <v>1</v>
      </c>
      <c r="L15" s="6" t="n">
        <v>1</v>
      </c>
      <c r="M15" s="5" t="n">
        <f aca="false">ROUND(AVERAGE(E15,F15,H15,J15,K15,L15),0)</f>
        <v>1</v>
      </c>
      <c r="N15" s="5" t="str">
        <f aca="false">IF(M15&gt;6,"TEA",IF(M15&gt;3,"TEP","TED"))</f>
        <v>TED</v>
      </c>
      <c r="O15" s="1" t="n">
        <v>1</v>
      </c>
      <c r="P15" s="1" t="n">
        <f aca="false">IF(AND(M15&gt;6,O15&gt;6),ROUND((M15+O15)/2,0),MIN(M15,O15))</f>
        <v>1</v>
      </c>
      <c r="Q15" s="5" t="str">
        <f aca="false">IF(P15&gt;6,"TEA",IF(P15&gt;3,"TEP","TED"))</f>
        <v>TED</v>
      </c>
      <c r="R15" s="5"/>
      <c r="S15" s="5"/>
      <c r="T15" s="5"/>
      <c r="U15" s="5"/>
      <c r="V15" s="5"/>
      <c r="W15" s="6" t="n">
        <v>1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WWE15" s="6"/>
      <c r="WWF15" s="6"/>
      <c r="WWG15" s="6"/>
      <c r="WWH15" s="6"/>
      <c r="WWI15" s="6"/>
      <c r="WWJ15" s="6"/>
      <c r="WWK15" s="6"/>
      <c r="WWL15" s="6"/>
      <c r="WWM15" s="6"/>
      <c r="WWN15" s="6"/>
      <c r="WWO15" s="6"/>
      <c r="WWP15" s="6"/>
      <c r="WWQ15" s="6"/>
      <c r="WWR15" s="6"/>
      <c r="WWS15" s="6"/>
      <c r="WWT15" s="6"/>
      <c r="WWU15" s="6"/>
      <c r="WWV15" s="6"/>
      <c r="WWW15" s="6"/>
      <c r="WWX15" s="6"/>
      <c r="WWY15" s="6"/>
      <c r="WWZ15" s="6"/>
      <c r="WXA15" s="6"/>
      <c r="WXB15" s="6"/>
      <c r="WXC15" s="6"/>
      <c r="WXD15" s="6"/>
      <c r="WXE15" s="6"/>
      <c r="WXF15" s="6"/>
      <c r="WXG15" s="6"/>
      <c r="WXH15" s="6"/>
      <c r="WXI15" s="6"/>
      <c r="WXJ15" s="6"/>
      <c r="WXK15" s="6"/>
      <c r="WXL15" s="6"/>
      <c r="WXM15" s="6"/>
      <c r="WXN15" s="6"/>
      <c r="WXO15" s="6"/>
      <c r="WXP15" s="6"/>
      <c r="WXQ15" s="6"/>
      <c r="WXR15" s="6"/>
      <c r="WXS15" s="6"/>
      <c r="WXT15" s="6"/>
      <c r="WXU15" s="6"/>
      <c r="WXV15" s="6"/>
      <c r="WXW15" s="6"/>
      <c r="WXX15" s="6"/>
      <c r="WXY15" s="6"/>
      <c r="WXZ15" s="6"/>
      <c r="WYA15" s="6"/>
      <c r="WYB15" s="6"/>
      <c r="WYC15" s="6"/>
      <c r="WYD15" s="6"/>
      <c r="WYE15" s="6"/>
      <c r="WYF15" s="6"/>
    </row>
    <row r="16" s="1" customFormat="true" ht="15" hidden="false" customHeight="false" outlineLevel="0" collapsed="false">
      <c r="A16" s="1" t="n">
        <v>14</v>
      </c>
      <c r="B16" s="2" t="s">
        <v>79</v>
      </c>
      <c r="C16" s="2" t="s">
        <v>29</v>
      </c>
      <c r="D16" s="2" t="s">
        <v>80</v>
      </c>
      <c r="E16" s="5" t="n">
        <v>8</v>
      </c>
      <c r="F16" s="5" t="n">
        <v>9</v>
      </c>
      <c r="G16" s="5"/>
      <c r="H16" s="5" t="n">
        <v>10</v>
      </c>
      <c r="I16" s="5"/>
      <c r="J16" s="5" t="n">
        <v>10</v>
      </c>
      <c r="K16" s="5" t="n">
        <v>6.9</v>
      </c>
      <c r="L16" s="5" t="n">
        <v>9</v>
      </c>
      <c r="M16" s="5" t="n">
        <f aca="false">ROUND(AVERAGE(E16,F16,H16,J16,K16,L16),0)</f>
        <v>9</v>
      </c>
      <c r="N16" s="5" t="str">
        <f aca="false">IF(M16&gt;6,"TEA",IF(M16&gt;3,"TEP","TED"))</f>
        <v>TEA</v>
      </c>
      <c r="O16" s="1" t="n">
        <v>8</v>
      </c>
      <c r="P16" s="1" t="n">
        <f aca="false">IF(AND(M16&gt;6,O16&gt;6),ROUND((M16+O16)/2,0),MIN(M16,O16))</f>
        <v>9</v>
      </c>
      <c r="Q16" s="5" t="str">
        <f aca="false">IF(P16&gt;6,"TEA",IF(P16&gt;3,"TEP","TED"))</f>
        <v>TEA</v>
      </c>
      <c r="R16" s="5"/>
      <c r="S16" s="5"/>
      <c r="T16" s="5"/>
      <c r="U16" s="5"/>
      <c r="V16" s="5"/>
      <c r="W16" s="1" t="n">
        <v>10</v>
      </c>
    </row>
    <row r="17" s="1" customFormat="true" ht="15" hidden="false" customHeight="false" outlineLevel="0" collapsed="false">
      <c r="A17" s="1" t="n">
        <v>15</v>
      </c>
      <c r="B17" s="2" t="s">
        <v>81</v>
      </c>
      <c r="C17" s="2" t="s">
        <v>30</v>
      </c>
      <c r="D17" s="2" t="s">
        <v>82</v>
      </c>
      <c r="E17" s="5" t="n">
        <v>10</v>
      </c>
      <c r="F17" s="5" t="n">
        <v>5</v>
      </c>
      <c r="G17" s="5"/>
      <c r="H17" s="5" t="n">
        <v>9</v>
      </c>
      <c r="I17" s="5"/>
      <c r="J17" s="5" t="n">
        <v>4</v>
      </c>
      <c r="K17" s="5" t="n">
        <v>10</v>
      </c>
      <c r="L17" s="5" t="n">
        <v>10</v>
      </c>
      <c r="M17" s="5" t="n">
        <f aca="false">ROUND(AVERAGE(E17,F17,H17,J17,K17,L17),0)</f>
        <v>8</v>
      </c>
      <c r="N17" s="5" t="str">
        <f aca="false">IF(M17&gt;6,"TEA",IF(M17&gt;3,"TEP","TED"))</f>
        <v>TEA</v>
      </c>
      <c r="O17" s="1" t="n">
        <v>8</v>
      </c>
      <c r="P17" s="1" t="n">
        <f aca="false">IF(AND(M17&gt;6,O17&gt;6),ROUND((M17+O17)/2,0),MIN(M17,O17))</f>
        <v>8</v>
      </c>
      <c r="Q17" s="5" t="str">
        <f aca="false">IF(P17&gt;6,"TEA",IF(P17&gt;3,"TEP","TED"))</f>
        <v>TEA</v>
      </c>
      <c r="R17" s="5" t="s">
        <v>83</v>
      </c>
      <c r="S17" s="5"/>
      <c r="T17" s="5"/>
      <c r="U17" s="5"/>
      <c r="V17" s="5"/>
      <c r="W17" s="1" t="n">
        <v>10</v>
      </c>
    </row>
    <row r="18" s="7" customFormat="true" ht="15" hidden="false" customHeight="false" outlineLevel="0" collapsed="false">
      <c r="A18" s="6" t="n">
        <v>16</v>
      </c>
      <c r="B18" s="7" t="s">
        <v>84</v>
      </c>
      <c r="C18" s="7" t="s">
        <v>31</v>
      </c>
      <c r="D18" s="7" t="s">
        <v>85</v>
      </c>
      <c r="E18" s="6" t="n">
        <v>1</v>
      </c>
      <c r="F18" s="6" t="n">
        <v>10</v>
      </c>
      <c r="G18" s="6"/>
      <c r="H18" s="6" t="n">
        <v>1</v>
      </c>
      <c r="I18" s="6"/>
      <c r="J18" s="6" t="n">
        <v>1</v>
      </c>
      <c r="K18" s="5" t="n">
        <v>1</v>
      </c>
      <c r="L18" s="6" t="n">
        <v>1</v>
      </c>
      <c r="M18" s="5" t="n">
        <f aca="false">ROUND(AVERAGE(E18,F18,H18,J18,K18,L18),0)</f>
        <v>3</v>
      </c>
      <c r="N18" s="5" t="str">
        <f aca="false">IF(M18&gt;6,"TEA",IF(M18&gt;3,"TEP","TED"))</f>
        <v>TED</v>
      </c>
      <c r="O18" s="1" t="n">
        <v>1</v>
      </c>
      <c r="P18" s="1" t="n">
        <f aca="false">IF(AND(M18&gt;6,O18&gt;6),ROUND((M18+O18)/2,0),MIN(M18,O18))</f>
        <v>1</v>
      </c>
      <c r="Q18" s="5" t="str">
        <f aca="false">IF(P18&gt;6,"TEA",IF(P18&gt;3,"TEP","TED"))</f>
        <v>TED</v>
      </c>
      <c r="R18" s="5"/>
      <c r="S18" s="5"/>
      <c r="T18" s="5"/>
      <c r="U18" s="5"/>
      <c r="V18" s="5"/>
      <c r="W18" s="6" t="n">
        <v>1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WWE18" s="6"/>
      <c r="WWF18" s="6"/>
      <c r="WWG18" s="6"/>
      <c r="WWH18" s="6"/>
      <c r="WWI18" s="6"/>
      <c r="WWJ18" s="6"/>
      <c r="WWK18" s="6"/>
      <c r="WWL18" s="6"/>
      <c r="WWM18" s="6"/>
      <c r="WWN18" s="6"/>
      <c r="WWO18" s="6"/>
      <c r="WWP18" s="6"/>
      <c r="WWQ18" s="6"/>
      <c r="WWR18" s="6"/>
      <c r="WWS18" s="6"/>
      <c r="WWT18" s="6"/>
      <c r="WWU18" s="6"/>
      <c r="WWV18" s="6"/>
      <c r="WWW18" s="6"/>
      <c r="WWX18" s="6"/>
      <c r="WWY18" s="6"/>
      <c r="WWZ18" s="6"/>
      <c r="WXA18" s="6"/>
      <c r="WXB18" s="6"/>
      <c r="WXC18" s="6"/>
      <c r="WXD18" s="6"/>
      <c r="WXE18" s="6"/>
      <c r="WXF18" s="6"/>
      <c r="WXG18" s="6"/>
      <c r="WXH18" s="6"/>
      <c r="WXI18" s="6"/>
      <c r="WXJ18" s="6"/>
      <c r="WXK18" s="6"/>
      <c r="WXL18" s="6"/>
      <c r="WXM18" s="6"/>
      <c r="WXN18" s="6"/>
      <c r="WXO18" s="6"/>
      <c r="WXP18" s="6"/>
      <c r="WXQ18" s="6"/>
      <c r="WXR18" s="6"/>
      <c r="WXS18" s="6"/>
      <c r="WXT18" s="6"/>
      <c r="WXU18" s="6"/>
      <c r="WXV18" s="6"/>
      <c r="WXW18" s="6"/>
      <c r="WXX18" s="6"/>
      <c r="WXY18" s="6"/>
      <c r="WXZ18" s="6"/>
      <c r="WYA18" s="6"/>
      <c r="WYB18" s="6"/>
      <c r="WYC18" s="6"/>
      <c r="WYD18" s="6"/>
      <c r="WYE18" s="6"/>
      <c r="WYF18" s="6"/>
    </row>
    <row r="19" s="7" customFormat="true" ht="15" hidden="false" customHeight="false" outlineLevel="0" collapsed="false">
      <c r="A19" s="6" t="n">
        <v>17</v>
      </c>
      <c r="B19" s="7" t="s">
        <v>86</v>
      </c>
      <c r="C19" s="7" t="s">
        <v>32</v>
      </c>
      <c r="D19" s="7" t="s">
        <v>87</v>
      </c>
      <c r="E19" s="6" t="n">
        <v>1</v>
      </c>
      <c r="F19" s="6" t="n">
        <v>1</v>
      </c>
      <c r="G19" s="6"/>
      <c r="H19" s="6" t="n">
        <v>1</v>
      </c>
      <c r="I19" s="6"/>
      <c r="J19" s="6" t="n">
        <v>1</v>
      </c>
      <c r="K19" s="5" t="n">
        <v>1</v>
      </c>
      <c r="L19" s="6" t="n">
        <v>1</v>
      </c>
      <c r="M19" s="5" t="n">
        <f aca="false">ROUND(AVERAGE(E19,F19,H19,J19,K19,L19),0)</f>
        <v>1</v>
      </c>
      <c r="N19" s="5" t="str">
        <f aca="false">IF(M19&gt;6,"TEA",IF(M19&gt;3,"TEP","TED"))</f>
        <v>TED</v>
      </c>
      <c r="O19" s="1" t="n">
        <v>1</v>
      </c>
      <c r="P19" s="1" t="n">
        <f aca="false">IF(AND(M19&gt;6,O19&gt;6),ROUND((M19+O19)/2,0),MIN(M19,O19))</f>
        <v>1</v>
      </c>
      <c r="Q19" s="5" t="str">
        <f aca="false">IF(P19&gt;6,"TEA",IF(P19&gt;3,"TEP","TED"))</f>
        <v>TED</v>
      </c>
      <c r="R19" s="5"/>
      <c r="S19" s="5"/>
      <c r="T19" s="5"/>
      <c r="U19" s="5"/>
      <c r="V19" s="5"/>
      <c r="W19" s="6" t="n">
        <v>1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WWE19" s="6"/>
      <c r="WWF19" s="6"/>
      <c r="WWG19" s="6"/>
      <c r="WWH19" s="6"/>
      <c r="WWI19" s="6"/>
      <c r="WWJ19" s="6"/>
      <c r="WWK19" s="6"/>
      <c r="WWL19" s="6"/>
      <c r="WWM19" s="6"/>
      <c r="WWN19" s="6"/>
      <c r="WWO19" s="6"/>
      <c r="WWP19" s="6"/>
      <c r="WWQ19" s="6"/>
      <c r="WWR19" s="6"/>
      <c r="WWS19" s="6"/>
      <c r="WWT19" s="6"/>
      <c r="WWU19" s="6"/>
      <c r="WWV19" s="6"/>
      <c r="WWW19" s="6"/>
      <c r="WWX19" s="6"/>
      <c r="WWY19" s="6"/>
      <c r="WWZ19" s="6"/>
      <c r="WXA19" s="6"/>
      <c r="WXB19" s="6"/>
      <c r="WXC19" s="6"/>
      <c r="WXD19" s="6"/>
      <c r="WXE19" s="6"/>
      <c r="WXF19" s="6"/>
      <c r="WXG19" s="6"/>
      <c r="WXH19" s="6"/>
      <c r="WXI19" s="6"/>
      <c r="WXJ19" s="6"/>
      <c r="WXK19" s="6"/>
      <c r="WXL19" s="6"/>
      <c r="WXM19" s="6"/>
      <c r="WXN19" s="6"/>
      <c r="WXO19" s="6"/>
      <c r="WXP19" s="6"/>
      <c r="WXQ19" s="6"/>
      <c r="WXR19" s="6"/>
      <c r="WXS19" s="6"/>
      <c r="WXT19" s="6"/>
      <c r="WXU19" s="6"/>
      <c r="WXV19" s="6"/>
      <c r="WXW19" s="6"/>
      <c r="WXX19" s="6"/>
      <c r="WXY19" s="6"/>
      <c r="WXZ19" s="6"/>
      <c r="WYA19" s="6"/>
      <c r="WYB19" s="6"/>
      <c r="WYC19" s="6"/>
      <c r="WYD19" s="6"/>
      <c r="WYE19" s="6"/>
      <c r="WYF19" s="6"/>
    </row>
    <row r="20" s="1" customFormat="true" ht="15" hidden="false" customHeight="false" outlineLevel="0" collapsed="false">
      <c r="A20" s="1" t="n">
        <v>18</v>
      </c>
      <c r="B20" s="2" t="s">
        <v>88</v>
      </c>
      <c r="C20" s="2" t="s">
        <v>33</v>
      </c>
      <c r="D20" s="2" t="s">
        <v>89</v>
      </c>
      <c r="E20" s="5" t="n">
        <v>10</v>
      </c>
      <c r="F20" s="5" t="n">
        <v>8</v>
      </c>
      <c r="G20" s="3" t="n">
        <v>46170</v>
      </c>
      <c r="H20" s="5" t="n">
        <v>10</v>
      </c>
      <c r="I20" s="5"/>
      <c r="J20" s="5" t="n">
        <v>1</v>
      </c>
      <c r="K20" s="5" t="n">
        <v>3.5</v>
      </c>
      <c r="L20" s="5" t="n">
        <v>7</v>
      </c>
      <c r="M20" s="5" t="n">
        <f aca="false">ROUND(AVERAGE(E20,F20,H20,J20,K20,L20),0)</f>
        <v>7</v>
      </c>
      <c r="N20" s="5" t="str">
        <f aca="false">IF(M20&gt;6,"TEA",IF(M20&gt;3,"TEP","TED"))</f>
        <v>TEA</v>
      </c>
      <c r="O20" s="1" t="n">
        <v>8</v>
      </c>
      <c r="P20" s="1" t="n">
        <f aca="false">IF(AND(M20&gt;6,O20&gt;6),ROUND((M20+O20)/2,0),MIN(M20,O20))</f>
        <v>8</v>
      </c>
      <c r="Q20" s="5" t="str">
        <f aca="false">IF(P20&gt;6,"TEA",IF(P20&gt;3,"TEP","TED"))</f>
        <v>TEA</v>
      </c>
      <c r="R20" s="5"/>
      <c r="S20" s="5"/>
      <c r="T20" s="5"/>
      <c r="U20" s="5"/>
      <c r="V20" s="5"/>
      <c r="W20" s="1" t="n">
        <v>10</v>
      </c>
    </row>
    <row r="21" s="1" customFormat="true" ht="15" hidden="false" customHeight="false" outlineLevel="0" collapsed="false">
      <c r="A21" s="1" t="n">
        <v>19</v>
      </c>
      <c r="B21" s="2" t="s">
        <v>90</v>
      </c>
      <c r="C21" s="2" t="s">
        <v>34</v>
      </c>
      <c r="D21" s="2" t="s">
        <v>91</v>
      </c>
      <c r="E21" s="5" t="n">
        <v>7</v>
      </c>
      <c r="F21" s="5" t="n">
        <v>8</v>
      </c>
      <c r="G21" s="5"/>
      <c r="H21" s="5" t="n">
        <v>10</v>
      </c>
      <c r="I21" s="5"/>
      <c r="J21" s="5" t="n">
        <v>5</v>
      </c>
      <c r="K21" s="5" t="n">
        <v>8</v>
      </c>
      <c r="L21" s="5" t="n">
        <v>8</v>
      </c>
      <c r="M21" s="5" t="n">
        <f aca="false">ROUND(AVERAGE(E21,F21,H21,J21,K21,L21),0)</f>
        <v>8</v>
      </c>
      <c r="N21" s="5" t="str">
        <f aca="false">IF(M21&gt;6,"TEA",IF(M21&gt;3,"TEP","TED"))</f>
        <v>TEA</v>
      </c>
      <c r="O21" s="1" t="n">
        <v>8</v>
      </c>
      <c r="P21" s="1" t="n">
        <f aca="false">IF(AND(M21&gt;6,O21&gt;6),ROUND((M21+O21)/2,0),MIN(M21,O21))</f>
        <v>8</v>
      </c>
      <c r="Q21" s="5" t="str">
        <f aca="false">IF(P21&gt;6,"TEA",IF(P21&gt;3,"TEP","TED"))</f>
        <v>TEA</v>
      </c>
      <c r="R21" s="5"/>
      <c r="S21" s="5"/>
      <c r="T21" s="5"/>
      <c r="U21" s="5"/>
      <c r="V21" s="5"/>
      <c r="W21" s="1" t="n">
        <v>10</v>
      </c>
    </row>
    <row r="22" s="1" customFormat="true" ht="15" hidden="false" customHeight="false" outlineLevel="0" collapsed="false">
      <c r="A22" s="1" t="n">
        <v>20</v>
      </c>
      <c r="B22" s="2" t="s">
        <v>92</v>
      </c>
      <c r="C22" s="2" t="s">
        <v>35</v>
      </c>
      <c r="D22" s="2" t="s">
        <v>93</v>
      </c>
      <c r="E22" s="5" t="n">
        <v>10</v>
      </c>
      <c r="F22" s="5" t="n">
        <v>10</v>
      </c>
      <c r="G22" s="5"/>
      <c r="H22" s="5" t="n">
        <v>9</v>
      </c>
      <c r="I22" s="5"/>
      <c r="J22" s="5" t="n">
        <v>10</v>
      </c>
      <c r="K22" s="5" t="n">
        <v>10</v>
      </c>
      <c r="L22" s="5" t="n">
        <v>9</v>
      </c>
      <c r="M22" s="5" t="n">
        <f aca="false">ROUND(AVERAGE(E22,F22,H22,J22,K22,L22),0)</f>
        <v>10</v>
      </c>
      <c r="N22" s="5" t="str">
        <f aca="false">IF(M22&gt;6,"TEA",IF(M22&gt;3,"TEP","TED"))</f>
        <v>TEA</v>
      </c>
      <c r="O22" s="1" t="n">
        <v>8</v>
      </c>
      <c r="P22" s="1" t="n">
        <f aca="false">IF(AND(M22&gt;6,O22&gt;6),ROUND((M22+O22)/2,0),MIN(M22,O22))</f>
        <v>9</v>
      </c>
      <c r="Q22" s="5" t="str">
        <f aca="false">IF(P22&gt;6,"TEA",IF(P22&gt;3,"TEP","TED"))</f>
        <v>TEA</v>
      </c>
      <c r="R22" s="5"/>
      <c r="S22" s="5"/>
      <c r="T22" s="5"/>
      <c r="U22" s="5"/>
      <c r="V22" s="5"/>
      <c r="W22" s="1" t="n">
        <v>10</v>
      </c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2"/>
    </row>
    <row r="23" s="7" customFormat="true" ht="15" hidden="false" customHeight="false" outlineLevel="0" collapsed="false">
      <c r="A23" s="6" t="n">
        <v>21</v>
      </c>
      <c r="B23" s="7" t="s">
        <v>94</v>
      </c>
      <c r="C23" s="7" t="s">
        <v>36</v>
      </c>
      <c r="D23" s="7" t="s">
        <v>95</v>
      </c>
      <c r="E23" s="6" t="n">
        <v>1</v>
      </c>
      <c r="F23" s="6" t="n">
        <v>1</v>
      </c>
      <c r="G23" s="6"/>
      <c r="H23" s="6" t="n">
        <v>1</v>
      </c>
      <c r="I23" s="6"/>
      <c r="J23" s="6" t="n">
        <v>1</v>
      </c>
      <c r="K23" s="6" t="n">
        <v>1</v>
      </c>
      <c r="L23" s="6" t="n">
        <v>2</v>
      </c>
      <c r="M23" s="6" t="n">
        <f aca="false">ROUND(AVERAGE(E23,F23,H23,J23,K23,L23),0)</f>
        <v>1</v>
      </c>
      <c r="N23" s="6" t="str">
        <f aca="false">IF(M23&gt;6,"TEA",IF(M23&gt;3,"TEP","TED"))</f>
        <v>TED</v>
      </c>
      <c r="O23" s="1" t="n">
        <v>1</v>
      </c>
      <c r="P23" s="1" t="n">
        <f aca="false">IF(AND(M23&gt;6,O23&gt;6),ROUND((M23+O23)/2,0),MIN(M23,O23))</f>
        <v>1</v>
      </c>
      <c r="Q23" s="5" t="str">
        <f aca="false">IF(P23&gt;6,"TEA",IF(P23&gt;3,"TEP","TED"))</f>
        <v>TED</v>
      </c>
      <c r="R23" s="5"/>
      <c r="S23" s="5"/>
      <c r="T23" s="5"/>
      <c r="U23" s="5"/>
      <c r="V23" s="5"/>
      <c r="W23" s="6" t="n">
        <v>1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WWE23" s="6"/>
      <c r="WWF23" s="6"/>
      <c r="WWG23" s="6"/>
      <c r="WWH23" s="6"/>
      <c r="WWI23" s="6"/>
      <c r="WWJ23" s="6"/>
      <c r="WWK23" s="6"/>
      <c r="WWL23" s="6"/>
      <c r="WWM23" s="6"/>
      <c r="WWN23" s="6"/>
      <c r="WWO23" s="6"/>
      <c r="WWP23" s="6"/>
      <c r="WWQ23" s="6"/>
      <c r="WWR23" s="6"/>
      <c r="WWS23" s="6"/>
      <c r="WWT23" s="6"/>
      <c r="WWU23" s="6"/>
      <c r="WWV23" s="6"/>
      <c r="WWW23" s="6"/>
      <c r="WWX23" s="6"/>
      <c r="WWY23" s="6"/>
      <c r="WWZ23" s="6"/>
      <c r="WXA23" s="6"/>
      <c r="WXB23" s="6"/>
      <c r="WXC23" s="6"/>
      <c r="WXD23" s="6"/>
      <c r="WXE23" s="6"/>
      <c r="WXF23" s="6"/>
      <c r="WXG23" s="6"/>
      <c r="WXH23" s="6"/>
      <c r="WXI23" s="6"/>
      <c r="WXJ23" s="6"/>
      <c r="WXK23" s="6"/>
      <c r="WXL23" s="6"/>
      <c r="WXM23" s="6"/>
      <c r="WXN23" s="6"/>
      <c r="WXO23" s="6"/>
      <c r="WXP23" s="6"/>
      <c r="WXQ23" s="6"/>
      <c r="WXR23" s="6"/>
      <c r="WXS23" s="6"/>
      <c r="WXT23" s="6"/>
      <c r="WXU23" s="6"/>
      <c r="WXV23" s="6"/>
      <c r="WXW23" s="6"/>
      <c r="WXX23" s="6"/>
      <c r="WXY23" s="6"/>
      <c r="WXZ23" s="6"/>
      <c r="WYA23" s="6"/>
      <c r="WYB23" s="6"/>
      <c r="WYC23" s="6"/>
      <c r="WYD23" s="6"/>
      <c r="WYE23" s="6"/>
      <c r="WYF23" s="6"/>
      <c r="WYG23" s="6"/>
      <c r="WYH23" s="6"/>
      <c r="WYI23" s="6"/>
      <c r="WYJ23" s="6"/>
      <c r="WYK23" s="6"/>
      <c r="WYL23" s="6"/>
      <c r="WYM23" s="6"/>
      <c r="WYN23" s="6"/>
      <c r="WYO23" s="6"/>
      <c r="WYP23" s="6"/>
      <c r="WYQ23" s="6"/>
      <c r="WYR23" s="6"/>
      <c r="WYS23" s="6"/>
      <c r="WYT23" s="6"/>
      <c r="WYU23" s="6"/>
      <c r="WYV23" s="6"/>
      <c r="WYW23" s="6"/>
      <c r="WYX23" s="6"/>
      <c r="WYY23" s="6"/>
      <c r="WYZ23" s="6"/>
      <c r="WZA23" s="6"/>
      <c r="WZB23" s="6"/>
      <c r="WZC23" s="6"/>
      <c r="WZD23" s="6"/>
      <c r="WZE23" s="6"/>
      <c r="WZF23" s="6"/>
      <c r="WZG23" s="6"/>
      <c r="WZH23" s="6"/>
      <c r="WZI23" s="6"/>
      <c r="WZJ23" s="6"/>
      <c r="WZK23" s="6"/>
      <c r="WZL23" s="6"/>
      <c r="WZM23" s="6"/>
      <c r="WZN23" s="6"/>
      <c r="WZO23" s="6"/>
      <c r="WZP23" s="6"/>
      <c r="WZQ23" s="6"/>
      <c r="WZR23" s="6"/>
      <c r="WZS23" s="6"/>
      <c r="WZT23" s="6"/>
      <c r="WZU23" s="6"/>
      <c r="WZV23" s="6"/>
      <c r="WZW23" s="6"/>
      <c r="WZX23" s="6"/>
      <c r="WZY23" s="6"/>
      <c r="WZZ23" s="6"/>
      <c r="XAA23" s="6"/>
      <c r="XAB23" s="6"/>
      <c r="XAC23" s="6"/>
      <c r="XAD23" s="6"/>
      <c r="XAE23" s="6"/>
      <c r="XAF23" s="6"/>
      <c r="XAG23" s="6"/>
      <c r="XAH23" s="6"/>
      <c r="XAI23" s="6"/>
      <c r="XAJ23" s="6"/>
      <c r="XAK23" s="6"/>
      <c r="XAL23" s="6"/>
      <c r="XAM23" s="6"/>
      <c r="XAN23" s="6"/>
      <c r="XAO23" s="6"/>
      <c r="XAP23" s="6"/>
      <c r="XAQ23" s="6"/>
      <c r="XAR23" s="6"/>
      <c r="XAS23" s="6"/>
      <c r="XAT23" s="6"/>
      <c r="XAU23" s="6"/>
      <c r="XAV23" s="6"/>
      <c r="XAW23" s="6"/>
      <c r="XAX23" s="6"/>
      <c r="XAY23" s="6"/>
      <c r="XAZ23" s="6"/>
      <c r="XBA23" s="6"/>
      <c r="XBB23" s="6"/>
      <c r="XBC23" s="6"/>
      <c r="XBD23" s="6"/>
      <c r="XBE23" s="6"/>
      <c r="XBF23" s="6"/>
      <c r="XBG23" s="6"/>
      <c r="XBH23" s="6"/>
      <c r="XBI23" s="6"/>
      <c r="XBJ23" s="6"/>
      <c r="XBK23" s="6"/>
      <c r="XBL23" s="6"/>
      <c r="XBM23" s="6"/>
      <c r="XBN23" s="6"/>
      <c r="XBO23" s="6"/>
      <c r="XBP23" s="6"/>
      <c r="XBQ23" s="6"/>
      <c r="XBR23" s="6"/>
      <c r="XBS23" s="6"/>
      <c r="XBT23" s="6"/>
      <c r="XBU23" s="6"/>
      <c r="XBV23" s="6"/>
      <c r="XBW23" s="6"/>
      <c r="XBX23" s="6"/>
      <c r="XBY23" s="6"/>
      <c r="XBZ23" s="6"/>
      <c r="XCA23" s="6"/>
      <c r="XCB23" s="6"/>
      <c r="XCC23" s="6"/>
      <c r="XCD23" s="6"/>
      <c r="XCE23" s="6"/>
      <c r="XCF23" s="6"/>
      <c r="XCG23" s="6"/>
      <c r="XCH23" s="6"/>
      <c r="XCI23" s="6"/>
      <c r="XCJ23" s="6"/>
      <c r="XCK23" s="6"/>
      <c r="XCL23" s="6"/>
      <c r="XCM23" s="6"/>
      <c r="XCN23" s="6"/>
      <c r="XCO23" s="6"/>
      <c r="XCP23" s="6"/>
      <c r="XCQ23" s="6"/>
      <c r="XCR23" s="6"/>
      <c r="XCS23" s="6"/>
      <c r="XCT23" s="6"/>
      <c r="XCU23" s="6"/>
      <c r="XCV23" s="6"/>
      <c r="XCW23" s="6"/>
      <c r="XCX23" s="6"/>
      <c r="XCY23" s="6"/>
      <c r="XCZ23" s="6"/>
      <c r="XDA23" s="6"/>
      <c r="XDB23" s="6"/>
      <c r="XDC23" s="6"/>
      <c r="XDD23" s="6"/>
      <c r="XDE23" s="6"/>
      <c r="XDF23" s="6"/>
      <c r="XDG23" s="6"/>
      <c r="XDH23" s="6"/>
      <c r="XDI23" s="6"/>
      <c r="XDJ23" s="6"/>
      <c r="XDK23" s="6"/>
      <c r="XDL23" s="6"/>
      <c r="XDM23" s="6"/>
      <c r="XDN23" s="6"/>
      <c r="XDO23" s="6"/>
      <c r="XDP23" s="6"/>
      <c r="XDQ23" s="6"/>
      <c r="XDR23" s="6"/>
      <c r="XDS23" s="6"/>
      <c r="XDT23" s="6"/>
      <c r="XDU23" s="6"/>
      <c r="XDV23" s="6"/>
      <c r="XDW23" s="6"/>
      <c r="XDX23" s="6"/>
      <c r="XDY23" s="6"/>
      <c r="XDZ23" s="6"/>
      <c r="XEA23" s="6"/>
      <c r="XEB23" s="6"/>
      <c r="XEC23" s="6"/>
      <c r="XED23" s="6"/>
      <c r="XEE23" s="6"/>
      <c r="XEF23" s="6"/>
      <c r="XEG23" s="6"/>
      <c r="XEH23" s="6"/>
      <c r="XEI23" s="6"/>
      <c r="XEJ23" s="6"/>
      <c r="XEK23" s="6"/>
      <c r="XEL23" s="6"/>
      <c r="XEM23" s="6"/>
      <c r="XEN23" s="6"/>
      <c r="XEO23" s="6"/>
      <c r="XEP23" s="6"/>
      <c r="XEQ23" s="6"/>
      <c r="XER23" s="6"/>
      <c r="XES23" s="6"/>
      <c r="XET23" s="6"/>
      <c r="XEU23" s="6"/>
      <c r="XEV23" s="6"/>
      <c r="XEW23" s="6"/>
      <c r="XEX23" s="6"/>
      <c r="XEY23" s="6"/>
      <c r="XEZ23" s="6"/>
      <c r="XFA23" s="6"/>
      <c r="XFB23" s="6"/>
      <c r="XFC23" s="6"/>
      <c r="XFD23" s="6"/>
    </row>
  </sheetData>
  <conditionalFormatting sqref="E3:N23 Q3:V23">
    <cfRule type="cellIs" priority="2" operator="greaterThan" aboveAverage="0" equalAverage="0" bottom="0" percent="0" rank="0" text="" dxfId="0">
      <formula>6</formula>
    </cfRule>
    <cfRule type="cellIs" priority="3" operator="equal" aboveAverage="0" equalAverage="0" bottom="0" percent="0" rank="0" text="" dxfId="6">
      <formula>0</formula>
    </cfRule>
    <cfRule type="cellIs" priority="4" operator="between" aboveAverage="0" equalAverage="0" bottom="0" percent="0" rank="0" text="" dxfId="1">
      <formula>4</formula>
      <formula>6</formula>
    </cfRule>
    <cfRule type="cellIs" priority="5" operator="lessThan" aboveAverage="0" equalAverage="0" bottom="0" percent="0" rank="0" text="" dxfId="2">
      <formula>4</formula>
    </cfRule>
    <cfRule type="cellIs" priority="6" operator="equal" aboveAverage="0" equalAverage="0" bottom="0" percent="0" rank="0" text="" dxfId="0">
      <formula>"TEA"</formula>
    </cfRule>
    <cfRule type="cellIs" priority="7" operator="equal" aboveAverage="0" equalAverage="0" bottom="0" percent="0" rank="0" text="" dxfId="1">
      <formula>"TEP"</formula>
    </cfRule>
    <cfRule type="cellIs" priority="8" operator="equal" aboveAverage="0" equalAverage="0" bottom="0" percent="0" rank="0" text="" dxfId="2">
      <formula>"TED"</formula>
    </cfRule>
  </conditionalFormatting>
  <conditionalFormatting sqref="O3:P23">
    <cfRule type="cellIs" priority="9" operator="greaterThan" aboveAverage="0" equalAverage="0" bottom="0" percent="0" rank="0" text="" dxfId="7">
      <formula>6</formula>
    </cfRule>
    <cfRule type="cellIs" priority="10" operator="between" aboveAverage="0" equalAverage="0" bottom="0" percent="0" rank="0" text="" dxfId="8">
      <formula>4</formula>
      <formula>6</formula>
    </cfRule>
    <cfRule type="cellIs" priority="11" operator="lessThan" aboveAverage="0" equalAverage="0" bottom="0" percent="0" rank="0" text="" dxfId="9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G15" activeCellId="0" sqref="G15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21.05"/>
    <col collapsed="false" customWidth="true" hidden="false" outlineLevel="0" max="3" min="3" style="1" width="19.4"/>
    <col collapsed="false" customWidth="true" hidden="false" outlineLevel="0" max="4" min="4" style="1" width="16.4"/>
  </cols>
  <sheetData>
    <row r="1" customFormat="false" ht="15" hidden="false" customHeight="false" outlineLevel="0" collapsed="false">
      <c r="A1" s="1" t="s">
        <v>1</v>
      </c>
      <c r="B1" s="2" t="s">
        <v>2</v>
      </c>
      <c r="C1" s="1" t="s">
        <v>2</v>
      </c>
      <c r="D1" s="1" t="s">
        <v>96</v>
      </c>
      <c r="E1" s="1" t="s">
        <v>97</v>
      </c>
      <c r="F1" s="1" t="s">
        <v>98</v>
      </c>
      <c r="G1" s="1" t="s">
        <v>99</v>
      </c>
    </row>
    <row r="2" customFormat="false" ht="15" hidden="false" customHeight="false" outlineLevel="0" collapsed="false">
      <c r="A2" s="1" t="n">
        <v>1</v>
      </c>
      <c r="B2" s="2" t="s">
        <v>10</v>
      </c>
      <c r="C2" s="1" t="s">
        <v>10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2" t="s">
        <v>14</v>
      </c>
      <c r="C3" s="1" t="s">
        <v>14</v>
      </c>
      <c r="D3" s="1" t="n">
        <v>5.5</v>
      </c>
      <c r="G3" s="1" t="n">
        <v>5.5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s">
        <v>16</v>
      </c>
      <c r="D4" s="1" t="n">
        <v>9</v>
      </c>
      <c r="E4" s="1" t="n">
        <f aca="false">ROUND(AVERAGE(D4:D5),0)</f>
        <v>7</v>
      </c>
      <c r="F4" s="1" t="n">
        <v>4</v>
      </c>
      <c r="G4" s="1" t="n">
        <f aca="false">MAX(F4,E4)</f>
        <v>7</v>
      </c>
    </row>
    <row r="5" customFormat="false" ht="15" hidden="false" customHeight="false" outlineLevel="0" collapsed="false">
      <c r="C5" s="1" t="s">
        <v>16</v>
      </c>
      <c r="D5" s="1" t="n">
        <v>4</v>
      </c>
    </row>
    <row r="6" customFormat="false" ht="15" hidden="false" customHeight="false" outlineLevel="0" collapsed="false">
      <c r="A6" s="1" t="n">
        <v>4</v>
      </c>
      <c r="B6" s="2" t="s">
        <v>17</v>
      </c>
      <c r="C6" s="1" t="s">
        <v>17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5</v>
      </c>
      <c r="B7" s="2" t="s">
        <v>18</v>
      </c>
      <c r="C7" s="1" t="s">
        <v>18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6</v>
      </c>
      <c r="B8" s="2" t="s">
        <v>19</v>
      </c>
      <c r="C8" s="1" t="s">
        <v>19</v>
      </c>
      <c r="D8" s="1" t="n">
        <v>10</v>
      </c>
      <c r="G8" s="1" t="n">
        <v>10</v>
      </c>
    </row>
    <row r="9" customFormat="false" ht="15" hidden="false" customHeight="false" outlineLevel="0" collapsed="false">
      <c r="A9" s="1" t="n">
        <v>7</v>
      </c>
      <c r="B9" s="2" t="s">
        <v>20</v>
      </c>
      <c r="C9" s="1" t="s">
        <v>20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1" t="n">
        <v>8</v>
      </c>
      <c r="B10" s="2" t="s">
        <v>21</v>
      </c>
      <c r="C10" s="1" t="s">
        <v>21</v>
      </c>
      <c r="D10" s="1" t="n">
        <v>10</v>
      </c>
      <c r="G10" s="1" t="n">
        <v>10</v>
      </c>
    </row>
    <row r="11" customFormat="false" ht="15" hidden="false" customHeight="false" outlineLevel="0" collapsed="false">
      <c r="A11" s="1" t="n">
        <v>9</v>
      </c>
      <c r="B11" s="2" t="s">
        <v>22</v>
      </c>
      <c r="C11" s="1" t="s">
        <v>22</v>
      </c>
      <c r="D11" s="1" t="n">
        <v>10</v>
      </c>
      <c r="G11" s="1" t="n">
        <v>10</v>
      </c>
    </row>
    <row r="12" customFormat="false" ht="15" hidden="false" customHeight="false" outlineLevel="0" collapsed="false">
      <c r="A12" s="6" t="n">
        <v>10</v>
      </c>
      <c r="B12" s="7" t="s">
        <v>23</v>
      </c>
      <c r="D12" s="1" t="n">
        <v>1</v>
      </c>
      <c r="G12" s="1" t="n">
        <v>1</v>
      </c>
    </row>
    <row r="13" customFormat="false" ht="15" hidden="false" customHeight="false" outlineLevel="0" collapsed="false">
      <c r="A13" s="1" t="n">
        <v>11</v>
      </c>
      <c r="B13" s="2" t="s">
        <v>26</v>
      </c>
      <c r="C13" s="1" t="s">
        <v>26</v>
      </c>
      <c r="D13" s="1" t="n">
        <v>9</v>
      </c>
      <c r="G13" s="1" t="n">
        <v>9</v>
      </c>
    </row>
    <row r="14" customFormat="false" ht="15" hidden="false" customHeight="false" outlineLevel="0" collapsed="false">
      <c r="A14" s="1" t="n">
        <v>12</v>
      </c>
      <c r="B14" s="2" t="s">
        <v>27</v>
      </c>
      <c r="C14" s="1" t="s">
        <v>27</v>
      </c>
      <c r="D14" s="1" t="n">
        <v>10</v>
      </c>
      <c r="G14" s="1" t="n">
        <v>10</v>
      </c>
    </row>
    <row r="15" customFormat="false" ht="15" hidden="false" customHeight="false" outlineLevel="0" collapsed="false">
      <c r="A15" s="6" t="n">
        <v>13</v>
      </c>
      <c r="B15" s="7" t="s">
        <v>28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14</v>
      </c>
      <c r="B16" s="2" t="s">
        <v>29</v>
      </c>
      <c r="C16" s="1" t="s">
        <v>29</v>
      </c>
      <c r="D16" s="1" t="n">
        <v>9</v>
      </c>
      <c r="G16" s="1" t="n">
        <v>9</v>
      </c>
    </row>
    <row r="17" customFormat="false" ht="15" hidden="false" customHeight="false" outlineLevel="0" collapsed="false">
      <c r="A17" s="1" t="n">
        <v>15</v>
      </c>
      <c r="B17" s="2" t="s">
        <v>30</v>
      </c>
      <c r="C17" s="1" t="s">
        <v>30</v>
      </c>
      <c r="D17" s="1" t="n">
        <v>6</v>
      </c>
      <c r="E17" s="1" t="n">
        <f aca="false">ROUND(AVERAGE(D17:D21),0)</f>
        <v>5</v>
      </c>
      <c r="F17" s="1" t="n">
        <v>4</v>
      </c>
      <c r="G17" s="1" t="n">
        <f aca="false">MAX(F17,E17)</f>
        <v>5</v>
      </c>
    </row>
    <row r="18" customFormat="false" ht="15" hidden="false" customHeight="false" outlineLevel="0" collapsed="false">
      <c r="C18" s="1" t="s">
        <v>30</v>
      </c>
      <c r="D18" s="1" t="n">
        <v>6</v>
      </c>
    </row>
    <row r="19" customFormat="false" ht="15" hidden="false" customHeight="false" outlineLevel="0" collapsed="false">
      <c r="C19" s="1" t="s">
        <v>30</v>
      </c>
      <c r="D19" s="1" t="n">
        <v>6</v>
      </c>
    </row>
    <row r="20" customFormat="false" ht="15" hidden="false" customHeight="false" outlineLevel="0" collapsed="false">
      <c r="C20" s="1" t="s">
        <v>30</v>
      </c>
      <c r="D20" s="1" t="n">
        <v>4</v>
      </c>
    </row>
    <row r="21" customFormat="false" ht="15" hidden="false" customHeight="false" outlineLevel="0" collapsed="false">
      <c r="C21" s="1" t="s">
        <v>30</v>
      </c>
      <c r="D21" s="1" t="n">
        <v>3</v>
      </c>
    </row>
    <row r="22" customFormat="false" ht="15" hidden="false" customHeight="false" outlineLevel="0" collapsed="false">
      <c r="A22" s="6" t="n">
        <v>16</v>
      </c>
      <c r="B22" s="7" t="s">
        <v>31</v>
      </c>
      <c r="C22" s="1" t="s">
        <v>31</v>
      </c>
      <c r="D22" s="1" t="n">
        <v>10</v>
      </c>
      <c r="G22" s="1" t="n">
        <v>10</v>
      </c>
    </row>
    <row r="23" customFormat="false" ht="15" hidden="false" customHeight="false" outlineLevel="0" collapsed="false">
      <c r="A23" s="6" t="n">
        <v>17</v>
      </c>
      <c r="B23" s="7" t="s">
        <v>32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18</v>
      </c>
      <c r="B24" s="2" t="s">
        <v>33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19</v>
      </c>
      <c r="B25" s="2" t="s">
        <v>34</v>
      </c>
      <c r="C25" s="1" t="s">
        <v>34</v>
      </c>
      <c r="D25" s="1" t="n">
        <v>10</v>
      </c>
      <c r="E25" s="1" t="n">
        <f aca="false">ROUND(AVERAGE(D25:D26),0)</f>
        <v>8</v>
      </c>
      <c r="F25" s="1" t="n">
        <v>6</v>
      </c>
      <c r="G25" s="1" t="n">
        <f aca="false">MAX(F25,E25)</f>
        <v>8</v>
      </c>
    </row>
    <row r="26" customFormat="false" ht="15" hidden="false" customHeight="false" outlineLevel="0" collapsed="false">
      <c r="C26" s="1" t="s">
        <v>34</v>
      </c>
      <c r="D26" s="1" t="n">
        <v>6</v>
      </c>
    </row>
    <row r="27" customFormat="false" ht="15" hidden="false" customHeight="false" outlineLevel="0" collapsed="false">
      <c r="A27" s="1" t="n">
        <v>20</v>
      </c>
      <c r="B27" s="2" t="s">
        <v>35</v>
      </c>
      <c r="C27" s="1" t="s">
        <v>35</v>
      </c>
      <c r="D27" s="1" t="n">
        <v>10</v>
      </c>
      <c r="G27" s="1" t="n">
        <v>10</v>
      </c>
    </row>
    <row r="28" customFormat="false" ht="15" hidden="false" customHeight="false" outlineLevel="0" collapsed="false">
      <c r="A28" s="6" t="n">
        <v>21</v>
      </c>
      <c r="B28" s="7" t="s">
        <v>36</v>
      </c>
      <c r="D28" s="1" t="n">
        <v>1</v>
      </c>
      <c r="G28" s="1" t="n">
        <v>1</v>
      </c>
    </row>
    <row r="29" customFormat="false" ht="15" hidden="false" customHeight="false" outlineLevel="0" collapsed="false">
      <c r="F29" s="1" t="s">
        <v>100</v>
      </c>
      <c r="G29" s="1" t="n">
        <f aca="false">COUNTIF(G2:G28,"&gt;0")</f>
        <v>21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1</v>
      </c>
      <c r="B1" s="2" t="s">
        <v>2</v>
      </c>
      <c r="C1" s="1" t="s">
        <v>2</v>
      </c>
      <c r="D1" s="1" t="s">
        <v>96</v>
      </c>
    </row>
    <row r="2" customFormat="false" ht="15" hidden="false" customHeight="false" outlineLevel="0" collapsed="false">
      <c r="A2" s="1" t="n">
        <v>1</v>
      </c>
      <c r="B2" s="2" t="s">
        <v>10</v>
      </c>
      <c r="D2" s="1" t="n">
        <v>1</v>
      </c>
    </row>
    <row r="3" customFormat="false" ht="15" hidden="false" customHeight="false" outlineLevel="0" collapsed="false">
      <c r="A3" s="1" t="n">
        <v>2</v>
      </c>
      <c r="B3" s="2" t="s">
        <v>14</v>
      </c>
      <c r="C3" s="1" t="s">
        <v>14</v>
      </c>
      <c r="D3" s="1" t="n">
        <v>8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s">
        <v>16</v>
      </c>
      <c r="D4" s="1" t="n">
        <v>7</v>
      </c>
    </row>
    <row r="5" customFormat="false" ht="15" hidden="false" customHeight="false" outlineLevel="0" collapsed="false">
      <c r="A5" s="1" t="n">
        <v>4</v>
      </c>
      <c r="B5" s="2" t="s">
        <v>17</v>
      </c>
      <c r="C5" s="1" t="s">
        <v>17</v>
      </c>
      <c r="D5" s="1" t="n">
        <v>10</v>
      </c>
    </row>
    <row r="6" customFormat="false" ht="15" hidden="false" customHeight="false" outlineLevel="0" collapsed="false">
      <c r="A6" s="1" t="n">
        <v>5</v>
      </c>
      <c r="B6" s="2" t="s">
        <v>18</v>
      </c>
      <c r="D6" s="1" t="n">
        <v>1</v>
      </c>
    </row>
    <row r="7" customFormat="false" ht="15" hidden="false" customHeight="false" outlineLevel="0" collapsed="false">
      <c r="A7" s="1" t="n">
        <v>6</v>
      </c>
      <c r="B7" s="2" t="s">
        <v>19</v>
      </c>
      <c r="C7" s="1" t="s">
        <v>19</v>
      </c>
      <c r="D7" s="1" t="n">
        <v>10</v>
      </c>
    </row>
    <row r="8" customFormat="false" ht="15" hidden="false" customHeight="false" outlineLevel="0" collapsed="false">
      <c r="A8" s="1" t="n">
        <v>7</v>
      </c>
      <c r="B8" s="2" t="s">
        <v>20</v>
      </c>
      <c r="C8" s="1" t="s">
        <v>20</v>
      </c>
      <c r="D8" s="1" t="n">
        <v>8</v>
      </c>
    </row>
    <row r="9" customFormat="false" ht="15" hidden="false" customHeight="false" outlineLevel="0" collapsed="false">
      <c r="A9" s="1" t="n">
        <v>8</v>
      </c>
      <c r="B9" s="2" t="s">
        <v>21</v>
      </c>
      <c r="C9" s="1" t="s">
        <v>21</v>
      </c>
      <c r="D9" s="1" t="n">
        <v>10</v>
      </c>
    </row>
    <row r="10" customFormat="false" ht="15" hidden="false" customHeight="false" outlineLevel="0" collapsed="false">
      <c r="A10" s="1" t="n">
        <v>9</v>
      </c>
      <c r="B10" s="2" t="s">
        <v>22</v>
      </c>
      <c r="C10" s="1" t="s">
        <v>22</v>
      </c>
      <c r="D10" s="1" t="n">
        <v>10</v>
      </c>
    </row>
    <row r="11" customFormat="false" ht="15" hidden="false" customHeight="false" outlineLevel="0" collapsed="false">
      <c r="A11" s="6" t="n">
        <v>10</v>
      </c>
      <c r="B11" s="7" t="s">
        <v>23</v>
      </c>
      <c r="D11" s="1" t="n">
        <v>1</v>
      </c>
    </row>
    <row r="12" customFormat="false" ht="15" hidden="false" customHeight="false" outlineLevel="0" collapsed="false">
      <c r="A12" s="1" t="n">
        <v>11</v>
      </c>
      <c r="B12" s="2" t="s">
        <v>26</v>
      </c>
      <c r="C12" s="1" t="s">
        <v>26</v>
      </c>
      <c r="D12" s="1" t="n">
        <v>10</v>
      </c>
    </row>
    <row r="13" customFormat="false" ht="15" hidden="false" customHeight="false" outlineLevel="0" collapsed="false">
      <c r="A13" s="1" t="n">
        <v>12</v>
      </c>
      <c r="B13" s="2" t="s">
        <v>27</v>
      </c>
      <c r="C13" s="1" t="s">
        <v>27</v>
      </c>
      <c r="D13" s="1" t="n">
        <v>9</v>
      </c>
    </row>
    <row r="14" customFormat="false" ht="15" hidden="false" customHeight="false" outlineLevel="0" collapsed="false">
      <c r="A14" s="6" t="n">
        <v>13</v>
      </c>
      <c r="B14" s="7" t="s">
        <v>28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2" t="s">
        <v>29</v>
      </c>
      <c r="C15" s="1" t="s">
        <v>29</v>
      </c>
      <c r="D15" s="1" t="n">
        <v>10</v>
      </c>
    </row>
    <row r="16" customFormat="false" ht="15" hidden="false" customHeight="false" outlineLevel="0" collapsed="false">
      <c r="A16" s="1" t="n">
        <v>15</v>
      </c>
      <c r="B16" s="2" t="s">
        <v>30</v>
      </c>
      <c r="C16" s="1" t="s">
        <v>30</v>
      </c>
      <c r="D16" s="1" t="n">
        <v>9</v>
      </c>
    </row>
    <row r="17" customFormat="false" ht="15" hidden="false" customHeight="false" outlineLevel="0" collapsed="false">
      <c r="A17" s="6" t="n">
        <v>16</v>
      </c>
      <c r="B17" s="7" t="s">
        <v>31</v>
      </c>
      <c r="D17" s="1" t="n">
        <v>1</v>
      </c>
    </row>
    <row r="18" customFormat="false" ht="15" hidden="false" customHeight="false" outlineLevel="0" collapsed="false">
      <c r="A18" s="6" t="n">
        <v>17</v>
      </c>
      <c r="B18" s="7" t="s">
        <v>32</v>
      </c>
      <c r="D18" s="1" t="n">
        <v>1</v>
      </c>
    </row>
    <row r="19" customFormat="false" ht="15" hidden="false" customHeight="false" outlineLevel="0" collapsed="false">
      <c r="A19" s="1" t="n">
        <v>18</v>
      </c>
      <c r="B19" s="2" t="s">
        <v>33</v>
      </c>
      <c r="C19" s="1" t="s">
        <v>33</v>
      </c>
      <c r="D19" s="1" t="n">
        <v>10</v>
      </c>
    </row>
    <row r="20" customFormat="false" ht="15" hidden="false" customHeight="false" outlineLevel="0" collapsed="false">
      <c r="A20" s="1" t="n">
        <v>19</v>
      </c>
      <c r="B20" s="2" t="s">
        <v>34</v>
      </c>
      <c r="C20" s="1" t="s">
        <v>34</v>
      </c>
      <c r="D20" s="1" t="n">
        <v>10</v>
      </c>
    </row>
    <row r="21" customFormat="false" ht="15" hidden="false" customHeight="false" outlineLevel="0" collapsed="false">
      <c r="A21" s="1" t="n">
        <v>20</v>
      </c>
      <c r="B21" s="2" t="s">
        <v>35</v>
      </c>
      <c r="C21" s="1" t="s">
        <v>35</v>
      </c>
      <c r="D21" s="1" t="n">
        <v>9</v>
      </c>
    </row>
    <row r="22" customFormat="false" ht="15" hidden="false" customHeight="false" outlineLevel="0" collapsed="false">
      <c r="A22" s="6" t="n">
        <v>21</v>
      </c>
      <c r="B22" s="7" t="s">
        <v>36</v>
      </c>
      <c r="D22" s="1" t="n">
        <v>1</v>
      </c>
    </row>
    <row r="23" customFormat="false" ht="15" hidden="false" customHeight="false" outlineLevel="0" collapsed="false">
      <c r="C23" s="1" t="s">
        <v>7</v>
      </c>
      <c r="D23" s="1" t="n">
        <f aca="false">COUNTIF(D2:D22,"&gt;0")</f>
        <v>21</v>
      </c>
    </row>
    <row r="24" customFormat="false" ht="15" hidden="false" customHeight="false" outlineLevel="0" collapsed="false"/>
    <row r="25" customFormat="false" ht="15" hidden="false" customHeight="false" outlineLevel="0" collapsed="false"/>
    <row r="26" customFormat="false" ht="15" hidden="false" customHeight="false" outlineLevel="0" collapsed="false"/>
    <row r="27" customFormat="false" ht="15" hidden="false" customHeight="false" outlineLevel="0" collapsed="false"/>
    <row r="28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9" activeCellId="0" sqref="G29"/>
    </sheetView>
  </sheetViews>
  <sheetFormatPr defaultColWidth="10.58203125" defaultRowHeight="12.8" zeroHeight="false" outlineLevelRow="0" outlineLevelCol="0"/>
  <cols>
    <col collapsed="false" customWidth="true" hidden="false" outlineLevel="0" max="2" min="2" style="1" width="19.94"/>
    <col collapsed="false" customWidth="true" hidden="false" outlineLevel="0" max="3" min="3" style="1" width="18.16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1</v>
      </c>
      <c r="B1" s="2" t="s">
        <v>2</v>
      </c>
      <c r="C1" s="1" t="s">
        <v>2</v>
      </c>
      <c r="D1" s="1" t="s">
        <v>96</v>
      </c>
      <c r="E1" s="1" t="s">
        <v>101</v>
      </c>
      <c r="F1" s="1" t="s">
        <v>102</v>
      </c>
      <c r="G1" s="1" t="s">
        <v>99</v>
      </c>
    </row>
    <row r="2" customFormat="false" ht="15" hidden="false" customHeight="false" outlineLevel="0" collapsed="false">
      <c r="A2" s="1" t="n">
        <v>1</v>
      </c>
      <c r="B2" s="2" t="s">
        <v>10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2" t="s">
        <v>14</v>
      </c>
      <c r="C3" s="1" t="s">
        <v>14</v>
      </c>
      <c r="D3" s="1" t="n">
        <v>7</v>
      </c>
      <c r="G3" s="1" t="n">
        <v>7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s">
        <v>16</v>
      </c>
      <c r="D4" s="1" t="n">
        <v>7</v>
      </c>
      <c r="G4" s="1" t="n">
        <v>7</v>
      </c>
    </row>
    <row r="5" customFormat="false" ht="15" hidden="false" customHeight="false" outlineLevel="0" collapsed="false">
      <c r="A5" s="1" t="n">
        <v>4</v>
      </c>
      <c r="B5" s="2" t="s">
        <v>17</v>
      </c>
      <c r="C5" s="1" t="s">
        <v>17</v>
      </c>
      <c r="D5" s="1" t="n">
        <v>10</v>
      </c>
      <c r="G5" s="1" t="n">
        <v>10</v>
      </c>
    </row>
    <row r="6" customFormat="false" ht="15" hidden="false" customHeight="false" outlineLevel="0" collapsed="false">
      <c r="A6" s="1" t="n">
        <v>5</v>
      </c>
      <c r="B6" s="2" t="s">
        <v>18</v>
      </c>
      <c r="C6" s="1" t="s">
        <v>18</v>
      </c>
      <c r="D6" s="1" t="n">
        <v>7</v>
      </c>
      <c r="G6" s="1" t="n">
        <v>7</v>
      </c>
    </row>
    <row r="7" customFormat="false" ht="15" hidden="false" customHeight="false" outlineLevel="0" collapsed="false">
      <c r="A7" s="1" t="n">
        <v>6</v>
      </c>
      <c r="B7" s="2" t="s">
        <v>19</v>
      </c>
      <c r="C7" s="1" t="s">
        <v>19</v>
      </c>
      <c r="D7" s="1" t="n">
        <v>10</v>
      </c>
      <c r="E7" s="1" t="n">
        <f aca="false">ROUND(AVERAGE(D7:D10),0)</f>
        <v>8</v>
      </c>
      <c r="F7" s="1" t="n">
        <v>9</v>
      </c>
      <c r="G7" s="1" t="n">
        <f aca="false">MAX(F7,E7)</f>
        <v>9</v>
      </c>
    </row>
    <row r="8" customFormat="false" ht="15" hidden="false" customHeight="false" outlineLevel="0" collapsed="false">
      <c r="C8" s="1" t="s">
        <v>19</v>
      </c>
      <c r="D8" s="1" t="n">
        <v>9</v>
      </c>
    </row>
    <row r="9" customFormat="false" ht="15" hidden="false" customHeight="false" outlineLevel="0" collapsed="false">
      <c r="C9" s="1" t="s">
        <v>19</v>
      </c>
      <c r="D9" s="1" t="n">
        <v>7</v>
      </c>
    </row>
    <row r="10" customFormat="false" ht="15" hidden="false" customHeight="false" outlineLevel="0" collapsed="false">
      <c r="C10" s="1" t="s">
        <v>19</v>
      </c>
      <c r="D10" s="1" t="n">
        <v>7</v>
      </c>
    </row>
    <row r="11" customFormat="false" ht="15" hidden="false" customHeight="false" outlineLevel="0" collapsed="false">
      <c r="A11" s="1" t="n">
        <v>7</v>
      </c>
      <c r="B11" s="2" t="s">
        <v>20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8</v>
      </c>
      <c r="B12" s="2" t="s">
        <v>21</v>
      </c>
      <c r="C12" s="1" t="s">
        <v>21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9</v>
      </c>
      <c r="B13" s="2" t="s">
        <v>22</v>
      </c>
      <c r="C13" s="1" t="s">
        <v>22</v>
      </c>
      <c r="D13" s="1" t="n">
        <v>7</v>
      </c>
      <c r="E13" s="1" t="n">
        <f aca="false">ROUND(AVERAGE(D13:D17),0)</f>
        <v>6</v>
      </c>
      <c r="F13" s="1" t="n">
        <v>6</v>
      </c>
      <c r="G13" s="1" t="n">
        <f aca="false">MAX(F13,E13)</f>
        <v>6</v>
      </c>
    </row>
    <row r="14" customFormat="false" ht="15" hidden="false" customHeight="false" outlineLevel="0" collapsed="false">
      <c r="C14" s="1" t="s">
        <v>22</v>
      </c>
      <c r="D14" s="1" t="n">
        <v>7</v>
      </c>
    </row>
    <row r="15" customFormat="false" ht="15" hidden="false" customHeight="false" outlineLevel="0" collapsed="false">
      <c r="C15" s="1" t="s">
        <v>22</v>
      </c>
      <c r="D15" s="1" t="n">
        <v>6</v>
      </c>
    </row>
    <row r="16" customFormat="false" ht="15" hidden="false" customHeight="false" outlineLevel="0" collapsed="false">
      <c r="C16" s="1" t="s">
        <v>22</v>
      </c>
      <c r="D16" s="1" t="n">
        <v>6</v>
      </c>
    </row>
    <row r="17" customFormat="false" ht="15" hidden="false" customHeight="false" outlineLevel="0" collapsed="false">
      <c r="C17" s="1" t="s">
        <v>22</v>
      </c>
      <c r="D17" s="1" t="n">
        <v>6</v>
      </c>
    </row>
    <row r="18" customFormat="false" ht="15" hidden="false" customHeight="false" outlineLevel="0" collapsed="false">
      <c r="A18" s="6" t="n">
        <v>10</v>
      </c>
      <c r="B18" s="7" t="s">
        <v>23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11</v>
      </c>
      <c r="B19" s="2" t="s">
        <v>26</v>
      </c>
      <c r="C19" s="1" t="s">
        <v>26</v>
      </c>
      <c r="D19" s="1" t="n">
        <v>9</v>
      </c>
      <c r="G19" s="1" t="n">
        <v>9</v>
      </c>
    </row>
    <row r="20" customFormat="false" ht="15" hidden="false" customHeight="false" outlineLevel="0" collapsed="false">
      <c r="A20" s="1" t="n">
        <v>12</v>
      </c>
      <c r="B20" s="2" t="s">
        <v>27</v>
      </c>
      <c r="C20" s="1" t="s">
        <v>27</v>
      </c>
      <c r="D20" s="1" t="n">
        <v>9</v>
      </c>
      <c r="G20" s="1" t="n">
        <v>9</v>
      </c>
    </row>
    <row r="21" customFormat="false" ht="15" hidden="false" customHeight="false" outlineLevel="0" collapsed="false">
      <c r="A21" s="6" t="n">
        <v>13</v>
      </c>
      <c r="B21" s="7" t="s">
        <v>28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14</v>
      </c>
      <c r="B22" s="2" t="s">
        <v>29</v>
      </c>
      <c r="C22" s="1" t="s">
        <v>29</v>
      </c>
      <c r="D22" s="1" t="n">
        <v>10</v>
      </c>
      <c r="G22" s="1" t="n">
        <v>10</v>
      </c>
    </row>
    <row r="23" customFormat="false" ht="15" hidden="false" customHeight="false" outlineLevel="0" collapsed="false">
      <c r="A23" s="1" t="n">
        <v>15</v>
      </c>
      <c r="B23" s="2" t="s">
        <v>30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6" t="n">
        <v>16</v>
      </c>
      <c r="B24" s="7" t="s">
        <v>31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6" t="n">
        <v>17</v>
      </c>
      <c r="B25" s="7" t="s">
        <v>32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18</v>
      </c>
      <c r="B26" s="2" t="s">
        <v>33</v>
      </c>
      <c r="D26" s="1" t="n">
        <v>1</v>
      </c>
      <c r="G26" s="1" t="n">
        <v>1</v>
      </c>
    </row>
    <row r="27" customFormat="false" ht="15" hidden="false" customHeight="false" outlineLevel="0" collapsed="false">
      <c r="A27" s="1" t="n">
        <v>19</v>
      </c>
      <c r="B27" s="2" t="s">
        <v>34</v>
      </c>
      <c r="C27" s="1" t="s">
        <v>34</v>
      </c>
      <c r="D27" s="1" t="n">
        <v>5</v>
      </c>
      <c r="G27" s="1" t="n">
        <v>5</v>
      </c>
    </row>
    <row r="28" customFormat="false" ht="15" hidden="false" customHeight="false" outlineLevel="0" collapsed="false">
      <c r="A28" s="1" t="n">
        <v>20</v>
      </c>
      <c r="B28" s="2" t="s">
        <v>35</v>
      </c>
      <c r="C28" s="1" t="s">
        <v>35</v>
      </c>
      <c r="D28" s="1" t="n">
        <v>10</v>
      </c>
      <c r="G28" s="1" t="n">
        <v>10</v>
      </c>
    </row>
    <row r="29" customFormat="false" ht="15" hidden="false" customHeight="false" outlineLevel="0" collapsed="false">
      <c r="A29" s="6" t="n">
        <v>21</v>
      </c>
      <c r="B29" s="7" t="s">
        <v>36</v>
      </c>
      <c r="D29" s="1" t="n">
        <v>1</v>
      </c>
      <c r="G29" s="1" t="n">
        <v>1</v>
      </c>
    </row>
    <row r="30" customFormat="false" ht="15" hidden="false" customHeight="false" outlineLevel="0" collapsed="false">
      <c r="F30" s="1" t="s">
        <v>7</v>
      </c>
      <c r="G30" s="1" t="n">
        <f aca="false">COUNTIF(G2:G29,"&gt;0")</f>
        <v>21</v>
      </c>
    </row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false" outlineLevel="0" collapsed="false"/>
    <row r="36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1</v>
      </c>
      <c r="B1" s="2" t="s">
        <v>2</v>
      </c>
      <c r="C1" s="1" t="s">
        <v>2</v>
      </c>
      <c r="D1" s="1" t="s">
        <v>96</v>
      </c>
    </row>
    <row r="2" customFormat="false" ht="15" hidden="false" customHeight="false" outlineLevel="0" collapsed="false">
      <c r="A2" s="1" t="n">
        <v>1</v>
      </c>
      <c r="B2" s="2" t="s">
        <v>10</v>
      </c>
      <c r="C2" s="1" t="s">
        <v>10</v>
      </c>
      <c r="D2" s="1" t="n">
        <v>7</v>
      </c>
    </row>
    <row r="3" customFormat="false" ht="15" hidden="false" customHeight="false" outlineLevel="0" collapsed="false">
      <c r="A3" s="1" t="n">
        <v>2</v>
      </c>
      <c r="B3" s="2" t="s">
        <v>14</v>
      </c>
      <c r="C3" s="1" t="s">
        <v>14</v>
      </c>
      <c r="D3" s="1" t="n">
        <v>9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s">
        <v>16</v>
      </c>
      <c r="D4" s="1" t="n">
        <v>7</v>
      </c>
    </row>
    <row r="5" customFormat="false" ht="15" hidden="false" customHeight="false" outlineLevel="0" collapsed="false">
      <c r="A5" s="1" t="n">
        <v>4</v>
      </c>
      <c r="B5" s="2" t="s">
        <v>17</v>
      </c>
      <c r="C5" s="1" t="s">
        <v>17</v>
      </c>
      <c r="D5" s="1" t="n">
        <v>9</v>
      </c>
    </row>
    <row r="6" customFormat="false" ht="15" hidden="false" customHeight="false" outlineLevel="0" collapsed="false">
      <c r="A6" s="1" t="n">
        <v>5</v>
      </c>
      <c r="B6" s="2" t="s">
        <v>18</v>
      </c>
      <c r="C6" s="1" t="s">
        <v>18</v>
      </c>
      <c r="D6" s="1" t="n">
        <v>10</v>
      </c>
    </row>
    <row r="7" customFormat="false" ht="15" hidden="false" customHeight="false" outlineLevel="0" collapsed="false">
      <c r="A7" s="1" t="n">
        <v>6</v>
      </c>
      <c r="B7" s="2" t="s">
        <v>19</v>
      </c>
      <c r="C7" s="1" t="s">
        <v>19</v>
      </c>
      <c r="D7" s="1" t="n">
        <v>10</v>
      </c>
    </row>
    <row r="8" customFormat="false" ht="15" hidden="false" customHeight="false" outlineLevel="0" collapsed="false">
      <c r="A8" s="1" t="n">
        <v>7</v>
      </c>
      <c r="B8" s="2" t="s">
        <v>20</v>
      </c>
      <c r="C8" s="1" t="s">
        <v>20</v>
      </c>
      <c r="D8" s="1" t="n">
        <v>10</v>
      </c>
    </row>
    <row r="9" customFormat="false" ht="15" hidden="false" customHeight="false" outlineLevel="0" collapsed="false">
      <c r="A9" s="1" t="n">
        <v>8</v>
      </c>
      <c r="B9" s="2" t="s">
        <v>21</v>
      </c>
      <c r="C9" s="1" t="s">
        <v>21</v>
      </c>
      <c r="D9" s="1" t="n">
        <v>10</v>
      </c>
    </row>
    <row r="10" customFormat="false" ht="15" hidden="false" customHeight="false" outlineLevel="0" collapsed="false">
      <c r="A10" s="1" t="n">
        <v>9</v>
      </c>
      <c r="B10" s="2" t="s">
        <v>22</v>
      </c>
      <c r="C10" s="1" t="s">
        <v>22</v>
      </c>
      <c r="D10" s="1" t="n">
        <v>9</v>
      </c>
    </row>
    <row r="11" customFormat="false" ht="15" hidden="false" customHeight="false" outlineLevel="0" collapsed="false">
      <c r="A11" s="6" t="n">
        <v>10</v>
      </c>
      <c r="B11" s="7" t="s">
        <v>23</v>
      </c>
      <c r="D11" s="1" t="n">
        <v>1</v>
      </c>
    </row>
    <row r="12" customFormat="false" ht="15" hidden="false" customHeight="false" outlineLevel="0" collapsed="false">
      <c r="A12" s="1" t="n">
        <v>11</v>
      </c>
      <c r="B12" s="2" t="s">
        <v>26</v>
      </c>
      <c r="C12" s="1" t="s">
        <v>26</v>
      </c>
      <c r="D12" s="1" t="n">
        <v>8</v>
      </c>
    </row>
    <row r="13" customFormat="false" ht="15" hidden="false" customHeight="false" outlineLevel="0" collapsed="false">
      <c r="A13" s="1" t="n">
        <v>12</v>
      </c>
      <c r="B13" s="2" t="s">
        <v>27</v>
      </c>
      <c r="C13" s="1" t="s">
        <v>27</v>
      </c>
      <c r="D13" s="1" t="n">
        <v>10</v>
      </c>
    </row>
    <row r="14" customFormat="false" ht="15" hidden="false" customHeight="false" outlineLevel="0" collapsed="false">
      <c r="A14" s="6" t="n">
        <v>13</v>
      </c>
      <c r="B14" s="7" t="s">
        <v>28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2" t="s">
        <v>29</v>
      </c>
      <c r="C15" s="1" t="s">
        <v>29</v>
      </c>
      <c r="D15" s="1" t="n">
        <v>6.9</v>
      </c>
    </row>
    <row r="16" customFormat="false" ht="15" hidden="false" customHeight="false" outlineLevel="0" collapsed="false">
      <c r="A16" s="1" t="n">
        <v>15</v>
      </c>
      <c r="B16" s="2" t="s">
        <v>30</v>
      </c>
      <c r="C16" s="1" t="s">
        <v>30</v>
      </c>
      <c r="D16" s="1" t="n">
        <v>10</v>
      </c>
    </row>
    <row r="17" customFormat="false" ht="15" hidden="false" customHeight="false" outlineLevel="0" collapsed="false">
      <c r="A17" s="6" t="n">
        <v>16</v>
      </c>
      <c r="B17" s="7" t="s">
        <v>31</v>
      </c>
      <c r="D17" s="1" t="n">
        <v>1</v>
      </c>
    </row>
    <row r="18" customFormat="false" ht="15" hidden="false" customHeight="false" outlineLevel="0" collapsed="false">
      <c r="A18" s="6" t="n">
        <v>17</v>
      </c>
      <c r="B18" s="7" t="s">
        <v>32</v>
      </c>
      <c r="D18" s="1" t="n">
        <v>1</v>
      </c>
    </row>
    <row r="19" customFormat="false" ht="15" hidden="false" customHeight="false" outlineLevel="0" collapsed="false">
      <c r="A19" s="1" t="n">
        <v>18</v>
      </c>
      <c r="B19" s="2" t="s">
        <v>33</v>
      </c>
      <c r="C19" s="1" t="s">
        <v>33</v>
      </c>
      <c r="D19" s="1" t="n">
        <v>3.5</v>
      </c>
    </row>
    <row r="20" customFormat="false" ht="15" hidden="false" customHeight="false" outlineLevel="0" collapsed="false">
      <c r="A20" s="1" t="n">
        <v>19</v>
      </c>
      <c r="B20" s="2" t="s">
        <v>34</v>
      </c>
      <c r="C20" s="1" t="s">
        <v>34</v>
      </c>
      <c r="D20" s="1" t="n">
        <v>8</v>
      </c>
    </row>
    <row r="21" customFormat="false" ht="15" hidden="false" customHeight="false" outlineLevel="0" collapsed="false">
      <c r="A21" s="1" t="n">
        <v>20</v>
      </c>
      <c r="B21" s="2" t="s">
        <v>35</v>
      </c>
      <c r="C21" s="1" t="s">
        <v>35</v>
      </c>
      <c r="D21" s="1" t="n">
        <v>10</v>
      </c>
    </row>
    <row r="22" customFormat="false" ht="15" hidden="false" customHeight="false" outlineLevel="0" collapsed="false">
      <c r="A22" s="6" t="n">
        <v>21</v>
      </c>
      <c r="B22" s="7" t="s">
        <v>36</v>
      </c>
      <c r="D22" s="1" t="n">
        <v>1</v>
      </c>
    </row>
    <row r="23" customFormat="false" ht="15" hidden="false" customHeight="false" outlineLevel="0" collapsed="false">
      <c r="C23" s="1" t="s">
        <v>7</v>
      </c>
      <c r="D23" s="1" t="n">
        <f aca="false">COUNTIF(D2:D22,"&gt;0")</f>
        <v>21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9080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2026-10-01T17:49:33Z</dcterms:modified>
  <cp:revision>99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