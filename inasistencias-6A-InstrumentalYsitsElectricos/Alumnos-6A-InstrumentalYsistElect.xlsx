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1-volt y amp" sheetId="3" state="visible" r:id="rId5"/>
    <sheet name="2-vol-multi" sheetId="4" state="visible" r:id="rId6"/>
    <sheet name="3-amp-multi" sheetId="5" state="visible" r:id="rId7"/>
    <sheet name="Evaluacio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<sst xmlns="http://schemas.openxmlformats.org/spreadsheetml/2006/main" count="575" uniqueCount="99">
  <si>
    <t xml:space="preserve">Carpeta</t>
  </si>
  <si>
    <t xml:space="preserve">nro</t>
  </si>
  <si>
    <t xml:space="preserve">Apellido(s)</t>
  </si>
  <si>
    <t xml:space="preserve">obs</t>
  </si>
  <si>
    <t xml:space="preserve">presentes</t>
  </si>
  <si>
    <t xml:space="preserve">tarde</t>
  </si>
  <si>
    <t xml:space="preserve">ausentes</t>
  </si>
  <si>
    <t xml:space="preserve">total</t>
  </si>
  <si>
    <t xml:space="preserve">nota</t>
  </si>
  <si>
    <t xml:space="preserve">V.P</t>
  </si>
  <si>
    <t xml:space="preserve">AMIGO</t>
  </si>
  <si>
    <t xml:space="preserve">P</t>
  </si>
  <si>
    <t xml:space="preserve">A</t>
  </si>
  <si>
    <t xml:space="preserve">T</t>
  </si>
  <si>
    <t xml:space="preserve">ANDRADA BASCOPE</t>
  </si>
  <si>
    <t xml:space="preserve">p</t>
  </si>
  <si>
    <t xml:space="preserve">APURIL</t>
  </si>
  <si>
    <t xml:space="preserve">AYBAR</t>
  </si>
  <si>
    <t xml:space="preserve">bertola galizzi</t>
  </si>
  <si>
    <t xml:space="preserve">BIROCCO FRETES</t>
  </si>
  <si>
    <t xml:space="preserve">BRUNO</t>
  </si>
  <si>
    <t xml:space="preserve">Dellana</t>
  </si>
  <si>
    <t xml:space="preserve">DI FEBO</t>
  </si>
  <si>
    <t xml:space="preserve">Dimeo</t>
  </si>
  <si>
    <t xml:space="preserve">recursante</t>
  </si>
  <si>
    <t xml:space="preserve">medico</t>
  </si>
  <si>
    <t xml:space="preserve">ENGERS GONZALEZ</t>
  </si>
  <si>
    <t xml:space="preserve">GERAGHTY</t>
  </si>
  <si>
    <t xml:space="preserve">Hoyos</t>
  </si>
  <si>
    <t xml:space="preserve">Ibarra Yegro</t>
  </si>
  <si>
    <t xml:space="preserve">LOPEZ BERZA</t>
  </si>
  <si>
    <t xml:space="preserve">MARTINEZ DEL PINO</t>
  </si>
  <si>
    <t xml:space="preserve">MEDINA</t>
  </si>
  <si>
    <t xml:space="preserve">SANTIBAÑEZ RAMÍREZ</t>
  </si>
  <si>
    <t xml:space="preserve">SUAREZ</t>
  </si>
  <si>
    <t xml:space="preserve">VILLCA</t>
  </si>
  <si>
    <t xml:space="preserve">ZARRAGA</t>
  </si>
  <si>
    <t xml:space="preserve">media</t>
  </si>
  <si>
    <t xml:space="preserve">Nombre</t>
  </si>
  <si>
    <t xml:space="preserve">Dirección de correo</t>
  </si>
  <si>
    <t xml:space="preserve">carpeta</t>
  </si>
  <si>
    <t xml:space="preserve">1-volt y amp</t>
  </si>
  <si>
    <t xml:space="preserve">2- vol multi</t>
  </si>
  <si>
    <t xml:space="preserve">Recup</t>
  </si>
  <si>
    <t xml:space="preserve">3-ampe multi</t>
  </si>
  <si>
    <t xml:space="preserve">Evaluacion</t>
  </si>
  <si>
    <t xml:space="preserve">asistencia</t>
  </si>
  <si>
    <t xml:space="preserve">val ped</t>
  </si>
  <si>
    <t xml:space="preserve">Chorico-pineros</t>
  </si>
  <si>
    <t xml:space="preserve">Nota</t>
  </si>
  <si>
    <t xml:space="preserve">Lucila Yanel</t>
  </si>
  <si>
    <t xml:space="preserve">patorouge77@hotmail.com</t>
  </si>
  <si>
    <t xml:space="preserve">Lourdes Elizabeth</t>
  </si>
  <si>
    <t xml:space="preserve">gralraul71@gmail.com</t>
  </si>
  <si>
    <t xml:space="preserve">Germán Ezequiel</t>
  </si>
  <si>
    <t xml:space="preserve">gerapuril@gmail.com</t>
  </si>
  <si>
    <t xml:space="preserve">Lautaro Francisco</t>
  </si>
  <si>
    <t xml:space="preserve">aybarguillermo@gmail.com</t>
  </si>
  <si>
    <t xml:space="preserve">Sathya</t>
  </si>
  <si>
    <t xml:space="preserve">sathyxzz@gmail.com</t>
  </si>
  <si>
    <t xml:space="preserve">Santiago</t>
  </si>
  <si>
    <t xml:space="preserve">SANTIAGOBIROCCOFRETES@GMAIL.COM</t>
  </si>
  <si>
    <t xml:space="preserve">Mateo Ignacio</t>
  </si>
  <si>
    <t xml:space="preserve">mateoibruno5@gmail.com</t>
  </si>
  <si>
    <t xml:space="preserve">Mirko</t>
  </si>
  <si>
    <t xml:space="preserve">mirkod2009@gmail.com</t>
  </si>
  <si>
    <t xml:space="preserve">Liam Yoel</t>
  </si>
  <si>
    <t xml:space="preserve">liamdifebo15@gmail.com</t>
  </si>
  <si>
    <t xml:space="preserve">Francisco Gael</t>
  </si>
  <si>
    <t xml:space="preserve">dimeofrancisco@gmail.com</t>
  </si>
  <si>
    <t xml:space="preserve">Facundo Agustin</t>
  </si>
  <si>
    <t xml:space="preserve">morenabonitafacturas@gmail.com</t>
  </si>
  <si>
    <t xml:space="preserve">Pedro Gabriel</t>
  </si>
  <si>
    <t xml:space="preserve">tristangabrielgeraghty@gmail.com</t>
  </si>
  <si>
    <t xml:space="preserve">Miqueas Ariel</t>
  </si>
  <si>
    <t xml:space="preserve">victoriacruz.alzu@gmail.com</t>
  </si>
  <si>
    <t xml:space="preserve">Tobias</t>
  </si>
  <si>
    <t xml:space="preserve">alexa_r3@yahoo.com.ar</t>
  </si>
  <si>
    <t xml:space="preserve">Zoe Antonella</t>
  </si>
  <si>
    <t xml:space="preserve">electroariel_@hotmail.com</t>
  </si>
  <si>
    <t xml:space="preserve">Gabriel Lautaro</t>
  </si>
  <si>
    <t xml:space="preserve">gabrieladelpino10@gmail.com</t>
  </si>
  <si>
    <t xml:space="preserve">Facundo Ariel</t>
  </si>
  <si>
    <t xml:space="preserve">48376287@gmail.com</t>
  </si>
  <si>
    <t xml:space="preserve">Araceli Rosario Abigail</t>
  </si>
  <si>
    <t xml:space="preserve">habibiaraceli08@gmail.com</t>
  </si>
  <si>
    <t xml:space="preserve">Matías</t>
  </si>
  <si>
    <t xml:space="preserve">matiassua09@gmail.com</t>
  </si>
  <si>
    <t xml:space="preserve">Franco Joaquín</t>
  </si>
  <si>
    <t xml:space="preserve">rutyayala28@gmail.com</t>
  </si>
  <si>
    <t xml:space="preserve">Ramiro Demian</t>
  </si>
  <si>
    <t xml:space="preserve">zarragaramiro01@gmail.com</t>
  </si>
  <si>
    <t xml:space="preserve">Calificación/10,00</t>
  </si>
  <si>
    <t xml:space="preserve">promedi</t>
  </si>
  <si>
    <t xml:space="preserve">segundo </t>
  </si>
  <si>
    <t xml:space="preserve">final</t>
  </si>
  <si>
    <t xml:space="preserve">toal</t>
  </si>
  <si>
    <t xml:space="preserve">promedio</t>
  </si>
  <si>
    <t xml:space="preserve">segundo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</si>
</sst>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000000"/>
        <sz val="12"/>
      </font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DL2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X26" activeCellId="0" sqref="X26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22" min="3" style="1" width="9.6"/>
    <col collapsed="false" customWidth="true" hidden="false" outlineLevel="0" max="980" min="980" style="1" width="9.33"/>
    <col collapsed="false" customWidth="true" hidden="false" outlineLevel="0" max="16384" min="16338" style="1" width="10.58"/>
  </cols>
  <sheetData>
    <row r="1" customFormat="false" ht="15" hidden="false" customHeight="false" outlineLevel="0" collapsed="false">
      <c r="B1" s="2"/>
      <c r="I1" s="2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3" t="n">
        <v>46093</v>
      </c>
      <c r="D2" s="3" t="n">
        <v>46100</v>
      </c>
      <c r="E2" s="3" t="s">
        <v>3</v>
      </c>
      <c r="F2" s="3" t="n">
        <v>46121</v>
      </c>
      <c r="G2" s="3"/>
      <c r="H2" s="3" t="n">
        <v>46128</v>
      </c>
      <c r="I2" s="3" t="n">
        <v>46135</v>
      </c>
      <c r="J2" s="3" t="n">
        <v>46149</v>
      </c>
      <c r="K2" s="3" t="n">
        <v>46156</v>
      </c>
      <c r="L2" s="3" t="n">
        <v>46163</v>
      </c>
      <c r="M2" s="3" t="n">
        <v>46170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n">
        <v>46177</v>
      </c>
      <c r="V2" s="3" t="n">
        <v>46184</v>
      </c>
      <c r="W2" s="3" t="n">
        <v>46191</v>
      </c>
      <c r="X2" s="3" t="n">
        <v>46198</v>
      </c>
      <c r="Y2" s="3" t="s">
        <v>3</v>
      </c>
      <c r="Z2" s="3" t="n">
        <v>46205</v>
      </c>
      <c r="AA2" s="3" t="n">
        <v>46212</v>
      </c>
      <c r="AB2" s="3" t="n">
        <v>46219</v>
      </c>
      <c r="AC2" s="3" t="n">
        <v>46226</v>
      </c>
      <c r="AD2" s="3" t="n">
        <v>46233</v>
      </c>
      <c r="AE2" s="3" t="n">
        <v>46240</v>
      </c>
      <c r="AF2" s="3" t="n">
        <v>46247</v>
      </c>
      <c r="AG2" s="3" t="n">
        <v>46254</v>
      </c>
      <c r="AH2" s="3" t="n">
        <v>46261</v>
      </c>
      <c r="AI2" s="3" t="n">
        <v>46268</v>
      </c>
      <c r="AJ2" s="3" t="n">
        <v>46275</v>
      </c>
      <c r="AK2" s="3" t="n">
        <v>46282</v>
      </c>
      <c r="AL2" s="3" t="n">
        <v>46289</v>
      </c>
      <c r="AM2" s="3" t="n">
        <v>46296</v>
      </c>
      <c r="AN2" s="3" t="n">
        <v>46303</v>
      </c>
      <c r="AO2" s="3" t="n">
        <v>46310</v>
      </c>
      <c r="AP2" s="3" t="n">
        <v>46317</v>
      </c>
      <c r="AQ2" s="3" t="n">
        <v>46324</v>
      </c>
      <c r="AR2" s="3" t="n">
        <v>46331</v>
      </c>
      <c r="AS2" s="3" t="n">
        <v>46338</v>
      </c>
      <c r="AT2" s="3" t="n">
        <v>46345</v>
      </c>
      <c r="AU2" s="3" t="n">
        <v>46352</v>
      </c>
      <c r="AV2" s="3" t="n">
        <v>46359</v>
      </c>
      <c r="AW2" s="3" t="n">
        <v>46366</v>
      </c>
      <c r="AX2" s="3" t="n">
        <v>46373</v>
      </c>
      <c r="AY2" s="3" t="n">
        <v>46380</v>
      </c>
      <c r="AZ2" s="3" t="n">
        <v>46387</v>
      </c>
      <c r="BA2" s="3"/>
    </row>
    <row r="3" s="1" customFormat="true" ht="15" hidden="false" customHeight="false" outlineLevel="0" collapsed="false">
      <c r="A3" s="1" t="n">
        <v>1</v>
      </c>
      <c r="B3" s="2" t="s">
        <v>10</v>
      </c>
      <c r="C3" s="1" t="s">
        <v>11</v>
      </c>
      <c r="D3" s="1" t="s">
        <v>11</v>
      </c>
      <c r="F3" s="1" t="s">
        <v>12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13</v>
      </c>
      <c r="N3" s="4" t="n">
        <v>0.770833333333333</v>
      </c>
      <c r="O3" s="1" t="n">
        <f aca="false">COUNTIF(C3:M3,"P")</f>
        <v>7</v>
      </c>
      <c r="P3" s="1" t="n">
        <f aca="false">COUNTIF(C3:M3,"T")</f>
        <v>1</v>
      </c>
      <c r="Q3" s="1" t="n">
        <f aca="false">COUNTIF(C3:M3,"A")</f>
        <v>1</v>
      </c>
      <c r="R3" s="1" t="n">
        <f aca="false">SUM(O3:Q3)</f>
        <v>9</v>
      </c>
      <c r="S3" s="5" t="n">
        <f aca="false">ROUND((O3+P3/4)*10/R3,0)</f>
        <v>8</v>
      </c>
      <c r="T3" s="5" t="str">
        <f aca="false">IF(S3&gt;6,"TEA",IF(S3&gt;3,"TEP","TED"))</f>
        <v>TEA</v>
      </c>
      <c r="U3" s="1" t="s">
        <v>12</v>
      </c>
      <c r="V3" s="1" t="s">
        <v>11</v>
      </c>
      <c r="W3" s="1" t="s">
        <v>11</v>
      </c>
      <c r="X3" s="1" t="s">
        <v>13</v>
      </c>
      <c r="Y3" s="4" t="n">
        <v>0.791666666666667</v>
      </c>
    </row>
    <row r="4" s="1" customFormat="true" ht="15" hidden="false" customHeight="false" outlineLevel="0" collapsed="false">
      <c r="A4" s="1" t="n">
        <v>2</v>
      </c>
      <c r="B4" s="2" t="s">
        <v>14</v>
      </c>
      <c r="C4" s="1" t="s">
        <v>11</v>
      </c>
      <c r="D4" s="1" t="s">
        <v>11</v>
      </c>
      <c r="F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O4" s="1" t="n">
        <f aca="false">COUNTIF(C4:M4,"P")</f>
        <v>9</v>
      </c>
      <c r="P4" s="1" t="n">
        <f aca="false">COUNTIF(C4:M4,"T")</f>
        <v>0</v>
      </c>
      <c r="Q4" s="1" t="n">
        <f aca="false">COUNTIF(C4:M4,"A")</f>
        <v>0</v>
      </c>
      <c r="R4" s="1" t="n">
        <f aca="false">SUM(O4:Q4)</f>
        <v>9</v>
      </c>
      <c r="S4" s="5" t="n">
        <f aca="false">ROUND((O4+P4/4)*10/R4,0)</f>
        <v>10</v>
      </c>
      <c r="T4" s="5" t="str">
        <f aca="false">IF(S4&gt;6,"TEA",IF(S4&gt;3,"TEP","TED"))</f>
        <v>TEA</v>
      </c>
      <c r="U4" s="1" t="s">
        <v>11</v>
      </c>
      <c r="V4" s="1" t="s">
        <v>15</v>
      </c>
      <c r="W4" s="1" t="s">
        <v>11</v>
      </c>
      <c r="X4" s="1" t="s">
        <v>11</v>
      </c>
    </row>
    <row r="5" s="1" customFormat="true" ht="15" hidden="false" customHeight="false" outlineLevel="0" collapsed="false">
      <c r="A5" s="1" t="n">
        <v>3</v>
      </c>
      <c r="B5" s="2" t="s">
        <v>16</v>
      </c>
      <c r="C5" s="1" t="s">
        <v>11</v>
      </c>
      <c r="D5" s="1" t="s">
        <v>11</v>
      </c>
      <c r="F5" s="1" t="s">
        <v>11</v>
      </c>
      <c r="H5" s="1" t="s">
        <v>11</v>
      </c>
      <c r="I5" s="1" t="s">
        <v>11</v>
      </c>
      <c r="J5" s="1" t="s">
        <v>11</v>
      </c>
      <c r="K5" s="1" t="s">
        <v>12</v>
      </c>
      <c r="L5" s="1" t="s">
        <v>11</v>
      </c>
      <c r="M5" s="1" t="s">
        <v>11</v>
      </c>
      <c r="O5" s="1" t="n">
        <f aca="false">COUNTIF(C5:M5,"P")</f>
        <v>8</v>
      </c>
      <c r="P5" s="1" t="n">
        <f aca="false">COUNTIF(C5:M5,"T")</f>
        <v>0</v>
      </c>
      <c r="Q5" s="1" t="n">
        <f aca="false">COUNTIF(C5:M5,"A")</f>
        <v>1</v>
      </c>
      <c r="R5" s="1" t="n">
        <f aca="false">SUM(O5:Q5)</f>
        <v>9</v>
      </c>
      <c r="S5" s="5" t="n">
        <f aca="false">ROUND((O5+P5/4)*10/R5,0)</f>
        <v>9</v>
      </c>
      <c r="T5" s="5" t="str">
        <f aca="false">IF(S5&gt;6,"TEA",IF(S5&gt;3,"TEP","TED"))</f>
        <v>TEA</v>
      </c>
      <c r="U5" s="1" t="s">
        <v>11</v>
      </c>
      <c r="V5" s="1" t="s">
        <v>11</v>
      </c>
      <c r="W5" s="1" t="s">
        <v>11</v>
      </c>
      <c r="X5" s="1" t="s">
        <v>11</v>
      </c>
    </row>
    <row r="6" s="1" customFormat="true" ht="15" hidden="false" customHeight="false" outlineLevel="0" collapsed="false">
      <c r="A6" s="1" t="n">
        <v>4</v>
      </c>
      <c r="B6" s="2" t="s">
        <v>17</v>
      </c>
      <c r="C6" s="1" t="s">
        <v>11</v>
      </c>
      <c r="D6" s="1" t="s">
        <v>11</v>
      </c>
      <c r="F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O6" s="1" t="n">
        <f aca="false">COUNTIF(C6:M6,"P")</f>
        <v>9</v>
      </c>
      <c r="P6" s="1" t="n">
        <f aca="false">COUNTIF(C6:M6,"T")</f>
        <v>0</v>
      </c>
      <c r="Q6" s="1" t="n">
        <f aca="false">COUNTIF(C6:M6,"A")</f>
        <v>0</v>
      </c>
      <c r="R6" s="1" t="n">
        <f aca="false">SUM(O6:Q6)</f>
        <v>9</v>
      </c>
      <c r="S6" s="5" t="n">
        <f aca="false">ROUND((O6+P6/4)*10/R6,0)</f>
        <v>10</v>
      </c>
      <c r="T6" s="5" t="str">
        <f aca="false">IF(S6&gt;6,"TEA",IF(S6&gt;3,"TEP","TED"))</f>
        <v>TEA</v>
      </c>
      <c r="U6" s="1" t="s">
        <v>11</v>
      </c>
      <c r="V6" s="1" t="s">
        <v>11</v>
      </c>
      <c r="W6" s="1" t="s">
        <v>11</v>
      </c>
      <c r="X6" s="1" t="s">
        <v>11</v>
      </c>
    </row>
    <row r="7" s="1" customFormat="true" ht="15" hidden="false" customHeight="false" outlineLevel="0" collapsed="false">
      <c r="A7" s="1" t="n">
        <v>5</v>
      </c>
      <c r="B7" s="2" t="s">
        <v>18</v>
      </c>
      <c r="C7" s="1" t="s">
        <v>11</v>
      </c>
      <c r="D7" s="1" t="s">
        <v>11</v>
      </c>
      <c r="F7" s="1" t="s">
        <v>12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12</v>
      </c>
      <c r="O7" s="1" t="n">
        <f aca="false">COUNTIF(C7:M7,"P")</f>
        <v>7</v>
      </c>
      <c r="P7" s="1" t="n">
        <f aca="false">COUNTIF(C7:M7,"T")</f>
        <v>0</v>
      </c>
      <c r="Q7" s="1" t="n">
        <f aca="false">COUNTIF(C7:M7,"A")</f>
        <v>2</v>
      </c>
      <c r="R7" s="1" t="n">
        <f aca="false">SUM(O7:Q7)</f>
        <v>9</v>
      </c>
      <c r="S7" s="5" t="n">
        <f aca="false">ROUND((O7+P7/4)*10/R7,0)</f>
        <v>8</v>
      </c>
      <c r="T7" s="5" t="str">
        <f aca="false">IF(S7&gt;6,"TEA",IF(S7&gt;3,"TEP","TED"))</f>
        <v>TEA</v>
      </c>
      <c r="U7" s="1" t="s">
        <v>11</v>
      </c>
      <c r="V7" s="1" t="s">
        <v>11</v>
      </c>
      <c r="W7" s="1" t="s">
        <v>11</v>
      </c>
      <c r="X7" s="1" t="s">
        <v>12</v>
      </c>
    </row>
    <row r="8" s="2" customFormat="true" ht="15" hidden="false" customHeight="false" outlineLevel="0" collapsed="false">
      <c r="A8" s="1" t="n">
        <v>6</v>
      </c>
      <c r="B8" s="2" t="s">
        <v>19</v>
      </c>
      <c r="C8" s="2" t="s">
        <v>11</v>
      </c>
      <c r="D8" s="2" t="s">
        <v>11</v>
      </c>
      <c r="F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  <c r="O8" s="1" t="n">
        <f aca="false">COUNTIF(C8:M8,"P")</f>
        <v>9</v>
      </c>
      <c r="P8" s="1" t="n">
        <f aca="false">COUNTIF(C8:M8,"T")</f>
        <v>0</v>
      </c>
      <c r="Q8" s="1" t="n">
        <f aca="false">COUNTIF(C8:M8,"A")</f>
        <v>0</v>
      </c>
      <c r="R8" s="1" t="n">
        <f aca="false">SUM(O8:Q8)</f>
        <v>9</v>
      </c>
      <c r="S8" s="5" t="n">
        <f aca="false">ROUND((O8+P8/4)*10/R8,0)</f>
        <v>10</v>
      </c>
      <c r="T8" s="5" t="str">
        <f aca="false">IF(S8&gt;6,"TEA",IF(S8&gt;3,"TEP","TED"))</f>
        <v>TEA</v>
      </c>
      <c r="U8" s="2" t="s">
        <v>11</v>
      </c>
      <c r="V8" s="2" t="s">
        <v>11</v>
      </c>
      <c r="W8" s="2" t="s">
        <v>11</v>
      </c>
      <c r="X8" s="2" t="s">
        <v>11</v>
      </c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XDJ8" s="1"/>
      <c r="XDK8" s="1"/>
      <c r="XDL8" s="1"/>
    </row>
    <row r="9" s="1" customFormat="true" ht="15" hidden="false" customHeight="false" outlineLevel="0" collapsed="false">
      <c r="A9" s="1" t="n">
        <v>7</v>
      </c>
      <c r="B9" s="2" t="s">
        <v>20</v>
      </c>
      <c r="C9" s="1" t="s">
        <v>11</v>
      </c>
      <c r="D9" s="1" t="s">
        <v>11</v>
      </c>
      <c r="F9" s="1" t="s">
        <v>11</v>
      </c>
      <c r="H9" s="1" t="s">
        <v>12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O9" s="1" t="n">
        <f aca="false">COUNTIF(C9:M9,"P")</f>
        <v>8</v>
      </c>
      <c r="P9" s="1" t="n">
        <f aca="false">COUNTIF(C9:M9,"T")</f>
        <v>0</v>
      </c>
      <c r="Q9" s="1" t="n">
        <f aca="false">COUNTIF(C9:M9,"A")</f>
        <v>1</v>
      </c>
      <c r="R9" s="1" t="n">
        <f aca="false">SUM(O9:Q9)</f>
        <v>9</v>
      </c>
      <c r="S9" s="5" t="n">
        <f aca="false">ROUND((O9+P9/4)*10/R9,0)</f>
        <v>9</v>
      </c>
      <c r="T9" s="5" t="str">
        <f aca="false">IF(S9&gt;6,"TEA",IF(S9&gt;3,"TEP","TED"))</f>
        <v>TEA</v>
      </c>
      <c r="U9" s="1" t="s">
        <v>11</v>
      </c>
      <c r="V9" s="1" t="s">
        <v>12</v>
      </c>
      <c r="W9" s="1" t="s">
        <v>11</v>
      </c>
      <c r="X9" s="1" t="s">
        <v>11</v>
      </c>
    </row>
    <row r="10" s="1" customFormat="true" ht="15" hidden="false" customHeight="false" outlineLevel="0" collapsed="false">
      <c r="A10" s="1" t="n">
        <v>8</v>
      </c>
      <c r="B10" s="2" t="s">
        <v>21</v>
      </c>
      <c r="C10" s="1" t="s">
        <v>11</v>
      </c>
      <c r="D10" s="1" t="s">
        <v>11</v>
      </c>
      <c r="F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O10" s="1" t="n">
        <f aca="false">COUNTIF(C10:M10,"P")</f>
        <v>9</v>
      </c>
      <c r="P10" s="1" t="n">
        <f aca="false">COUNTIF(C10:M10,"T")</f>
        <v>0</v>
      </c>
      <c r="Q10" s="1" t="n">
        <f aca="false">COUNTIF(C10:M10,"A")</f>
        <v>0</v>
      </c>
      <c r="R10" s="1" t="n">
        <f aca="false">SUM(O10:Q10)</f>
        <v>9</v>
      </c>
      <c r="S10" s="5" t="n">
        <f aca="false">ROUND((O10+P10/4)*10/R10,0)</f>
        <v>10</v>
      </c>
      <c r="T10" s="5" t="str">
        <f aca="false">IF(S10&gt;6,"TEA",IF(S10&gt;3,"TEP","TED"))</f>
        <v>TEA</v>
      </c>
      <c r="U10" s="1" t="s">
        <v>11</v>
      </c>
      <c r="V10" s="1" t="s">
        <v>11</v>
      </c>
      <c r="W10" s="1" t="s">
        <v>11</v>
      </c>
      <c r="X10" s="1" t="s">
        <v>11</v>
      </c>
    </row>
    <row r="11" s="1" customFormat="true" ht="15" hidden="false" customHeight="false" outlineLevel="0" collapsed="false">
      <c r="A11" s="1" t="n">
        <v>9</v>
      </c>
      <c r="B11" s="2" t="s">
        <v>22</v>
      </c>
      <c r="C11" s="1" t="s">
        <v>11</v>
      </c>
      <c r="D11" s="1" t="s">
        <v>11</v>
      </c>
      <c r="F11" s="1" t="s">
        <v>11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O11" s="1" t="n">
        <f aca="false">COUNTIF(C11:M11,"P")</f>
        <v>9</v>
      </c>
      <c r="P11" s="1" t="n">
        <f aca="false">COUNTIF(C11:M11,"T")</f>
        <v>0</v>
      </c>
      <c r="Q11" s="1" t="n">
        <f aca="false">COUNTIF(C11:M11,"A")</f>
        <v>0</v>
      </c>
      <c r="R11" s="1" t="n">
        <f aca="false">SUM(O11:Q11)</f>
        <v>9</v>
      </c>
      <c r="S11" s="5" t="n">
        <f aca="false">ROUND((O11+P11/4)*10/R11,0)</f>
        <v>10</v>
      </c>
      <c r="T11" s="5" t="str">
        <f aca="false">IF(S11&gt;6,"TEA",IF(S11&gt;3,"TEP","TED"))</f>
        <v>TEA</v>
      </c>
      <c r="U11" s="1" t="s">
        <v>11</v>
      </c>
      <c r="V11" s="1" t="s">
        <v>11</v>
      </c>
      <c r="W11" s="1" t="s">
        <v>12</v>
      </c>
      <c r="X11" s="1" t="s">
        <v>11</v>
      </c>
    </row>
    <row r="12" s="7" customFormat="true" ht="15" hidden="false" customHeight="false" outlineLevel="0" collapsed="false">
      <c r="A12" s="6" t="n">
        <v>10</v>
      </c>
      <c r="B12" s="7" t="s">
        <v>23</v>
      </c>
      <c r="C12" s="7" t="s">
        <v>11</v>
      </c>
      <c r="D12" s="7" t="s">
        <v>12</v>
      </c>
      <c r="E12" s="7" t="s">
        <v>24</v>
      </c>
      <c r="F12" s="7" t="s">
        <v>12</v>
      </c>
      <c r="G12" s="7" t="s">
        <v>25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O12" s="6" t="n">
        <f aca="false">COUNTIF(C12:M12,"P")</f>
        <v>1</v>
      </c>
      <c r="P12" s="1" t="n">
        <f aca="false">COUNTIF(C12:M12,"T")</f>
        <v>0</v>
      </c>
      <c r="Q12" s="6" t="n">
        <f aca="false">COUNTIF(C12:M12,"A")</f>
        <v>8</v>
      </c>
      <c r="R12" s="6" t="n">
        <f aca="false">SUM(O12:Q12)</f>
        <v>9</v>
      </c>
      <c r="S12" s="5" t="n">
        <f aca="false">ROUND((O12+P12/4)*10/R12,0)</f>
        <v>1</v>
      </c>
      <c r="T12" s="5" t="str">
        <f aca="false">IF(S12&gt;6,"TEA",IF(S12&gt;3,"TEP","TED"))</f>
        <v>TED</v>
      </c>
      <c r="U12" s="7" t="s">
        <v>12</v>
      </c>
      <c r="V12" s="7" t="s">
        <v>12</v>
      </c>
      <c r="W12" s="7" t="s">
        <v>12</v>
      </c>
      <c r="X12" s="7" t="s">
        <v>12</v>
      </c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XDJ12" s="6"/>
      <c r="XDK12" s="6"/>
      <c r="XDL12" s="6"/>
    </row>
    <row r="13" s="1" customFormat="true" ht="15" hidden="false" customHeight="false" outlineLevel="0" collapsed="false">
      <c r="A13" s="1" t="n">
        <v>11</v>
      </c>
      <c r="B13" s="2" t="s">
        <v>26</v>
      </c>
      <c r="C13" s="1" t="s">
        <v>11</v>
      </c>
      <c r="D13" s="1" t="s">
        <v>11</v>
      </c>
      <c r="F13" s="2" t="s">
        <v>11</v>
      </c>
      <c r="G13" s="2"/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O13" s="1" t="n">
        <f aca="false">COUNTIF(C13:M13,"P")</f>
        <v>9</v>
      </c>
      <c r="P13" s="1" t="n">
        <f aca="false">COUNTIF(C13:M13,"T")</f>
        <v>0</v>
      </c>
      <c r="Q13" s="1" t="n">
        <f aca="false">COUNTIF(C13:M13,"A")</f>
        <v>0</v>
      </c>
      <c r="R13" s="1" t="n">
        <f aca="false">SUM(O13:Q13)</f>
        <v>9</v>
      </c>
      <c r="S13" s="5" t="n">
        <f aca="false">ROUND((O13+P13/4)*10/R13,0)</f>
        <v>10</v>
      </c>
      <c r="T13" s="5" t="str">
        <f aca="false">IF(S13&gt;6,"TEA",IF(S13&gt;3,"TEP","TED"))</f>
        <v>TEA</v>
      </c>
      <c r="U13" s="1" t="s">
        <v>11</v>
      </c>
      <c r="V13" s="1" t="s">
        <v>11</v>
      </c>
      <c r="W13" s="1" t="s">
        <v>11</v>
      </c>
      <c r="X13" s="1" t="s">
        <v>11</v>
      </c>
    </row>
    <row r="14" s="1" customFormat="true" ht="15" hidden="false" customHeight="false" outlineLevel="0" collapsed="false">
      <c r="A14" s="1" t="n">
        <v>12</v>
      </c>
      <c r="B14" s="2" t="s">
        <v>27</v>
      </c>
      <c r="C14" s="1" t="s">
        <v>11</v>
      </c>
      <c r="D14" s="1" t="s">
        <v>12</v>
      </c>
      <c r="F14" s="2" t="s">
        <v>11</v>
      </c>
      <c r="G14" s="2"/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O14" s="1" t="n">
        <f aca="false">COUNTIF(C14:M14,"P")</f>
        <v>8</v>
      </c>
      <c r="P14" s="1" t="n">
        <f aca="false">COUNTIF(C14:M14,"T")</f>
        <v>0</v>
      </c>
      <c r="Q14" s="1" t="n">
        <f aca="false">COUNTIF(C14:M14,"A")</f>
        <v>1</v>
      </c>
      <c r="R14" s="1" t="n">
        <f aca="false">SUM(O14:Q14)</f>
        <v>9</v>
      </c>
      <c r="S14" s="5" t="n">
        <f aca="false">ROUND((O14+P14/4)*10/R14,0)</f>
        <v>9</v>
      </c>
      <c r="T14" s="5" t="str">
        <f aca="false">IF(S14&gt;6,"TEA",IF(S14&gt;3,"TEP","TED"))</f>
        <v>TEA</v>
      </c>
      <c r="U14" s="1" t="s">
        <v>11</v>
      </c>
      <c r="V14" s="1" t="s">
        <v>11</v>
      </c>
      <c r="W14" s="1" t="s">
        <v>11</v>
      </c>
      <c r="X14" s="1" t="s">
        <v>11</v>
      </c>
    </row>
    <row r="15" s="7" customFormat="true" ht="15" hidden="false" customHeight="false" outlineLevel="0" collapsed="false">
      <c r="A15" s="6" t="n">
        <v>13</v>
      </c>
      <c r="B15" s="7" t="s">
        <v>28</v>
      </c>
      <c r="C15" s="7" t="s">
        <v>11</v>
      </c>
      <c r="D15" s="7" t="s">
        <v>12</v>
      </c>
      <c r="E15" s="7" t="s">
        <v>24</v>
      </c>
      <c r="F15" s="7" t="s">
        <v>12</v>
      </c>
      <c r="H15" s="7" t="s">
        <v>12</v>
      </c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O15" s="6" t="n">
        <f aca="false">COUNTIF(C15:M15,"P")</f>
        <v>1</v>
      </c>
      <c r="P15" s="1" t="n">
        <f aca="false">COUNTIF(C15:M15,"T")</f>
        <v>0</v>
      </c>
      <c r="Q15" s="6" t="n">
        <f aca="false">COUNTIF(C15:M15,"A")</f>
        <v>8</v>
      </c>
      <c r="R15" s="6" t="n">
        <f aca="false">SUM(O15:Q15)</f>
        <v>9</v>
      </c>
      <c r="S15" s="5" t="n">
        <f aca="false">ROUND((O15+P15/4)*10/R15,0)</f>
        <v>1</v>
      </c>
      <c r="T15" s="5" t="str">
        <f aca="false">IF(S15&gt;6,"TEA",IF(S15&gt;3,"TEP","TED"))</f>
        <v>TED</v>
      </c>
      <c r="U15" s="7" t="s">
        <v>12</v>
      </c>
      <c r="V15" s="7" t="s">
        <v>12</v>
      </c>
      <c r="W15" s="7" t="s">
        <v>12</v>
      </c>
      <c r="X15" s="7" t="s">
        <v>12</v>
      </c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XDJ15" s="6"/>
      <c r="XDK15" s="6"/>
      <c r="XDL15" s="6"/>
    </row>
    <row r="16" s="1" customFormat="true" ht="15" hidden="false" customHeight="false" outlineLevel="0" collapsed="false">
      <c r="A16" s="1" t="n">
        <v>14</v>
      </c>
      <c r="B16" s="2" t="s">
        <v>29</v>
      </c>
      <c r="C16" s="1" t="s">
        <v>11</v>
      </c>
      <c r="D16" s="1" t="s">
        <v>11</v>
      </c>
      <c r="F16" s="2" t="s">
        <v>12</v>
      </c>
      <c r="G16" s="2"/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O16" s="1" t="n">
        <f aca="false">COUNTIF(C16:M16,"P")</f>
        <v>8</v>
      </c>
      <c r="P16" s="1" t="n">
        <f aca="false">COUNTIF(C16:M16,"T")</f>
        <v>0</v>
      </c>
      <c r="Q16" s="1" t="n">
        <f aca="false">COUNTIF(C16:M16,"A")</f>
        <v>1</v>
      </c>
      <c r="R16" s="1" t="n">
        <f aca="false">SUM(O16:Q16)</f>
        <v>9</v>
      </c>
      <c r="S16" s="5" t="n">
        <f aca="false">ROUND((O16+P16/4)*10/R16,0)</f>
        <v>9</v>
      </c>
      <c r="T16" s="5" t="str">
        <f aca="false">IF(S16&gt;6,"TEA",IF(S16&gt;3,"TEP","TED"))</f>
        <v>TEA</v>
      </c>
      <c r="U16" s="1" t="s">
        <v>11</v>
      </c>
      <c r="V16" s="1" t="s">
        <v>11</v>
      </c>
      <c r="W16" s="1" t="s">
        <v>11</v>
      </c>
      <c r="X16" s="1" t="s">
        <v>11</v>
      </c>
    </row>
    <row r="17" s="1" customFormat="true" ht="15" hidden="false" customHeight="false" outlineLevel="0" collapsed="false">
      <c r="A17" s="1" t="n">
        <v>15</v>
      </c>
      <c r="B17" s="2" t="s">
        <v>30</v>
      </c>
      <c r="C17" s="1" t="s">
        <v>11</v>
      </c>
      <c r="D17" s="1" t="s">
        <v>11</v>
      </c>
      <c r="F17" s="2" t="s">
        <v>11</v>
      </c>
      <c r="G17" s="2"/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12</v>
      </c>
      <c r="M17" s="1" t="s">
        <v>11</v>
      </c>
      <c r="O17" s="1" t="n">
        <f aca="false">COUNTIF(C17:M17,"P")</f>
        <v>8</v>
      </c>
      <c r="P17" s="1" t="n">
        <f aca="false">COUNTIF(C17:M17,"T")</f>
        <v>0</v>
      </c>
      <c r="Q17" s="1" t="n">
        <f aca="false">COUNTIF(C17:M17,"A")</f>
        <v>1</v>
      </c>
      <c r="R17" s="1" t="n">
        <f aca="false">SUM(O17:Q17)</f>
        <v>9</v>
      </c>
      <c r="S17" s="5" t="n">
        <f aca="false">ROUND((O17+P17/4)*10/R17,0)</f>
        <v>9</v>
      </c>
      <c r="T17" s="5" t="str">
        <f aca="false">IF(S17&gt;6,"TEA",IF(S17&gt;3,"TEP","TED"))</f>
        <v>TEA</v>
      </c>
      <c r="U17" s="1" t="s">
        <v>11</v>
      </c>
      <c r="V17" s="1" t="s">
        <v>11</v>
      </c>
      <c r="W17" s="1" t="s">
        <v>12</v>
      </c>
      <c r="X17" s="1" t="s">
        <v>11</v>
      </c>
    </row>
    <row r="18" s="7" customFormat="true" ht="15" hidden="false" customHeight="false" outlineLevel="0" collapsed="false">
      <c r="A18" s="6" t="n">
        <v>16</v>
      </c>
      <c r="B18" s="7" t="s">
        <v>31</v>
      </c>
      <c r="C18" s="7" t="s">
        <v>11</v>
      </c>
      <c r="D18" s="7" t="s">
        <v>12</v>
      </c>
      <c r="E18" s="7" t="s">
        <v>24</v>
      </c>
      <c r="F18" s="7" t="s">
        <v>12</v>
      </c>
      <c r="H18" s="7" t="s">
        <v>12</v>
      </c>
      <c r="I18" s="7" t="s">
        <v>12</v>
      </c>
      <c r="J18" s="7" t="s">
        <v>12</v>
      </c>
      <c r="K18" s="7" t="s">
        <v>12</v>
      </c>
      <c r="L18" s="7" t="s">
        <v>12</v>
      </c>
      <c r="M18" s="7" t="s">
        <v>12</v>
      </c>
      <c r="O18" s="6" t="n">
        <f aca="false">COUNTIF(C18:M18,"P")</f>
        <v>1</v>
      </c>
      <c r="P18" s="1" t="n">
        <f aca="false">COUNTIF(C18:M18,"T")</f>
        <v>0</v>
      </c>
      <c r="Q18" s="6" t="n">
        <f aca="false">COUNTIF(C18:M18,"A")</f>
        <v>8</v>
      </c>
      <c r="R18" s="6" t="n">
        <f aca="false">SUM(O18:Q18)</f>
        <v>9</v>
      </c>
      <c r="S18" s="5" t="n">
        <f aca="false">ROUND((O18+P18/4)*10/R18,0)</f>
        <v>1</v>
      </c>
      <c r="T18" s="5" t="str">
        <f aca="false">IF(S18&gt;6,"TEA",IF(S18&gt;3,"TEP","TED"))</f>
        <v>TED</v>
      </c>
      <c r="U18" s="7" t="s">
        <v>12</v>
      </c>
      <c r="V18" s="7" t="s">
        <v>12</v>
      </c>
      <c r="W18" s="7" t="s">
        <v>12</v>
      </c>
      <c r="X18" s="7" t="s">
        <v>12</v>
      </c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XDJ18" s="6"/>
      <c r="XDK18" s="6"/>
      <c r="XDL18" s="6"/>
    </row>
    <row r="19" s="7" customFormat="true" ht="15" hidden="false" customHeight="false" outlineLevel="0" collapsed="false">
      <c r="A19" s="6" t="n">
        <v>17</v>
      </c>
      <c r="B19" s="7" t="s">
        <v>32</v>
      </c>
      <c r="C19" s="7" t="s">
        <v>11</v>
      </c>
      <c r="D19" s="7" t="s">
        <v>12</v>
      </c>
      <c r="E19" s="7" t="s">
        <v>24</v>
      </c>
      <c r="F19" s="7" t="s">
        <v>12</v>
      </c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O19" s="6" t="n">
        <f aca="false">COUNTIF(C19:M19,"P")</f>
        <v>1</v>
      </c>
      <c r="P19" s="1" t="n">
        <f aca="false">COUNTIF(C19:M19,"T")</f>
        <v>0</v>
      </c>
      <c r="Q19" s="6" t="n">
        <f aca="false">COUNTIF(C19:M19,"A")</f>
        <v>8</v>
      </c>
      <c r="R19" s="6" t="n">
        <f aca="false">SUM(O19:Q19)</f>
        <v>9</v>
      </c>
      <c r="S19" s="5" t="n">
        <f aca="false">ROUND((O19+P19/4)*10/R19,0)</f>
        <v>1</v>
      </c>
      <c r="T19" s="5" t="str">
        <f aca="false">IF(S19&gt;6,"TEA",IF(S19&gt;3,"TEP","TED"))</f>
        <v>TED</v>
      </c>
      <c r="U19" s="7" t="s">
        <v>12</v>
      </c>
      <c r="V19" s="7" t="s">
        <v>12</v>
      </c>
      <c r="W19" s="7" t="s">
        <v>12</v>
      </c>
      <c r="X19" s="7" t="s">
        <v>12</v>
      </c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XDJ19" s="6"/>
      <c r="XDK19" s="6"/>
      <c r="XDL19" s="6"/>
    </row>
    <row r="20" s="1" customFormat="true" ht="15" hidden="false" customHeight="false" outlineLevel="0" collapsed="false">
      <c r="A20" s="1" t="n">
        <v>18</v>
      </c>
      <c r="B20" s="2" t="s">
        <v>33</v>
      </c>
      <c r="C20" s="1" t="s">
        <v>12</v>
      </c>
      <c r="D20" s="1" t="s">
        <v>11</v>
      </c>
      <c r="F20" s="2" t="s">
        <v>11</v>
      </c>
      <c r="G20" s="2"/>
      <c r="H20" s="1" t="s">
        <v>11</v>
      </c>
      <c r="I20" s="1" t="s">
        <v>11</v>
      </c>
      <c r="J20" s="1" t="s">
        <v>11</v>
      </c>
      <c r="K20" s="1" t="s">
        <v>12</v>
      </c>
      <c r="L20" s="1" t="s">
        <v>11</v>
      </c>
      <c r="M20" s="1" t="s">
        <v>12</v>
      </c>
      <c r="O20" s="1" t="n">
        <f aca="false">COUNTIF(C20:M20,"P")</f>
        <v>6</v>
      </c>
      <c r="P20" s="1" t="n">
        <f aca="false">COUNTIF(C20:M20,"T")</f>
        <v>0</v>
      </c>
      <c r="Q20" s="1" t="n">
        <f aca="false">COUNTIF(C20:M20,"A")</f>
        <v>3</v>
      </c>
      <c r="R20" s="1" t="n">
        <f aca="false">SUM(O20:Q20)</f>
        <v>9</v>
      </c>
      <c r="S20" s="5" t="n">
        <f aca="false">ROUND((O20+P20/4)*10/R20,0)</f>
        <v>7</v>
      </c>
      <c r="T20" s="5" t="str">
        <f aca="false">IF(S20&gt;6,"TEA",IF(S20&gt;3,"TEP","TED"))</f>
        <v>TEA</v>
      </c>
      <c r="U20" s="1" t="s">
        <v>11</v>
      </c>
      <c r="V20" s="1" t="s">
        <v>12</v>
      </c>
      <c r="W20" s="1" t="s">
        <v>11</v>
      </c>
      <c r="X20" s="1" t="s">
        <v>11</v>
      </c>
    </row>
    <row r="21" s="1" customFormat="true" ht="15" hidden="false" customHeight="false" outlineLevel="0" collapsed="false">
      <c r="A21" s="1" t="n">
        <v>19</v>
      </c>
      <c r="B21" s="2" t="s">
        <v>34</v>
      </c>
      <c r="C21" s="1" t="s">
        <v>11</v>
      </c>
      <c r="D21" s="1" t="s">
        <v>11</v>
      </c>
      <c r="F21" s="2" t="s">
        <v>11</v>
      </c>
      <c r="G21" s="2"/>
      <c r="H21" s="1" t="s">
        <v>12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13</v>
      </c>
      <c r="N21" s="4" t="n">
        <v>0.770833333333333</v>
      </c>
      <c r="O21" s="1" t="n">
        <f aca="false">COUNTIF(C21:M21,"P")</f>
        <v>7</v>
      </c>
      <c r="P21" s="1" t="n">
        <f aca="false">COUNTIF(C21:M21,"T")</f>
        <v>1</v>
      </c>
      <c r="Q21" s="1" t="n">
        <f aca="false">COUNTIF(C21:M21,"A")</f>
        <v>1</v>
      </c>
      <c r="R21" s="1" t="n">
        <f aca="false">SUM(O21:Q21)</f>
        <v>9</v>
      </c>
      <c r="S21" s="5" t="n">
        <f aca="false">ROUND((O21+P21/4)*10/R21,0)</f>
        <v>8</v>
      </c>
      <c r="T21" s="5" t="str">
        <f aca="false">IF(S21&gt;6,"TEA",IF(S21&gt;3,"TEP","TED"))</f>
        <v>TEA</v>
      </c>
      <c r="U21" s="1" t="s">
        <v>12</v>
      </c>
      <c r="V21" s="1" t="s">
        <v>11</v>
      </c>
      <c r="W21" s="1" t="s">
        <v>11</v>
      </c>
      <c r="X21" s="1" t="s">
        <v>13</v>
      </c>
      <c r="Y21" s="4" t="n">
        <v>0.791666666666667</v>
      </c>
    </row>
    <row r="22" s="2" customFormat="true" ht="15" hidden="false" customHeight="false" outlineLevel="0" collapsed="false">
      <c r="A22" s="1" t="n">
        <v>20</v>
      </c>
      <c r="B22" s="2" t="s">
        <v>35</v>
      </c>
      <c r="C22" s="1" t="s">
        <v>11</v>
      </c>
      <c r="D22" s="1" t="s">
        <v>11</v>
      </c>
      <c r="E22" s="1"/>
      <c r="F22" s="2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12</v>
      </c>
      <c r="M22" s="1" t="s">
        <v>11</v>
      </c>
      <c r="N22" s="1"/>
      <c r="O22" s="1" t="n">
        <f aca="false">COUNTIF(C22:M22,"P")</f>
        <v>8</v>
      </c>
      <c r="P22" s="1" t="n">
        <f aca="false">COUNTIF(C22:M22,"T")</f>
        <v>0</v>
      </c>
      <c r="Q22" s="1" t="n">
        <f aca="false">COUNTIF(C22:M22,"A")</f>
        <v>1</v>
      </c>
      <c r="R22" s="1" t="n">
        <f aca="false">SUM(O22:Q22)</f>
        <v>9</v>
      </c>
      <c r="S22" s="5" t="n">
        <f aca="false">ROUND((O22+P22/4)*10/R22,0)</f>
        <v>9</v>
      </c>
      <c r="T22" s="5" t="str">
        <f aca="false">IF(S22&gt;6,"TEA",IF(S22&gt;3,"TEP","TED"))</f>
        <v>TEA</v>
      </c>
      <c r="U22" s="1" t="s">
        <v>12</v>
      </c>
      <c r="V22" s="1" t="s">
        <v>11</v>
      </c>
      <c r="W22" s="1" t="s">
        <v>11</v>
      </c>
      <c r="X22" s="1" t="s">
        <v>11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XDJ22" s="1"/>
      <c r="XDK22" s="1"/>
      <c r="XDL22" s="1"/>
    </row>
    <row r="23" s="6" customFormat="true" ht="15" hidden="false" customHeight="false" outlineLevel="0" collapsed="false">
      <c r="A23" s="6" t="n">
        <v>21</v>
      </c>
      <c r="B23" s="7" t="s">
        <v>36</v>
      </c>
      <c r="C23" s="7" t="s">
        <v>11</v>
      </c>
      <c r="D23" s="7" t="s">
        <v>12</v>
      </c>
      <c r="E23" s="7" t="s">
        <v>24</v>
      </c>
      <c r="F23" s="7" t="s">
        <v>12</v>
      </c>
      <c r="G23" s="7"/>
      <c r="H23" s="7" t="s">
        <v>12</v>
      </c>
      <c r="I23" s="7" t="s">
        <v>11</v>
      </c>
      <c r="J23" s="7" t="s">
        <v>12</v>
      </c>
      <c r="K23" s="7" t="s">
        <v>12</v>
      </c>
      <c r="L23" s="7" t="s">
        <v>12</v>
      </c>
      <c r="M23" s="7" t="s">
        <v>12</v>
      </c>
      <c r="N23" s="7"/>
      <c r="O23" s="1" t="n">
        <f aca="false">COUNTIF(C23:M23,"P")</f>
        <v>2</v>
      </c>
      <c r="P23" s="1" t="n">
        <f aca="false">COUNTIF(C23:M23,"T")</f>
        <v>0</v>
      </c>
      <c r="Q23" s="1" t="n">
        <f aca="false">COUNTIF(C23:M23,"A")</f>
        <v>7</v>
      </c>
      <c r="R23" s="1" t="n">
        <f aca="false">SUM(O23:Q23)</f>
        <v>9</v>
      </c>
      <c r="S23" s="5" t="n">
        <f aca="false">ROUND((O23+P23/4)*10/R23,0)</f>
        <v>2</v>
      </c>
      <c r="T23" s="5" t="str">
        <f aca="false">IF(S23&gt;6,"TEA",IF(S23&gt;3,"TEP","TED"))</f>
        <v>TED</v>
      </c>
      <c r="U23" s="7" t="s">
        <v>12</v>
      </c>
      <c r="V23" s="7" t="s">
        <v>12</v>
      </c>
      <c r="W23" s="7" t="s">
        <v>12</v>
      </c>
      <c r="X23" s="7" t="s">
        <v>12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</row>
    <row r="24" customFormat="false" ht="15" hidden="false" customHeight="false" outlineLevel="0" collapsed="false">
      <c r="B24" s="1" t="s">
        <v>4</v>
      </c>
      <c r="C24" s="1" t="n">
        <f aca="false">COUNTIF(C3:C23,"P")</f>
        <v>20</v>
      </c>
      <c r="D24" s="1" t="n">
        <f aca="false">COUNTIF(D3:D23,"P")</f>
        <v>15</v>
      </c>
      <c r="F24" s="1" t="n">
        <f aca="false">COUNTIF(F3:F23,"P")</f>
        <v>13</v>
      </c>
      <c r="H24" s="1" t="n">
        <f aca="false">COUNTIF(H3:H23,"P")</f>
        <v>14</v>
      </c>
      <c r="I24" s="1" t="n">
        <f aca="false">COUNTIF(I3:I23,"P")</f>
        <v>17</v>
      </c>
      <c r="J24" s="1" t="n">
        <f aca="false">COUNTIF(J3:J23,"P")</f>
        <v>16</v>
      </c>
      <c r="K24" s="1" t="n">
        <f aca="false">COUNTIF(K3:K23,"P")</f>
        <v>14</v>
      </c>
      <c r="L24" s="1" t="n">
        <f aca="false">COUNTIF(L3:L23,"P")</f>
        <v>14</v>
      </c>
      <c r="M24" s="1" t="n">
        <f aca="false">COUNTIF(M3:M23,"P")</f>
        <v>12</v>
      </c>
      <c r="U24" s="1" t="n">
        <f aca="false">COUNTIF(U3:U23,"P")</f>
        <v>13</v>
      </c>
      <c r="V24" s="1" t="n">
        <f aca="false">COUNTIF(V3:V23,"P")</f>
        <v>14</v>
      </c>
      <c r="W24" s="1" t="n">
        <f aca="false">COUNTIF(W3:W23,"P")</f>
        <v>14</v>
      </c>
      <c r="X24" s="1" t="n">
        <f aca="false">COUNTIF(X3:X23,"P")</f>
        <v>13</v>
      </c>
    </row>
    <row r="25" customFormat="false" ht="15" hidden="false" customHeight="false" outlineLevel="0" collapsed="false">
      <c r="B25" s="1" t="s">
        <v>37</v>
      </c>
      <c r="W25" s="1" t="n">
        <f aca="false">COUNTIF(W3:W23,"M")</f>
        <v>0</v>
      </c>
      <c r="X25" s="1" t="n">
        <f aca="false">COUNTIF(X3:X23,"M")</f>
        <v>0</v>
      </c>
    </row>
    <row r="26" customFormat="false" ht="15" hidden="false" customHeight="false" outlineLevel="0" collapsed="false">
      <c r="B26" s="1" t="s">
        <v>5</v>
      </c>
      <c r="W26" s="1" t="n">
        <f aca="false">COUNTIF(W3:W23,"T")</f>
        <v>0</v>
      </c>
      <c r="X26" s="1" t="n">
        <f aca="false">COUNTIF(X3:X23,"T")</f>
        <v>2</v>
      </c>
    </row>
    <row r="27" customFormat="false" ht="15" hidden="false" customHeight="false" outlineLevel="0" collapsed="false">
      <c r="B27" s="1" t="s">
        <v>7</v>
      </c>
      <c r="W27" s="1" t="n">
        <f aca="false">SUM(W24:W26)</f>
        <v>14</v>
      </c>
      <c r="X27" s="1" t="n">
        <f aca="false">SUM(X24:X26)</f>
        <v>15</v>
      </c>
    </row>
  </sheetData>
  <conditionalFormatting sqref="S3:T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3">
      <formula>"TEA"</formula>
    </cfRule>
    <cfRule type="cellIs" priority="6" operator="equal" aboveAverage="0" equalAverage="0" bottom="0" percent="0" rank="0" text="" dxfId="4">
      <formula>"TEP"</formula>
    </cfRule>
    <cfRule type="cellIs" priority="7" operator="equal" aboveAverage="0" equalAverage="0" bottom="0" percent="0" rank="0" text="" dxfId="5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O22" activeCellId="0" sqref="O22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1.34"/>
    <col collapsed="false" customWidth="true" hidden="true" outlineLevel="0" max="4" min="4" style="1" width="35.71"/>
    <col collapsed="false" customWidth="true" hidden="true" outlineLevel="0" max="5" min="5" style="1" width="8.68"/>
    <col collapsed="false" customWidth="true" hidden="true" outlineLevel="0" max="6" min="6" style="1" width="11.78"/>
    <col collapsed="false" customWidth="false" hidden="true" outlineLevel="0" max="9" min="7" style="0" width="8.75"/>
    <col collapsed="false" customWidth="true" hidden="true" outlineLevel="0" max="10" min="10" style="1" width="10.37"/>
    <col collapsed="false" customWidth="false" hidden="true" outlineLevel="0" max="11" min="11" style="0" width="8.75"/>
    <col collapsed="false" customWidth="false" hidden="true" outlineLevel="0" max="13" min="13" style="0" width="8.75"/>
    <col collapsed="false" customWidth="true" hidden="false" outlineLevel="0" max="16384" min="16145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1</v>
      </c>
      <c r="B2" s="2" t="s">
        <v>38</v>
      </c>
      <c r="C2" s="2" t="s">
        <v>2</v>
      </c>
      <c r="D2" s="2" t="s">
        <v>39</v>
      </c>
      <c r="E2" s="3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8</v>
      </c>
      <c r="M2" s="1" t="s">
        <v>47</v>
      </c>
      <c r="N2" s="8" t="s">
        <v>48</v>
      </c>
      <c r="O2" s="8" t="s">
        <v>49</v>
      </c>
    </row>
    <row r="3" customFormat="false" ht="15" hidden="false" customHeight="false" outlineLevel="0" collapsed="false">
      <c r="A3" s="1" t="n">
        <v>1</v>
      </c>
      <c r="B3" s="2" t="s">
        <v>50</v>
      </c>
      <c r="C3" s="2" t="s">
        <v>10</v>
      </c>
      <c r="D3" s="2" t="s">
        <v>51</v>
      </c>
      <c r="E3" s="5" t="n">
        <v>8</v>
      </c>
      <c r="F3" s="5" t="n">
        <v>9</v>
      </c>
      <c r="G3" s="5" t="n">
        <v>5</v>
      </c>
      <c r="I3" s="5" t="n">
        <v>5</v>
      </c>
      <c r="J3" s="5" t="n">
        <v>7</v>
      </c>
      <c r="K3" s="5" t="n">
        <v>8</v>
      </c>
      <c r="L3" s="5" t="n">
        <f aca="false">ROUND(AVERAGE(E3,F3,G3,I3,J3,K3),0)</f>
        <v>7</v>
      </c>
      <c r="M3" s="5" t="str">
        <f aca="false">IF(L3&gt;6,"TEA",IF(L3&gt;3,"TEP","TED"))</f>
        <v>TEA</v>
      </c>
      <c r="N3" s="0" t="n">
        <v>8</v>
      </c>
      <c r="O3" s="0" t="n">
        <f aca="false">IF(AND(L3&gt;6,N3&gt;6),ROUND((L3+N3)/2,0),MIN(L3,N3))</f>
        <v>8</v>
      </c>
      <c r="P3" s="5" t="str">
        <f aca="false">IF(O3&gt;6,"TEA",IF(O3&gt;3,"TEP","TED"))</f>
        <v>TEA</v>
      </c>
    </row>
    <row r="4" customFormat="false" ht="15" hidden="false" customHeight="false" outlineLevel="0" collapsed="false">
      <c r="A4" s="1" t="n">
        <v>2</v>
      </c>
      <c r="B4" s="2" t="s">
        <v>52</v>
      </c>
      <c r="C4" s="2" t="s">
        <v>14</v>
      </c>
      <c r="D4" s="2" t="s">
        <v>53</v>
      </c>
      <c r="E4" s="5" t="n">
        <v>10</v>
      </c>
      <c r="F4" s="5" t="n">
        <v>5.5</v>
      </c>
      <c r="G4" s="5" t="n">
        <v>8</v>
      </c>
      <c r="I4" s="5" t="n">
        <v>7</v>
      </c>
      <c r="J4" s="5" t="n">
        <v>9</v>
      </c>
      <c r="K4" s="5" t="n">
        <v>10</v>
      </c>
      <c r="L4" s="5" t="n">
        <f aca="false">ROUND(AVERAGE(E4,F4,G4,I4,J4,K4),0)</f>
        <v>8</v>
      </c>
      <c r="M4" s="5" t="str">
        <f aca="false">IF(L4&gt;6,"TEA",IF(L4&gt;3,"TEP","TED"))</f>
        <v>TEA</v>
      </c>
      <c r="N4" s="0" t="n">
        <v>8</v>
      </c>
      <c r="O4" s="0" t="n">
        <f aca="false">IF(AND(L4&gt;6,N4&gt;6),ROUND((L4+N4)/2,0),MIN(L4,N4))</f>
        <v>8</v>
      </c>
      <c r="P4" s="5" t="str">
        <f aca="false">IF(O4&gt;6,"TEA",IF(O4&gt;3,"TEP","TED"))</f>
        <v>TEA</v>
      </c>
    </row>
    <row r="5" customFormat="false" ht="15" hidden="false" customHeight="false" outlineLevel="0" collapsed="false">
      <c r="A5" s="1" t="n">
        <v>3</v>
      </c>
      <c r="B5" s="2" t="s">
        <v>54</v>
      </c>
      <c r="C5" s="2" t="s">
        <v>16</v>
      </c>
      <c r="D5" s="2" t="s">
        <v>55</v>
      </c>
      <c r="E5" s="5" t="n">
        <v>1</v>
      </c>
      <c r="F5" s="5" t="n">
        <v>7</v>
      </c>
      <c r="G5" s="5" t="n">
        <v>7</v>
      </c>
      <c r="I5" s="5" t="n">
        <v>7</v>
      </c>
      <c r="J5" s="5" t="n">
        <v>7</v>
      </c>
      <c r="K5" s="5" t="n">
        <v>9</v>
      </c>
      <c r="L5" s="5" t="n">
        <f aca="false">ROUND(AVERAGE(E5,F5,G5,I5,J5,K5),0)</f>
        <v>6</v>
      </c>
      <c r="M5" s="5" t="str">
        <f aca="false">IF(L5&gt;6,"TEA",IF(L5&gt;3,"TEP","TED"))</f>
        <v>TEP</v>
      </c>
      <c r="N5" s="0" t="n">
        <v>8</v>
      </c>
      <c r="O5" s="0" t="n">
        <f aca="false">IF(AND(L5&gt;6,N5&gt;6),ROUND((L5+N5)/2,0),MIN(L5,N5))</f>
        <v>6</v>
      </c>
      <c r="P5" s="5" t="str">
        <f aca="false">IF(O5&gt;6,"TEA",IF(O5&gt;3,"TEP","TED"))</f>
        <v>TEP</v>
      </c>
    </row>
    <row r="6" customFormat="false" ht="15" hidden="false" customHeight="false" outlineLevel="0" collapsed="false">
      <c r="A6" s="1" t="n">
        <v>4</v>
      </c>
      <c r="B6" s="2" t="s">
        <v>56</v>
      </c>
      <c r="C6" s="2" t="s">
        <v>17</v>
      </c>
      <c r="D6" s="2" t="s">
        <v>57</v>
      </c>
      <c r="E6" s="5" t="n">
        <v>10</v>
      </c>
      <c r="F6" s="5" t="n">
        <v>10</v>
      </c>
      <c r="G6" s="5" t="n">
        <v>10</v>
      </c>
      <c r="I6" s="5" t="n">
        <v>10</v>
      </c>
      <c r="J6" s="5" t="n">
        <v>9</v>
      </c>
      <c r="K6" s="5" t="n">
        <v>10</v>
      </c>
      <c r="L6" s="5" t="n">
        <f aca="false">ROUND(AVERAGE(E6,F6,G6,I6,J6,K6),0)</f>
        <v>10</v>
      </c>
      <c r="M6" s="5" t="str">
        <f aca="false">IF(L6&gt;6,"TEA",IF(L6&gt;3,"TEP","TED"))</f>
        <v>TEA</v>
      </c>
      <c r="N6" s="0" t="n">
        <v>8</v>
      </c>
      <c r="O6" s="0" t="n">
        <f aca="false">IF(AND(L6&gt;6,N6&gt;6),ROUND((L6+N6)/2,0),MIN(L6,N6))</f>
        <v>9</v>
      </c>
      <c r="P6" s="5" t="str">
        <f aca="false">IF(O6&gt;6,"TEA",IF(O6&gt;3,"TEP","TED"))</f>
        <v>TEA</v>
      </c>
    </row>
    <row r="7" customFormat="false" ht="15" hidden="false" customHeight="false" outlineLevel="0" collapsed="false">
      <c r="A7" s="1" t="n">
        <v>5</v>
      </c>
      <c r="B7" s="2" t="s">
        <v>58</v>
      </c>
      <c r="C7" s="2" t="s">
        <v>18</v>
      </c>
      <c r="D7" s="2" t="s">
        <v>59</v>
      </c>
      <c r="E7" s="5" t="n">
        <v>8</v>
      </c>
      <c r="F7" s="5" t="n">
        <v>10</v>
      </c>
      <c r="G7" s="5" t="n">
        <v>9</v>
      </c>
      <c r="H7" s="3" t="n">
        <v>46135</v>
      </c>
      <c r="I7" s="5" t="n">
        <v>7</v>
      </c>
      <c r="J7" s="5" t="n">
        <v>10</v>
      </c>
      <c r="K7" s="5" t="n">
        <v>8</v>
      </c>
      <c r="L7" s="5" t="n">
        <f aca="false">ROUND(AVERAGE(E7,F7,G7,I7,J7,K7),0)</f>
        <v>9</v>
      </c>
      <c r="M7" s="5" t="str">
        <f aca="false">IF(L7&gt;6,"TEA",IF(L7&gt;3,"TEP","TED"))</f>
        <v>TEA</v>
      </c>
      <c r="N7" s="0" t="n">
        <v>8</v>
      </c>
      <c r="O7" s="0" t="n">
        <f aca="false">IF(AND(L7&gt;6,N7&gt;6),ROUND((L7+N7)/2,0),MIN(L7,N7))</f>
        <v>9</v>
      </c>
      <c r="P7" s="5" t="str">
        <f aca="false">IF(O7&gt;6,"TEA",IF(O7&gt;3,"TEP","TED"))</f>
        <v>TEA</v>
      </c>
    </row>
    <row r="8" s="2" customFormat="true" ht="15" hidden="false" customHeight="false" outlineLevel="0" collapsed="false">
      <c r="A8" s="1" t="n">
        <v>6</v>
      </c>
      <c r="B8" s="2" t="s">
        <v>60</v>
      </c>
      <c r="C8" s="2" t="s">
        <v>19</v>
      </c>
      <c r="D8" s="2" t="s">
        <v>61</v>
      </c>
      <c r="E8" s="5" t="n">
        <v>8</v>
      </c>
      <c r="F8" s="5" t="n">
        <v>10</v>
      </c>
      <c r="G8" s="5" t="n">
        <v>10</v>
      </c>
      <c r="H8" s="5"/>
      <c r="I8" s="5" t="n">
        <v>9</v>
      </c>
      <c r="J8" s="5" t="n">
        <v>10</v>
      </c>
      <c r="K8" s="5" t="n">
        <v>10</v>
      </c>
      <c r="L8" s="5" t="n">
        <f aca="false">ROUND(AVERAGE(E8,F8,G8,I8,J8,K8),0)</f>
        <v>10</v>
      </c>
      <c r="M8" s="5" t="str">
        <f aca="false">IF(L8&gt;6,"TEA",IF(L8&gt;3,"TEP","TED"))</f>
        <v>TEA</v>
      </c>
      <c r="N8" s="0" t="n">
        <v>8</v>
      </c>
      <c r="O8" s="0" t="n">
        <f aca="false">IF(AND(L8&gt;6,N8&gt;6),ROUND((L8+N8)/2,0),MIN(L8,N8))</f>
        <v>9</v>
      </c>
      <c r="P8" s="5" t="str">
        <f aca="false">IF(O8&gt;6,"TEA",IF(O8&gt;3,"TEP","TED"))</f>
        <v>TEA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</row>
    <row r="9" customFormat="false" ht="15" hidden="false" customHeight="false" outlineLevel="0" collapsed="false">
      <c r="A9" s="1" t="n">
        <v>7</v>
      </c>
      <c r="B9" s="2" t="s">
        <v>62</v>
      </c>
      <c r="C9" s="2" t="s">
        <v>20</v>
      </c>
      <c r="D9" s="2" t="s">
        <v>63</v>
      </c>
      <c r="E9" s="5" t="n">
        <v>8</v>
      </c>
      <c r="F9" s="5" t="n">
        <v>10</v>
      </c>
      <c r="G9" s="5" t="n">
        <v>8</v>
      </c>
      <c r="I9" s="5" t="n">
        <v>1</v>
      </c>
      <c r="J9" s="5" t="n">
        <v>10</v>
      </c>
      <c r="K9" s="5" t="n">
        <v>9</v>
      </c>
      <c r="L9" s="5" t="n">
        <f aca="false">ROUND(AVERAGE(E9,F9,G9,I9,J9,K9),0)</f>
        <v>8</v>
      </c>
      <c r="M9" s="5" t="str">
        <f aca="false">IF(L9&gt;6,"TEA",IF(L9&gt;3,"TEP","TED"))</f>
        <v>TEA</v>
      </c>
      <c r="N9" s="0" t="n">
        <v>8</v>
      </c>
      <c r="O9" s="0" t="n">
        <f aca="false">IF(AND(L9&gt;6,N9&gt;6),ROUND((L9+N9)/2,0),MIN(L9,N9))</f>
        <v>8</v>
      </c>
      <c r="P9" s="5" t="str">
        <f aca="false">IF(O9&gt;6,"TEA",IF(O9&gt;3,"TEP","TED"))</f>
        <v>TEA</v>
      </c>
    </row>
    <row r="10" customFormat="false" ht="15" hidden="false" customHeight="false" outlineLevel="0" collapsed="false">
      <c r="A10" s="1" t="n">
        <v>8</v>
      </c>
      <c r="B10" s="2" t="s">
        <v>64</v>
      </c>
      <c r="C10" s="2" t="s">
        <v>21</v>
      </c>
      <c r="D10" s="2" t="s">
        <v>65</v>
      </c>
      <c r="E10" s="5" t="n">
        <v>10</v>
      </c>
      <c r="F10" s="5" t="n">
        <v>10</v>
      </c>
      <c r="G10" s="5" t="n">
        <v>10</v>
      </c>
      <c r="I10" s="5" t="n">
        <v>10</v>
      </c>
      <c r="J10" s="5" t="n">
        <v>10</v>
      </c>
      <c r="K10" s="5" t="n">
        <v>10</v>
      </c>
      <c r="L10" s="5" t="n">
        <f aca="false">ROUND(AVERAGE(E10,F10,G10,I10,J10,K10),0)</f>
        <v>10</v>
      </c>
      <c r="M10" s="5" t="str">
        <f aca="false">IF(L10&gt;6,"TEA",IF(L10&gt;3,"TEP","TED"))</f>
        <v>TEA</v>
      </c>
      <c r="N10" s="0" t="n">
        <v>8</v>
      </c>
      <c r="O10" s="0" t="n">
        <f aca="false">IF(AND(L10&gt;6,N10&gt;6),ROUND((L10+N10)/2,0),MIN(L10,N10))</f>
        <v>9</v>
      </c>
      <c r="P10" s="5" t="str">
        <f aca="false">IF(O10&gt;6,"TEA",IF(O10&gt;3,"TEP","TED"))</f>
        <v>TEA</v>
      </c>
    </row>
    <row r="11" customFormat="false" ht="15" hidden="false" customHeight="false" outlineLevel="0" collapsed="false">
      <c r="A11" s="1" t="n">
        <v>9</v>
      </c>
      <c r="B11" s="2" t="s">
        <v>66</v>
      </c>
      <c r="C11" s="2" t="s">
        <v>22</v>
      </c>
      <c r="D11" s="2" t="s">
        <v>67</v>
      </c>
      <c r="E11" s="5" t="n">
        <v>10</v>
      </c>
      <c r="F11" s="5" t="n">
        <v>10</v>
      </c>
      <c r="G11" s="5" t="n">
        <v>10</v>
      </c>
      <c r="I11" s="5" t="n">
        <v>6</v>
      </c>
      <c r="J11" s="5" t="n">
        <v>9</v>
      </c>
      <c r="K11" s="5" t="n">
        <v>10</v>
      </c>
      <c r="L11" s="5" t="n">
        <f aca="false">ROUND(AVERAGE(E11,F11,G11,I11,J11,K11),0)</f>
        <v>9</v>
      </c>
      <c r="M11" s="5" t="str">
        <f aca="false">IF(L11&gt;6,"TEA",IF(L11&gt;3,"TEP","TED"))</f>
        <v>TEA</v>
      </c>
      <c r="N11" s="0" t="n">
        <v>8</v>
      </c>
      <c r="O11" s="0" t="n">
        <f aca="false">IF(AND(L11&gt;6,N11&gt;6),ROUND((L11+N11)/2,0),MIN(L11,N11))</f>
        <v>9</v>
      </c>
      <c r="P11" s="5" t="str">
        <f aca="false">IF(O11&gt;6,"TEA",IF(O11&gt;3,"TEP","TED"))</f>
        <v>TEA</v>
      </c>
    </row>
    <row r="12" s="7" customFormat="true" ht="15" hidden="false" customHeight="false" outlineLevel="0" collapsed="false">
      <c r="A12" s="6" t="n">
        <v>10</v>
      </c>
      <c r="B12" s="7" t="s">
        <v>68</v>
      </c>
      <c r="C12" s="7" t="s">
        <v>23</v>
      </c>
      <c r="D12" s="7" t="s">
        <v>69</v>
      </c>
      <c r="E12" s="6" t="n">
        <v>1</v>
      </c>
      <c r="F12" s="6" t="n">
        <v>1</v>
      </c>
      <c r="G12" s="6" t="n">
        <v>1</v>
      </c>
      <c r="H12" s="6"/>
      <c r="I12" s="6" t="n">
        <v>1</v>
      </c>
      <c r="J12" s="5" t="n">
        <v>1</v>
      </c>
      <c r="K12" s="6" t="n">
        <v>1</v>
      </c>
      <c r="L12" s="5" t="n">
        <f aca="false">ROUND(AVERAGE(E12,F12,G12,I12,J12,K12),0)</f>
        <v>1</v>
      </c>
      <c r="M12" s="5" t="str">
        <f aca="false">IF(L12&gt;6,"TEA",IF(L12&gt;3,"TEP","TED"))</f>
        <v>TED</v>
      </c>
      <c r="N12" s="0" t="n">
        <v>1</v>
      </c>
      <c r="O12" s="0" t="n">
        <f aca="false">IF(AND(L12&gt;6,N12&gt;6),ROUND((L12+N12)/2,0),MIN(L12,N12))</f>
        <v>1</v>
      </c>
      <c r="P12" s="5" t="str">
        <f aca="false">IF(O12&gt;6,"TEA",IF(O12&gt;3,"TEP","TED"))</f>
        <v>TED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</row>
    <row r="13" s="1" customFormat="true" ht="15" hidden="false" customHeight="false" outlineLevel="0" collapsed="false">
      <c r="A13" s="1" t="n">
        <v>11</v>
      </c>
      <c r="B13" s="2" t="s">
        <v>70</v>
      </c>
      <c r="C13" s="2" t="s">
        <v>26</v>
      </c>
      <c r="D13" s="2" t="s">
        <v>71</v>
      </c>
      <c r="E13" s="5" t="n">
        <v>10</v>
      </c>
      <c r="F13" s="5" t="n">
        <v>9</v>
      </c>
      <c r="G13" s="5" t="n">
        <v>10</v>
      </c>
      <c r="H13" s="5"/>
      <c r="I13" s="5" t="n">
        <v>9</v>
      </c>
      <c r="J13" s="5" t="n">
        <v>8</v>
      </c>
      <c r="K13" s="5" t="n">
        <v>10</v>
      </c>
      <c r="L13" s="5" t="n">
        <f aca="false">ROUND(AVERAGE(E13,F13,G13,I13,J13,K13),0)</f>
        <v>9</v>
      </c>
      <c r="M13" s="5" t="str">
        <f aca="false">IF(L13&gt;6,"TEA",IF(L13&gt;3,"TEP","TED"))</f>
        <v>TEA</v>
      </c>
      <c r="N13" s="0" t="n">
        <v>8</v>
      </c>
      <c r="O13" s="0" t="n">
        <f aca="false">IF(AND(L13&gt;6,N13&gt;6),ROUND((L13+N13)/2,0),MIN(L13,N13))</f>
        <v>9</v>
      </c>
      <c r="P13" s="5" t="str">
        <f aca="false">IF(O13&gt;6,"TEA",IF(O13&gt;3,"TEP","TED"))</f>
        <v>TEA</v>
      </c>
    </row>
    <row r="14" s="1" customFormat="true" ht="15" hidden="false" customHeight="false" outlineLevel="0" collapsed="false">
      <c r="A14" s="1" t="n">
        <v>12</v>
      </c>
      <c r="B14" s="2" t="s">
        <v>72</v>
      </c>
      <c r="C14" s="2" t="s">
        <v>27</v>
      </c>
      <c r="D14" s="2" t="s">
        <v>73</v>
      </c>
      <c r="E14" s="5" t="n">
        <v>10</v>
      </c>
      <c r="F14" s="5" t="n">
        <v>10</v>
      </c>
      <c r="G14" s="5" t="n">
        <v>9</v>
      </c>
      <c r="H14" s="5"/>
      <c r="I14" s="5" t="n">
        <v>9</v>
      </c>
      <c r="J14" s="5" t="n">
        <v>10</v>
      </c>
      <c r="K14" s="5" t="n">
        <v>9</v>
      </c>
      <c r="L14" s="5" t="n">
        <f aca="false">ROUND(AVERAGE(E14,F14,G14,I14,J14,K14),0)</f>
        <v>10</v>
      </c>
      <c r="M14" s="5" t="str">
        <f aca="false">IF(L14&gt;6,"TEA",IF(L14&gt;3,"TEP","TED"))</f>
        <v>TEA</v>
      </c>
      <c r="N14" s="0" t="n">
        <v>8</v>
      </c>
      <c r="O14" s="0" t="n">
        <f aca="false">IF(AND(L14&gt;6,N14&gt;6),ROUND((L14+N14)/2,0),MIN(L14,N14))</f>
        <v>9</v>
      </c>
      <c r="P14" s="5" t="str">
        <f aca="false">IF(O14&gt;6,"TEA",IF(O14&gt;3,"TEP","TED"))</f>
        <v>TEA</v>
      </c>
    </row>
    <row r="15" s="7" customFormat="true" ht="15" hidden="false" customHeight="false" outlineLevel="0" collapsed="false">
      <c r="A15" s="6" t="n">
        <v>13</v>
      </c>
      <c r="B15" s="7" t="s">
        <v>74</v>
      </c>
      <c r="C15" s="7" t="s">
        <v>28</v>
      </c>
      <c r="D15" s="7" t="s">
        <v>75</v>
      </c>
      <c r="E15" s="6" t="n">
        <v>1</v>
      </c>
      <c r="F15" s="6" t="n">
        <v>1</v>
      </c>
      <c r="G15" s="6" t="n">
        <v>1</v>
      </c>
      <c r="H15" s="6"/>
      <c r="I15" s="6" t="n">
        <v>1</v>
      </c>
      <c r="J15" s="5" t="n">
        <v>1</v>
      </c>
      <c r="K15" s="6" t="n">
        <v>1</v>
      </c>
      <c r="L15" s="5" t="n">
        <f aca="false">ROUND(AVERAGE(E15,F15,G15,I15,J15,K15),0)</f>
        <v>1</v>
      </c>
      <c r="M15" s="5" t="str">
        <f aca="false">IF(L15&gt;6,"TEA",IF(L15&gt;3,"TEP","TED"))</f>
        <v>TED</v>
      </c>
      <c r="N15" s="0" t="n">
        <v>1</v>
      </c>
      <c r="O15" s="0" t="n">
        <f aca="false">IF(AND(L15&gt;6,N15&gt;6),ROUND((L15+N15)/2,0),MIN(L15,N15))</f>
        <v>1</v>
      </c>
      <c r="P15" s="5" t="str">
        <f aca="false">IF(O15&gt;6,"TEA",IF(O15&gt;3,"TEP","TED"))</f>
        <v>TED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</row>
    <row r="16" s="1" customFormat="true" ht="15" hidden="false" customHeight="false" outlineLevel="0" collapsed="false">
      <c r="A16" s="1" t="n">
        <v>14</v>
      </c>
      <c r="B16" s="2" t="s">
        <v>76</v>
      </c>
      <c r="C16" s="2" t="s">
        <v>29</v>
      </c>
      <c r="D16" s="2" t="s">
        <v>77</v>
      </c>
      <c r="E16" s="5" t="n">
        <v>8</v>
      </c>
      <c r="F16" s="5" t="n">
        <v>9</v>
      </c>
      <c r="G16" s="5" t="n">
        <v>10</v>
      </c>
      <c r="H16" s="5"/>
      <c r="I16" s="5" t="n">
        <v>10</v>
      </c>
      <c r="J16" s="5" t="n">
        <v>6.9</v>
      </c>
      <c r="K16" s="5" t="n">
        <v>9</v>
      </c>
      <c r="L16" s="5" t="n">
        <f aca="false">ROUND(AVERAGE(E16,F16,G16,I16,J16,K16),0)</f>
        <v>9</v>
      </c>
      <c r="M16" s="5" t="str">
        <f aca="false">IF(L16&gt;6,"TEA",IF(L16&gt;3,"TEP","TED"))</f>
        <v>TEA</v>
      </c>
      <c r="N16" s="0" t="n">
        <v>8</v>
      </c>
      <c r="O16" s="0" t="n">
        <f aca="false">IF(AND(L16&gt;6,N16&gt;6),ROUND((L16+N16)/2,0),MIN(L16,N16))</f>
        <v>9</v>
      </c>
      <c r="P16" s="5" t="str">
        <f aca="false">IF(O16&gt;6,"TEA",IF(O16&gt;3,"TEP","TED"))</f>
        <v>TEA</v>
      </c>
    </row>
    <row r="17" s="1" customFormat="true" ht="15" hidden="false" customHeight="false" outlineLevel="0" collapsed="false">
      <c r="A17" s="1" t="n">
        <v>15</v>
      </c>
      <c r="B17" s="2" t="s">
        <v>78</v>
      </c>
      <c r="C17" s="2" t="s">
        <v>30</v>
      </c>
      <c r="D17" s="2" t="s">
        <v>79</v>
      </c>
      <c r="E17" s="5" t="n">
        <v>10</v>
      </c>
      <c r="F17" s="5" t="n">
        <v>5</v>
      </c>
      <c r="G17" s="5" t="n">
        <v>9</v>
      </c>
      <c r="H17" s="5"/>
      <c r="I17" s="5" t="n">
        <v>4</v>
      </c>
      <c r="J17" s="5" t="n">
        <v>10</v>
      </c>
      <c r="K17" s="5" t="n">
        <v>10</v>
      </c>
      <c r="L17" s="5" t="n">
        <f aca="false">ROUND(AVERAGE(E17,F17,G17,I17,J17,K17),0)</f>
        <v>8</v>
      </c>
      <c r="M17" s="5" t="str">
        <f aca="false">IF(L17&gt;6,"TEA",IF(L17&gt;3,"TEP","TED"))</f>
        <v>TEA</v>
      </c>
      <c r="N17" s="0" t="n">
        <v>8</v>
      </c>
      <c r="O17" s="0" t="n">
        <f aca="false">IF(AND(L17&gt;6,N17&gt;6),ROUND((L17+N17)/2,0),MIN(L17,N17))</f>
        <v>8</v>
      </c>
      <c r="P17" s="5" t="str">
        <f aca="false">IF(O17&gt;6,"TEA",IF(O17&gt;3,"TEP","TED"))</f>
        <v>TEA</v>
      </c>
    </row>
    <row r="18" s="7" customFormat="true" ht="15" hidden="false" customHeight="false" outlineLevel="0" collapsed="false">
      <c r="A18" s="6" t="n">
        <v>16</v>
      </c>
      <c r="B18" s="7" t="s">
        <v>80</v>
      </c>
      <c r="C18" s="7" t="s">
        <v>31</v>
      </c>
      <c r="D18" s="7" t="s">
        <v>81</v>
      </c>
      <c r="E18" s="6" t="n">
        <v>1</v>
      </c>
      <c r="F18" s="6" t="n">
        <v>10</v>
      </c>
      <c r="G18" s="6" t="n">
        <v>1</v>
      </c>
      <c r="H18" s="6"/>
      <c r="I18" s="6" t="n">
        <v>1</v>
      </c>
      <c r="J18" s="5" t="n">
        <v>1</v>
      </c>
      <c r="K18" s="6" t="n">
        <v>1</v>
      </c>
      <c r="L18" s="5" t="n">
        <f aca="false">ROUND(AVERAGE(E18,F18,G18,I18,J18,K18),0)</f>
        <v>3</v>
      </c>
      <c r="M18" s="5" t="str">
        <f aca="false">IF(L18&gt;6,"TEA",IF(L18&gt;3,"TEP","TED"))</f>
        <v>TED</v>
      </c>
      <c r="N18" s="0" t="n">
        <v>1</v>
      </c>
      <c r="O18" s="0" t="n">
        <f aca="false">IF(AND(L18&gt;6,N18&gt;6),ROUND((L18+N18)/2,0),MIN(L18,N18))</f>
        <v>1</v>
      </c>
      <c r="P18" s="5" t="str">
        <f aca="false">IF(O18&gt;6,"TEA",IF(O18&gt;3,"TEP","TED"))</f>
        <v>TED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WVY18" s="6"/>
      <c r="WVZ18" s="6"/>
      <c r="WWA18" s="6"/>
      <c r="WWB18" s="6"/>
      <c r="WWC18" s="6"/>
      <c r="WWD18" s="6"/>
      <c r="WWE18" s="6"/>
      <c r="WWF18" s="6"/>
      <c r="WWG18" s="6"/>
      <c r="WWH18" s="6"/>
      <c r="WWI18" s="6"/>
      <c r="WWJ18" s="6"/>
      <c r="WWK18" s="6"/>
      <c r="WWL18" s="6"/>
      <c r="WWM18" s="6"/>
      <c r="WWN18" s="6"/>
      <c r="WWO18" s="6"/>
      <c r="WWP18" s="6"/>
      <c r="WWQ18" s="6"/>
      <c r="WWR18" s="6"/>
      <c r="WWS18" s="6"/>
      <c r="WWT18" s="6"/>
      <c r="WWU18" s="6"/>
      <c r="WWV18" s="6"/>
      <c r="WWW18" s="6"/>
      <c r="WWX18" s="6"/>
      <c r="WWY18" s="6"/>
      <c r="WWZ18" s="6"/>
      <c r="WXA18" s="6"/>
      <c r="WXB18" s="6"/>
      <c r="WXC18" s="6"/>
      <c r="WXD18" s="6"/>
      <c r="WXE18" s="6"/>
      <c r="WXF18" s="6"/>
      <c r="WXG18" s="6"/>
      <c r="WXH18" s="6"/>
      <c r="WXI18" s="6"/>
      <c r="WXJ18" s="6"/>
      <c r="WXK18" s="6"/>
      <c r="WXL18" s="6"/>
      <c r="WXM18" s="6"/>
      <c r="WXN18" s="6"/>
      <c r="WXO18" s="6"/>
      <c r="WXP18" s="6"/>
      <c r="WXQ18" s="6"/>
      <c r="WXR18" s="6"/>
      <c r="WXS18" s="6"/>
      <c r="WXT18" s="6"/>
      <c r="WXU18" s="6"/>
      <c r="WXV18" s="6"/>
      <c r="WXW18" s="6"/>
      <c r="WXX18" s="6"/>
      <c r="WXY18" s="6"/>
      <c r="WXZ18" s="6"/>
    </row>
    <row r="19" s="7" customFormat="true" ht="15" hidden="false" customHeight="false" outlineLevel="0" collapsed="false">
      <c r="A19" s="6" t="n">
        <v>17</v>
      </c>
      <c r="B19" s="7" t="s">
        <v>82</v>
      </c>
      <c r="C19" s="7" t="s">
        <v>32</v>
      </c>
      <c r="D19" s="7" t="s">
        <v>83</v>
      </c>
      <c r="E19" s="6" t="n">
        <v>1</v>
      </c>
      <c r="F19" s="6" t="n">
        <v>1</v>
      </c>
      <c r="G19" s="6" t="n">
        <v>1</v>
      </c>
      <c r="H19" s="6"/>
      <c r="I19" s="6" t="n">
        <v>1</v>
      </c>
      <c r="J19" s="5" t="n">
        <v>1</v>
      </c>
      <c r="K19" s="6" t="n">
        <v>1</v>
      </c>
      <c r="L19" s="5" t="n">
        <f aca="false">ROUND(AVERAGE(E19,F19,G19,I19,J19,K19),0)</f>
        <v>1</v>
      </c>
      <c r="M19" s="5" t="str">
        <f aca="false">IF(L19&gt;6,"TEA",IF(L19&gt;3,"TEP","TED"))</f>
        <v>TED</v>
      </c>
      <c r="N19" s="0" t="n">
        <v>1</v>
      </c>
      <c r="O19" s="0" t="n">
        <f aca="false">IF(AND(L19&gt;6,N19&gt;6),ROUND((L19+N19)/2,0),MIN(L19,N19))</f>
        <v>1</v>
      </c>
      <c r="P19" s="5" t="str">
        <f aca="false">IF(O19&gt;6,"TEA",IF(O19&gt;3,"TEP","TED"))</f>
        <v>TED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WVY19" s="6"/>
      <c r="WVZ19" s="6"/>
      <c r="WWA19" s="6"/>
      <c r="WWB19" s="6"/>
      <c r="WWC19" s="6"/>
      <c r="WWD19" s="6"/>
      <c r="WWE19" s="6"/>
      <c r="WWF19" s="6"/>
      <c r="WWG19" s="6"/>
      <c r="WWH19" s="6"/>
      <c r="WWI19" s="6"/>
      <c r="WWJ19" s="6"/>
      <c r="WWK19" s="6"/>
      <c r="WWL19" s="6"/>
      <c r="WWM19" s="6"/>
      <c r="WWN19" s="6"/>
      <c r="WWO19" s="6"/>
      <c r="WWP19" s="6"/>
      <c r="WWQ19" s="6"/>
      <c r="WWR19" s="6"/>
      <c r="WWS19" s="6"/>
      <c r="WWT19" s="6"/>
      <c r="WWU19" s="6"/>
      <c r="WWV19" s="6"/>
      <c r="WWW19" s="6"/>
      <c r="WWX19" s="6"/>
      <c r="WWY19" s="6"/>
      <c r="WWZ19" s="6"/>
      <c r="WXA19" s="6"/>
      <c r="WXB19" s="6"/>
      <c r="WXC19" s="6"/>
      <c r="WXD19" s="6"/>
      <c r="WXE19" s="6"/>
      <c r="WXF19" s="6"/>
      <c r="WXG19" s="6"/>
      <c r="WXH19" s="6"/>
      <c r="WXI19" s="6"/>
      <c r="WXJ19" s="6"/>
      <c r="WXK19" s="6"/>
      <c r="WXL19" s="6"/>
      <c r="WXM19" s="6"/>
      <c r="WXN19" s="6"/>
      <c r="WXO19" s="6"/>
      <c r="WXP19" s="6"/>
      <c r="WXQ19" s="6"/>
      <c r="WXR19" s="6"/>
      <c r="WXS19" s="6"/>
      <c r="WXT19" s="6"/>
      <c r="WXU19" s="6"/>
      <c r="WXV19" s="6"/>
      <c r="WXW19" s="6"/>
      <c r="WXX19" s="6"/>
      <c r="WXY19" s="6"/>
      <c r="WXZ19" s="6"/>
    </row>
    <row r="20" s="1" customFormat="true" ht="15" hidden="false" customHeight="false" outlineLevel="0" collapsed="false">
      <c r="A20" s="1" t="n">
        <v>18</v>
      </c>
      <c r="B20" s="2" t="s">
        <v>84</v>
      </c>
      <c r="C20" s="2" t="s">
        <v>33</v>
      </c>
      <c r="D20" s="2" t="s">
        <v>85</v>
      </c>
      <c r="E20" s="5" t="n">
        <v>10</v>
      </c>
      <c r="F20" s="5" t="n">
        <v>1</v>
      </c>
      <c r="G20" s="5" t="n">
        <v>10</v>
      </c>
      <c r="H20" s="5"/>
      <c r="I20" s="5" t="n">
        <v>1</v>
      </c>
      <c r="J20" s="5" t="n">
        <v>3.5</v>
      </c>
      <c r="K20" s="5" t="n">
        <v>7</v>
      </c>
      <c r="L20" s="5" t="n">
        <f aca="false">ROUND(AVERAGE(E20,F20,G20,I20,J20,K20),0)</f>
        <v>5</v>
      </c>
      <c r="M20" s="5" t="str">
        <f aca="false">IF(L20&gt;6,"TEA",IF(L20&gt;3,"TEP","TED"))</f>
        <v>TEP</v>
      </c>
      <c r="N20" s="0" t="n">
        <v>8</v>
      </c>
      <c r="O20" s="0" t="n">
        <f aca="false">IF(AND(L20&gt;6,N20&gt;6),ROUND((L20+N20)/2,0),MIN(L20,N20))</f>
        <v>5</v>
      </c>
      <c r="P20" s="5" t="str">
        <f aca="false">IF(O20&gt;6,"TEA",IF(O20&gt;3,"TEP","TED"))</f>
        <v>TEP</v>
      </c>
    </row>
    <row r="21" s="1" customFormat="true" ht="15" hidden="false" customHeight="false" outlineLevel="0" collapsed="false">
      <c r="A21" s="1" t="n">
        <v>19</v>
      </c>
      <c r="B21" s="2" t="s">
        <v>86</v>
      </c>
      <c r="C21" s="2" t="s">
        <v>34</v>
      </c>
      <c r="D21" s="2" t="s">
        <v>87</v>
      </c>
      <c r="E21" s="5" t="n">
        <v>7</v>
      </c>
      <c r="F21" s="5" t="n">
        <v>8</v>
      </c>
      <c r="G21" s="5" t="n">
        <v>10</v>
      </c>
      <c r="H21" s="5"/>
      <c r="I21" s="5" t="n">
        <v>5</v>
      </c>
      <c r="J21" s="5" t="n">
        <v>8</v>
      </c>
      <c r="K21" s="5" t="n">
        <v>8</v>
      </c>
      <c r="L21" s="5" t="n">
        <f aca="false">ROUND(AVERAGE(E21,F21,G21,I21,J21,K21),0)</f>
        <v>8</v>
      </c>
      <c r="M21" s="5" t="str">
        <f aca="false">IF(L21&gt;6,"TEA",IF(L21&gt;3,"TEP","TED"))</f>
        <v>TEA</v>
      </c>
      <c r="N21" s="0" t="n">
        <v>8</v>
      </c>
      <c r="O21" s="0" t="n">
        <f aca="false">IF(AND(L21&gt;6,N21&gt;6),ROUND((L21+N21)/2,0),MIN(L21,N21))</f>
        <v>8</v>
      </c>
      <c r="P21" s="5" t="str">
        <f aca="false">IF(O21&gt;6,"TEA",IF(O21&gt;3,"TEP","TED"))</f>
        <v>TEA</v>
      </c>
    </row>
    <row r="22" s="1" customFormat="true" ht="15" hidden="false" customHeight="false" outlineLevel="0" collapsed="false">
      <c r="A22" s="1" t="n">
        <v>20</v>
      </c>
      <c r="B22" s="2" t="s">
        <v>88</v>
      </c>
      <c r="C22" s="2" t="s">
        <v>35</v>
      </c>
      <c r="D22" s="2" t="s">
        <v>89</v>
      </c>
      <c r="E22" s="5" t="n">
        <v>10</v>
      </c>
      <c r="F22" s="5" t="n">
        <v>10</v>
      </c>
      <c r="G22" s="5" t="n">
        <v>9</v>
      </c>
      <c r="H22" s="5"/>
      <c r="I22" s="5" t="n">
        <v>10</v>
      </c>
      <c r="J22" s="5" t="n">
        <v>10</v>
      </c>
      <c r="K22" s="5" t="n">
        <v>9</v>
      </c>
      <c r="L22" s="5" t="n">
        <f aca="false">ROUND(AVERAGE(E22,F22,G22,I22,J22,K22),0)</f>
        <v>10</v>
      </c>
      <c r="M22" s="5" t="str">
        <f aca="false">IF(L22&gt;6,"TEA",IF(L22&gt;3,"TEP","TED"))</f>
        <v>TEA</v>
      </c>
      <c r="N22" s="0" t="n">
        <v>8</v>
      </c>
      <c r="O22" s="0" t="n">
        <f aca="false">IF(AND(L22&gt;6,N22&gt;6),ROUND((L22+N22)/2,0),MIN(L22,N22))</f>
        <v>9</v>
      </c>
      <c r="P22" s="5" t="str">
        <f aca="false">IF(O22&gt;6,"TEA",IF(O22&gt;3,"TEP","TED"))</f>
        <v>TEA</v>
      </c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="7" customFormat="true" ht="15" hidden="false" customHeight="false" outlineLevel="0" collapsed="false">
      <c r="A23" s="6" t="n">
        <v>21</v>
      </c>
      <c r="B23" s="7" t="s">
        <v>90</v>
      </c>
      <c r="C23" s="7" t="s">
        <v>36</v>
      </c>
      <c r="D23" s="7" t="s">
        <v>91</v>
      </c>
      <c r="E23" s="6" t="n">
        <v>1</v>
      </c>
      <c r="F23" s="6" t="n">
        <v>1</v>
      </c>
      <c r="G23" s="6" t="n">
        <v>1</v>
      </c>
      <c r="H23" s="6"/>
      <c r="I23" s="6" t="n">
        <v>1</v>
      </c>
      <c r="J23" s="6" t="n">
        <v>1</v>
      </c>
      <c r="K23" s="6" t="n">
        <v>2</v>
      </c>
      <c r="L23" s="6" t="n">
        <f aca="false">ROUND(AVERAGE(E23,F23,G23,I23,J23,K23),0)</f>
        <v>1</v>
      </c>
      <c r="M23" s="6" t="str">
        <f aca="false">IF(L23&gt;6,"TEA",IF(L23&gt;3,"TEP","TED"))</f>
        <v>TED</v>
      </c>
      <c r="N23" s="0" t="n">
        <v>1</v>
      </c>
      <c r="O23" s="0" t="n">
        <f aca="false">IF(AND(L23&gt;6,N23&gt;6),ROUND((L23+N23)/2,0),MIN(L23,N23))</f>
        <v>1</v>
      </c>
      <c r="P23" s="5" t="str">
        <f aca="false">IF(O23&gt;6,"TEA",IF(O23&gt;3,"TEP","TED"))</f>
        <v>TED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WVY23" s="6"/>
      <c r="WVZ23" s="6"/>
      <c r="WWA23" s="6"/>
      <c r="WWB23" s="6"/>
      <c r="WWC23" s="6"/>
      <c r="WWD23" s="6"/>
      <c r="WWE23" s="6"/>
      <c r="WWF23" s="6"/>
      <c r="WWG23" s="6"/>
      <c r="WWH23" s="6"/>
      <c r="WWI23" s="6"/>
      <c r="WWJ23" s="6"/>
      <c r="WWK23" s="6"/>
      <c r="WWL23" s="6"/>
      <c r="WWM23" s="6"/>
      <c r="WWN23" s="6"/>
      <c r="WWO23" s="6"/>
      <c r="WWP23" s="6"/>
      <c r="WWQ23" s="6"/>
      <c r="WWR23" s="6"/>
      <c r="WWS23" s="6"/>
      <c r="WWT23" s="6"/>
      <c r="WWU23" s="6"/>
      <c r="WWV23" s="6"/>
      <c r="WWW23" s="6"/>
      <c r="WWX23" s="6"/>
      <c r="WWY23" s="6"/>
      <c r="WWZ23" s="6"/>
      <c r="WXA23" s="6"/>
      <c r="WXB23" s="6"/>
      <c r="WXC23" s="6"/>
      <c r="WXD23" s="6"/>
      <c r="WXE23" s="6"/>
      <c r="WXF23" s="6"/>
      <c r="WXG23" s="6"/>
      <c r="WXH23" s="6"/>
      <c r="WXI23" s="6"/>
      <c r="WXJ23" s="6"/>
      <c r="WXK23" s="6"/>
      <c r="WXL23" s="6"/>
      <c r="WXM23" s="6"/>
      <c r="WXN23" s="6"/>
      <c r="WXO23" s="6"/>
      <c r="WXP23" s="6"/>
      <c r="WXQ23" s="6"/>
      <c r="WXR23" s="6"/>
      <c r="WXS23" s="6"/>
      <c r="WXT23" s="6"/>
      <c r="WXU23" s="6"/>
      <c r="WXV23" s="6"/>
      <c r="WXW23" s="6"/>
      <c r="WXX23" s="6"/>
      <c r="WXY23" s="6"/>
      <c r="WXZ23" s="6"/>
      <c r="WYA23" s="6"/>
      <c r="WYB23" s="6"/>
      <c r="WYC23" s="6"/>
      <c r="WYD23" s="6"/>
      <c r="WYE23" s="6"/>
      <c r="WYF23" s="6"/>
      <c r="WYG23" s="6"/>
      <c r="WYH23" s="6"/>
      <c r="WYI23" s="6"/>
      <c r="WYJ23" s="6"/>
      <c r="WYK23" s="6"/>
      <c r="WYL23" s="6"/>
      <c r="WYM23" s="6"/>
      <c r="WYN23" s="6"/>
      <c r="WYO23" s="6"/>
      <c r="WYP23" s="6"/>
      <c r="WYQ23" s="6"/>
      <c r="WYR23" s="6"/>
      <c r="WYS23" s="6"/>
      <c r="WYT23" s="6"/>
      <c r="WYU23" s="6"/>
      <c r="WYV23" s="6"/>
      <c r="WYW23" s="6"/>
      <c r="WYX23" s="6"/>
      <c r="WYY23" s="6"/>
      <c r="WYZ23" s="6"/>
      <c r="WZA23" s="6"/>
      <c r="WZB23" s="6"/>
      <c r="WZC23" s="6"/>
      <c r="WZD23" s="6"/>
      <c r="WZE23" s="6"/>
      <c r="WZF23" s="6"/>
      <c r="WZG23" s="6"/>
      <c r="WZH23" s="6"/>
      <c r="WZI23" s="6"/>
      <c r="WZJ23" s="6"/>
      <c r="WZK23" s="6"/>
      <c r="WZL23" s="6"/>
      <c r="WZM23" s="6"/>
      <c r="WZN23" s="6"/>
      <c r="WZO23" s="6"/>
      <c r="WZP23" s="6"/>
      <c r="WZQ23" s="6"/>
      <c r="WZR23" s="6"/>
      <c r="WZS23" s="6"/>
      <c r="WZT23" s="6"/>
      <c r="WZU23" s="6"/>
      <c r="WZV23" s="6"/>
      <c r="WZW23" s="6"/>
      <c r="WZX23" s="6"/>
      <c r="WZY23" s="6"/>
      <c r="WZZ23" s="6"/>
      <c r="XAA23" s="6"/>
      <c r="XAB23" s="6"/>
      <c r="XAC23" s="6"/>
      <c r="XAD23" s="6"/>
      <c r="XAE23" s="6"/>
      <c r="XAF23" s="6"/>
      <c r="XAG23" s="6"/>
      <c r="XAH23" s="6"/>
      <c r="XAI23" s="6"/>
      <c r="XAJ23" s="6"/>
      <c r="XAK23" s="6"/>
      <c r="XAL23" s="6"/>
      <c r="XAM23" s="6"/>
      <c r="XAN23" s="6"/>
      <c r="XAO23" s="6"/>
      <c r="XAP23" s="6"/>
      <c r="XAQ23" s="6"/>
      <c r="XAR23" s="6"/>
      <c r="XAS23" s="6"/>
      <c r="XAT23" s="6"/>
      <c r="XAU23" s="6"/>
      <c r="XAV23" s="6"/>
      <c r="XAW23" s="6"/>
      <c r="XAX23" s="6"/>
      <c r="XAY23" s="6"/>
      <c r="XAZ23" s="6"/>
      <c r="XBA23" s="6"/>
      <c r="XBB23" s="6"/>
      <c r="XBC23" s="6"/>
      <c r="XBD23" s="6"/>
      <c r="XBE23" s="6"/>
      <c r="XBF23" s="6"/>
      <c r="XBG23" s="6"/>
      <c r="XBH23" s="6"/>
      <c r="XBI23" s="6"/>
      <c r="XBJ23" s="6"/>
      <c r="XBK23" s="6"/>
      <c r="XBL23" s="6"/>
      <c r="XBM23" s="6"/>
      <c r="XBN23" s="6"/>
      <c r="XBO23" s="6"/>
      <c r="XBP23" s="6"/>
      <c r="XBQ23" s="6"/>
      <c r="XBR23" s="6"/>
      <c r="XBS23" s="6"/>
      <c r="XBT23" s="6"/>
      <c r="XBU23" s="6"/>
      <c r="XBV23" s="6"/>
      <c r="XBW23" s="6"/>
      <c r="XBX23" s="6"/>
      <c r="XBY23" s="6"/>
      <c r="XBZ23" s="6"/>
      <c r="XCA23" s="6"/>
      <c r="XCB23" s="6"/>
      <c r="XCC23" s="6"/>
      <c r="XCD23" s="6"/>
      <c r="XCE23" s="6"/>
      <c r="XCF23" s="6"/>
      <c r="XCG23" s="6"/>
      <c r="XCH23" s="6"/>
      <c r="XCI23" s="6"/>
      <c r="XCJ23" s="6"/>
      <c r="XCK23" s="6"/>
      <c r="XCL23" s="6"/>
      <c r="XCM23" s="6"/>
      <c r="XCN23" s="6"/>
      <c r="XCO23" s="6"/>
      <c r="XCP23" s="6"/>
      <c r="XCQ23" s="6"/>
      <c r="XCR23" s="6"/>
      <c r="XCS23" s="6"/>
      <c r="XCT23" s="6"/>
      <c r="XCU23" s="6"/>
      <c r="XCV23" s="6"/>
      <c r="XCW23" s="6"/>
      <c r="XCX23" s="6"/>
      <c r="XCY23" s="6"/>
      <c r="XCZ23" s="6"/>
      <c r="XDA23" s="6"/>
      <c r="XDB23" s="6"/>
      <c r="XDC23" s="6"/>
      <c r="XDD23" s="6"/>
      <c r="XDE23" s="6"/>
      <c r="XDF23" s="6"/>
      <c r="XDG23" s="6"/>
      <c r="XDH23" s="6"/>
      <c r="XDI23" s="6"/>
      <c r="XDJ23" s="6"/>
      <c r="XDK23" s="6"/>
      <c r="XDL23" s="6"/>
      <c r="XDM23" s="6"/>
      <c r="XDN23" s="6"/>
      <c r="XDO23" s="6"/>
      <c r="XDP23" s="6"/>
      <c r="XDQ23" s="6"/>
      <c r="XDR23" s="6"/>
      <c r="XDS23" s="6"/>
      <c r="XDT23" s="6"/>
      <c r="XDU23" s="6"/>
      <c r="XDV23" s="6"/>
      <c r="XDW23" s="6"/>
      <c r="XDX23" s="6"/>
      <c r="XDY23" s="6"/>
      <c r="XDZ23" s="6"/>
      <c r="XEA23" s="6"/>
      <c r="XEB23" s="6"/>
      <c r="XEC23" s="6"/>
      <c r="XED23" s="6"/>
      <c r="XEE23" s="6"/>
      <c r="XEF23" s="6"/>
      <c r="XEG23" s="6"/>
      <c r="XEH23" s="6"/>
      <c r="XEI23" s="6"/>
      <c r="XEJ23" s="6"/>
      <c r="XEK23" s="6"/>
      <c r="XEL23" s="6"/>
      <c r="XEM23" s="6"/>
      <c r="XEN23" s="6"/>
      <c r="XEO23" s="6"/>
      <c r="XEP23" s="6"/>
      <c r="XEQ23" s="6"/>
      <c r="XER23" s="6"/>
      <c r="XES23" s="6"/>
      <c r="XET23" s="6"/>
      <c r="XEU23" s="6"/>
      <c r="XEV23" s="6"/>
      <c r="XEW23" s="6"/>
      <c r="XEX23" s="6"/>
      <c r="XEY23" s="6"/>
      <c r="XEZ23" s="6"/>
      <c r="XFA23" s="6"/>
      <c r="XFB23" s="6"/>
      <c r="XFC23" s="6"/>
      <c r="XFD23" s="6"/>
    </row>
  </sheetData>
  <conditionalFormatting sqref="E3:M23 P3:P23">
    <cfRule type="cellIs" priority="2" operator="greaterThan" aboveAverage="0" equalAverage="0" bottom="0" percent="0" rank="0" text="" dxfId="0">
      <formula>6</formula>
    </cfRule>
    <cfRule type="cellIs" priority="3" operator="equal" aboveAverage="0" equalAverage="0" bottom="0" percent="0" rank="0" text="" dxfId="6">
      <formula>0</formula>
    </cfRule>
    <cfRule type="cellIs" priority="4" operator="between" aboveAverage="0" equalAverage="0" bottom="0" percent="0" rank="0" text="" dxfId="1">
      <formula>4</formula>
      <formula>6</formula>
    </cfRule>
    <cfRule type="cellIs" priority="5" operator="lessThan" aboveAverage="0" equalAverage="0" bottom="0" percent="0" rank="0" text="" dxfId="2">
      <formula>4</formula>
    </cfRule>
    <cfRule type="cellIs" priority="6" operator="equal" aboveAverage="0" equalAverage="0" bottom="0" percent="0" rank="0" text="" dxfId="0">
      <formula>"TEA"</formula>
    </cfRule>
    <cfRule type="cellIs" priority="7" operator="equal" aboveAverage="0" equalAverage="0" bottom="0" percent="0" rank="0" text="" dxfId="1">
      <formula>"TEP"</formula>
    </cfRule>
    <cfRule type="cellIs" priority="8" operator="equal" aboveAverage="0" equalAverage="0" bottom="0" percent="0" rank="0" text="" dxfId="2">
      <formula>"TED"</formula>
    </cfRule>
  </conditionalFormatting>
  <conditionalFormatting sqref="N3:O23">
    <cfRule type="cellIs" priority="9" operator="greaterThan" aboveAverage="0" equalAverage="0" bottom="0" percent="0" rank="0" text="" dxfId="7">
      <formula>6</formula>
    </cfRule>
    <cfRule type="cellIs" priority="10" operator="between" aboveAverage="0" equalAverage="0" bottom="0" percent="0" rank="0" text="" dxfId="8">
      <formula>4</formula>
      <formula>6</formula>
    </cfRule>
    <cfRule type="cellIs" priority="11" operator="lessThan" aboveAverage="0" equalAverage="0" bottom="0" percent="0" rank="0" text="" dxfId="9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15" activeCellId="0" sqref="G1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21.05"/>
    <col collapsed="false" customWidth="true" hidden="false" outlineLevel="0" max="3" min="3" style="1" width="19.4"/>
    <col collapsed="false" customWidth="true" hidden="false" outlineLevel="0" max="4" min="4" style="1" width="16.4"/>
  </cols>
  <sheetData>
    <row r="1" customFormat="false" ht="15" hidden="false" customHeight="false" outlineLevel="0" collapsed="false">
      <c r="A1" s="1" t="s">
        <v>1</v>
      </c>
      <c r="B1" s="2" t="s">
        <v>2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</row>
    <row r="2" customFormat="false" ht="15" hidden="false" customHeight="false" outlineLevel="0" collapsed="false">
      <c r="A2" s="1" t="n">
        <v>1</v>
      </c>
      <c r="B2" s="2" t="s">
        <v>10</v>
      </c>
      <c r="C2" s="1" t="s">
        <v>10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2" t="s">
        <v>14</v>
      </c>
      <c r="C3" s="1" t="s">
        <v>14</v>
      </c>
      <c r="D3" s="1" t="n">
        <v>5.5</v>
      </c>
      <c r="G3" s="1" t="n">
        <v>5.5</v>
      </c>
    </row>
    <row r="4" customFormat="false" ht="15" hidden="false" customHeight="false" outlineLevel="0" collapsed="false">
      <c r="A4" s="1" t="n">
        <v>3</v>
      </c>
      <c r="B4" s="2" t="s">
        <v>16</v>
      </c>
      <c r="C4" s="1" t="s">
        <v>16</v>
      </c>
      <c r="D4" s="1" t="n">
        <v>9</v>
      </c>
      <c r="E4" s="1" t="n">
        <f aca="false">ROUND(AVERAGE(D4:D5),0)</f>
        <v>7</v>
      </c>
      <c r="F4" s="1" t="n">
        <v>4</v>
      </c>
      <c r="G4" s="1" t="n">
        <f aca="false">MAX(F4,E4)</f>
        <v>7</v>
      </c>
    </row>
    <row r="5" customFormat="false" ht="15" hidden="false" customHeight="false" outlineLevel="0" collapsed="false">
      <c r="C5" s="1" t="s">
        <v>16</v>
      </c>
      <c r="D5" s="1" t="n">
        <v>4</v>
      </c>
    </row>
    <row r="6" customFormat="false" ht="15" hidden="false" customHeight="false" outlineLevel="0" collapsed="false">
      <c r="A6" s="1" t="n">
        <v>4</v>
      </c>
      <c r="B6" s="2" t="s">
        <v>17</v>
      </c>
      <c r="C6" s="1" t="s">
        <v>17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5</v>
      </c>
      <c r="B7" s="2" t="s">
        <v>18</v>
      </c>
      <c r="C7" s="1" t="s">
        <v>18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6</v>
      </c>
      <c r="B8" s="2" t="s">
        <v>19</v>
      </c>
      <c r="C8" s="1" t="s">
        <v>19</v>
      </c>
      <c r="D8" s="1" t="n">
        <v>10</v>
      </c>
      <c r="G8" s="1" t="n">
        <v>10</v>
      </c>
    </row>
    <row r="9" customFormat="false" ht="15" hidden="false" customHeight="false" outlineLevel="0" collapsed="false">
      <c r="A9" s="1" t="n">
        <v>7</v>
      </c>
      <c r="B9" s="2" t="s">
        <v>20</v>
      </c>
      <c r="C9" s="1" t="s">
        <v>20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8</v>
      </c>
      <c r="B10" s="2" t="s">
        <v>21</v>
      </c>
      <c r="C10" s="1" t="s">
        <v>21</v>
      </c>
      <c r="D10" s="1" t="n">
        <v>10</v>
      </c>
      <c r="G10" s="1" t="n">
        <v>10</v>
      </c>
    </row>
    <row r="11" customFormat="false" ht="15" hidden="false" customHeight="false" outlineLevel="0" collapsed="false">
      <c r="A11" s="1" t="n">
        <v>9</v>
      </c>
      <c r="B11" s="2" t="s">
        <v>22</v>
      </c>
      <c r="C11" s="1" t="s">
        <v>22</v>
      </c>
      <c r="D11" s="1" t="n">
        <v>10</v>
      </c>
      <c r="G11" s="1" t="n">
        <v>10</v>
      </c>
    </row>
    <row r="12" customFormat="false" ht="15" hidden="false" customHeight="false" outlineLevel="0" collapsed="false">
      <c r="A12" s="6" t="n">
        <v>10</v>
      </c>
      <c r="B12" s="7" t="s">
        <v>23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11</v>
      </c>
      <c r="B13" s="2" t="s">
        <v>26</v>
      </c>
      <c r="C13" s="1" t="s">
        <v>26</v>
      </c>
      <c r="D13" s="1" t="n">
        <v>9</v>
      </c>
      <c r="G13" s="1" t="n">
        <v>9</v>
      </c>
    </row>
    <row r="14" customFormat="false" ht="15" hidden="false" customHeight="false" outlineLevel="0" collapsed="false">
      <c r="A14" s="1" t="n">
        <v>12</v>
      </c>
      <c r="B14" s="2" t="s">
        <v>27</v>
      </c>
      <c r="C14" s="1" t="s">
        <v>27</v>
      </c>
      <c r="D14" s="1" t="n">
        <v>10</v>
      </c>
      <c r="G14" s="1" t="n">
        <v>10</v>
      </c>
    </row>
    <row r="15" customFormat="false" ht="15" hidden="false" customHeight="false" outlineLevel="0" collapsed="false">
      <c r="A15" s="6" t="n">
        <v>13</v>
      </c>
      <c r="B15" s="7" t="s">
        <v>28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14</v>
      </c>
      <c r="B16" s="2" t="s">
        <v>29</v>
      </c>
      <c r="C16" s="1" t="s">
        <v>29</v>
      </c>
      <c r="D16" s="1" t="n">
        <v>9</v>
      </c>
      <c r="G16" s="1" t="n">
        <v>9</v>
      </c>
    </row>
    <row r="17" customFormat="false" ht="15" hidden="false" customHeight="false" outlineLevel="0" collapsed="false">
      <c r="A17" s="1" t="n">
        <v>15</v>
      </c>
      <c r="B17" s="2" t="s">
        <v>30</v>
      </c>
      <c r="C17" s="1" t="s">
        <v>30</v>
      </c>
      <c r="D17" s="1" t="n">
        <v>6</v>
      </c>
      <c r="E17" s="1" t="n">
        <f aca="false">ROUND(AVERAGE(D17:D21),0)</f>
        <v>5</v>
      </c>
      <c r="F17" s="1" t="n">
        <v>4</v>
      </c>
      <c r="G17" s="1" t="n">
        <f aca="false">MAX(F17,E17)</f>
        <v>5</v>
      </c>
    </row>
    <row r="18" customFormat="false" ht="15" hidden="false" customHeight="false" outlineLevel="0" collapsed="false">
      <c r="C18" s="1" t="s">
        <v>30</v>
      </c>
      <c r="D18" s="1" t="n">
        <v>6</v>
      </c>
    </row>
    <row r="19" customFormat="false" ht="15" hidden="false" customHeight="false" outlineLevel="0" collapsed="false">
      <c r="C19" s="1" t="s">
        <v>30</v>
      </c>
      <c r="D19" s="1" t="n">
        <v>6</v>
      </c>
    </row>
    <row r="20" customFormat="false" ht="15" hidden="false" customHeight="false" outlineLevel="0" collapsed="false">
      <c r="C20" s="1" t="s">
        <v>30</v>
      </c>
      <c r="D20" s="1" t="n">
        <v>4</v>
      </c>
    </row>
    <row r="21" customFormat="false" ht="15" hidden="false" customHeight="false" outlineLevel="0" collapsed="false">
      <c r="C21" s="1" t="s">
        <v>30</v>
      </c>
      <c r="D21" s="1" t="n">
        <v>3</v>
      </c>
    </row>
    <row r="22" customFormat="false" ht="15" hidden="false" customHeight="false" outlineLevel="0" collapsed="false">
      <c r="A22" s="6" t="n">
        <v>16</v>
      </c>
      <c r="B22" s="7" t="s">
        <v>31</v>
      </c>
      <c r="C22" s="1" t="s">
        <v>31</v>
      </c>
      <c r="D22" s="1" t="n">
        <v>10</v>
      </c>
      <c r="G22" s="1" t="n">
        <v>10</v>
      </c>
    </row>
    <row r="23" customFormat="false" ht="15" hidden="false" customHeight="false" outlineLevel="0" collapsed="false">
      <c r="A23" s="6" t="n">
        <v>17</v>
      </c>
      <c r="B23" s="7" t="s">
        <v>32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18</v>
      </c>
      <c r="B24" s="2" t="s">
        <v>33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19</v>
      </c>
      <c r="B25" s="2" t="s">
        <v>34</v>
      </c>
      <c r="C25" s="1" t="s">
        <v>34</v>
      </c>
      <c r="D25" s="1" t="n">
        <v>10</v>
      </c>
      <c r="E25" s="1" t="n">
        <f aca="false">ROUND(AVERAGE(D25:D26),0)</f>
        <v>8</v>
      </c>
      <c r="F25" s="1" t="n">
        <v>6</v>
      </c>
      <c r="G25" s="1" t="n">
        <f aca="false">MAX(F25,E25)</f>
        <v>8</v>
      </c>
    </row>
    <row r="26" customFormat="false" ht="15" hidden="false" customHeight="false" outlineLevel="0" collapsed="false">
      <c r="C26" s="1" t="s">
        <v>34</v>
      </c>
      <c r="D26" s="1" t="n">
        <v>6</v>
      </c>
    </row>
    <row r="27" customFormat="false" ht="15" hidden="false" customHeight="false" outlineLevel="0" collapsed="false">
      <c r="A27" s="1" t="n">
        <v>20</v>
      </c>
      <c r="B27" s="2" t="s">
        <v>35</v>
      </c>
      <c r="C27" s="1" t="s">
        <v>35</v>
      </c>
      <c r="D27" s="1" t="n">
        <v>10</v>
      </c>
      <c r="G27" s="1" t="n">
        <v>10</v>
      </c>
    </row>
    <row r="28" customFormat="false" ht="15" hidden="false" customHeight="false" outlineLevel="0" collapsed="false">
      <c r="A28" s="6" t="n">
        <v>21</v>
      </c>
      <c r="B28" s="7" t="s">
        <v>36</v>
      </c>
      <c r="D28" s="1" t="n">
        <v>1</v>
      </c>
      <c r="G28" s="1" t="n">
        <v>1</v>
      </c>
    </row>
    <row r="29" customFormat="false" ht="15" hidden="false" customHeight="false" outlineLevel="0" collapsed="false">
      <c r="F29" s="1" t="s">
        <v>96</v>
      </c>
      <c r="G29" s="1" t="n">
        <f aca="false">COUNTIF(G2:G28,"&gt;0")</f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1</v>
      </c>
      <c r="B1" s="2" t="s">
        <v>2</v>
      </c>
      <c r="C1" s="1" t="s">
        <v>2</v>
      </c>
      <c r="D1" s="1" t="s">
        <v>92</v>
      </c>
    </row>
    <row r="2" customFormat="false" ht="15" hidden="false" customHeight="false" outlineLevel="0" collapsed="false">
      <c r="A2" s="1" t="n">
        <v>1</v>
      </c>
      <c r="B2" s="2" t="s">
        <v>10</v>
      </c>
      <c r="D2" s="1" t="n">
        <v>1</v>
      </c>
    </row>
    <row r="3" customFormat="false" ht="15" hidden="false" customHeight="false" outlineLevel="0" collapsed="false">
      <c r="A3" s="1" t="n">
        <v>2</v>
      </c>
      <c r="B3" s="2" t="s">
        <v>14</v>
      </c>
      <c r="C3" s="1" t="s">
        <v>14</v>
      </c>
      <c r="D3" s="1" t="n">
        <v>8</v>
      </c>
    </row>
    <row r="4" customFormat="false" ht="15" hidden="false" customHeight="false" outlineLevel="0" collapsed="false">
      <c r="A4" s="1" t="n">
        <v>3</v>
      </c>
      <c r="B4" s="2" t="s">
        <v>16</v>
      </c>
      <c r="C4" s="1" t="s">
        <v>16</v>
      </c>
      <c r="D4" s="1" t="n">
        <v>7</v>
      </c>
    </row>
    <row r="5" customFormat="false" ht="15" hidden="false" customHeight="false" outlineLevel="0" collapsed="false">
      <c r="A5" s="1" t="n">
        <v>4</v>
      </c>
      <c r="B5" s="2" t="s">
        <v>17</v>
      </c>
      <c r="C5" s="1" t="s">
        <v>17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18</v>
      </c>
      <c r="D6" s="1" t="n">
        <v>1</v>
      </c>
    </row>
    <row r="7" customFormat="false" ht="15" hidden="false" customHeight="false" outlineLevel="0" collapsed="false">
      <c r="A7" s="1" t="n">
        <v>6</v>
      </c>
      <c r="B7" s="2" t="s">
        <v>19</v>
      </c>
      <c r="C7" s="1" t="s">
        <v>19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20</v>
      </c>
      <c r="C8" s="1" t="s">
        <v>20</v>
      </c>
      <c r="D8" s="1" t="n">
        <v>8</v>
      </c>
    </row>
    <row r="9" customFormat="false" ht="15" hidden="false" customHeight="false" outlineLevel="0" collapsed="false">
      <c r="A9" s="1" t="n">
        <v>8</v>
      </c>
      <c r="B9" s="2" t="s">
        <v>21</v>
      </c>
      <c r="C9" s="1" t="s">
        <v>21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22</v>
      </c>
      <c r="C10" s="1" t="s">
        <v>22</v>
      </c>
      <c r="D10" s="1" t="n">
        <v>10</v>
      </c>
    </row>
    <row r="11" customFormat="false" ht="15" hidden="false" customHeight="false" outlineLevel="0" collapsed="false">
      <c r="A11" s="6" t="n">
        <v>10</v>
      </c>
      <c r="B11" s="7" t="s">
        <v>23</v>
      </c>
      <c r="D11" s="1" t="n">
        <v>1</v>
      </c>
    </row>
    <row r="12" customFormat="false" ht="15" hidden="false" customHeight="false" outlineLevel="0" collapsed="false">
      <c r="A12" s="1" t="n">
        <v>11</v>
      </c>
      <c r="B12" s="2" t="s">
        <v>26</v>
      </c>
      <c r="C12" s="1" t="s">
        <v>26</v>
      </c>
      <c r="D12" s="1" t="n">
        <v>10</v>
      </c>
    </row>
    <row r="13" customFormat="false" ht="15" hidden="false" customHeight="false" outlineLevel="0" collapsed="false">
      <c r="A13" s="1" t="n">
        <v>12</v>
      </c>
      <c r="B13" s="2" t="s">
        <v>27</v>
      </c>
      <c r="C13" s="1" t="s">
        <v>27</v>
      </c>
      <c r="D13" s="1" t="n">
        <v>9</v>
      </c>
    </row>
    <row r="14" customFormat="false" ht="15" hidden="false" customHeight="false" outlineLevel="0" collapsed="false">
      <c r="A14" s="6" t="n">
        <v>13</v>
      </c>
      <c r="B14" s="7" t="s">
        <v>28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29</v>
      </c>
      <c r="C15" s="1" t="s">
        <v>29</v>
      </c>
      <c r="D15" s="1" t="n">
        <v>10</v>
      </c>
    </row>
    <row r="16" customFormat="false" ht="15" hidden="false" customHeight="false" outlineLevel="0" collapsed="false">
      <c r="A16" s="1" t="n">
        <v>15</v>
      </c>
      <c r="B16" s="2" t="s">
        <v>30</v>
      </c>
      <c r="C16" s="1" t="s">
        <v>30</v>
      </c>
      <c r="D16" s="1" t="n">
        <v>9</v>
      </c>
    </row>
    <row r="17" customFormat="false" ht="15" hidden="false" customHeight="false" outlineLevel="0" collapsed="false">
      <c r="A17" s="6" t="n">
        <v>16</v>
      </c>
      <c r="B17" s="7" t="s">
        <v>31</v>
      </c>
      <c r="D17" s="1" t="n">
        <v>1</v>
      </c>
    </row>
    <row r="18" customFormat="false" ht="15" hidden="false" customHeight="false" outlineLevel="0" collapsed="false">
      <c r="A18" s="6" t="n">
        <v>17</v>
      </c>
      <c r="B18" s="7" t="s">
        <v>32</v>
      </c>
      <c r="D18" s="1" t="n">
        <v>1</v>
      </c>
    </row>
    <row r="19" customFormat="false" ht="15" hidden="false" customHeight="false" outlineLevel="0" collapsed="false">
      <c r="A19" s="1" t="n">
        <v>18</v>
      </c>
      <c r="B19" s="2" t="s">
        <v>33</v>
      </c>
      <c r="C19" s="1" t="s">
        <v>33</v>
      </c>
      <c r="D19" s="1" t="n">
        <v>10</v>
      </c>
    </row>
    <row r="20" customFormat="false" ht="15" hidden="false" customHeight="false" outlineLevel="0" collapsed="false">
      <c r="A20" s="1" t="n">
        <v>19</v>
      </c>
      <c r="B20" s="2" t="s">
        <v>34</v>
      </c>
      <c r="C20" s="1" t="s">
        <v>34</v>
      </c>
      <c r="D20" s="1" t="n">
        <v>10</v>
      </c>
    </row>
    <row r="21" customFormat="false" ht="15" hidden="false" customHeight="false" outlineLevel="0" collapsed="false">
      <c r="A21" s="1" t="n">
        <v>20</v>
      </c>
      <c r="B21" s="2" t="s">
        <v>35</v>
      </c>
      <c r="C21" s="1" t="s">
        <v>35</v>
      </c>
      <c r="D21" s="1" t="n">
        <v>9</v>
      </c>
    </row>
    <row r="22" customFormat="false" ht="15" hidden="false" customHeight="false" outlineLevel="0" collapsed="false">
      <c r="A22" s="6" t="n">
        <v>21</v>
      </c>
      <c r="B22" s="7" t="s">
        <v>36</v>
      </c>
      <c r="D22" s="1" t="n">
        <v>1</v>
      </c>
    </row>
    <row r="23" customFormat="false" ht="15" hidden="false" customHeight="false" outlineLevel="0" collapsed="false">
      <c r="C23" s="1" t="s">
        <v>7</v>
      </c>
      <c r="D23" s="1" t="n">
        <f aca="false">COUNTIF(D2:D22,"&gt;0")</f>
        <v>21</v>
      </c>
    </row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0.58203125" defaultRowHeight="12.8" zeroHeight="false" outlineLevelRow="0" outlineLevelCol="0"/>
  <cols>
    <col collapsed="false" customWidth="true" hidden="false" outlineLevel="0" max="2" min="2" style="1" width="19.94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1</v>
      </c>
      <c r="B1" s="2" t="s">
        <v>2</v>
      </c>
      <c r="C1" s="1" t="s">
        <v>2</v>
      </c>
      <c r="D1" s="1" t="s">
        <v>92</v>
      </c>
      <c r="E1" s="1" t="s">
        <v>97</v>
      </c>
      <c r="F1" s="1" t="s">
        <v>98</v>
      </c>
      <c r="G1" s="1" t="s">
        <v>95</v>
      </c>
    </row>
    <row r="2" customFormat="false" ht="15" hidden="false" customHeight="false" outlineLevel="0" collapsed="false">
      <c r="A2" s="1" t="n">
        <v>1</v>
      </c>
      <c r="B2" s="2" t="s">
        <v>10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14</v>
      </c>
      <c r="C3" s="1" t="s">
        <v>14</v>
      </c>
      <c r="D3" s="1" t="n">
        <v>7</v>
      </c>
      <c r="G3" s="1" t="n">
        <v>7</v>
      </c>
    </row>
    <row r="4" customFormat="false" ht="15" hidden="false" customHeight="false" outlineLevel="0" collapsed="false">
      <c r="A4" s="1" t="n">
        <v>3</v>
      </c>
      <c r="B4" s="2" t="s">
        <v>16</v>
      </c>
      <c r="C4" s="1" t="s">
        <v>16</v>
      </c>
      <c r="D4" s="1" t="n">
        <v>7</v>
      </c>
      <c r="G4" s="1" t="n">
        <v>7</v>
      </c>
    </row>
    <row r="5" customFormat="false" ht="15" hidden="false" customHeight="false" outlineLevel="0" collapsed="false">
      <c r="A5" s="1" t="n">
        <v>4</v>
      </c>
      <c r="B5" s="2" t="s">
        <v>17</v>
      </c>
      <c r="C5" s="1" t="s">
        <v>17</v>
      </c>
      <c r="D5" s="1" t="n">
        <v>10</v>
      </c>
      <c r="G5" s="1" t="n">
        <v>10</v>
      </c>
    </row>
    <row r="6" customFormat="false" ht="15" hidden="false" customHeight="false" outlineLevel="0" collapsed="false">
      <c r="A6" s="1" t="n">
        <v>5</v>
      </c>
      <c r="B6" s="2" t="s">
        <v>18</v>
      </c>
      <c r="C6" s="1" t="s">
        <v>18</v>
      </c>
      <c r="D6" s="1" t="n">
        <v>7</v>
      </c>
      <c r="G6" s="1" t="n">
        <v>7</v>
      </c>
    </row>
    <row r="7" customFormat="false" ht="15" hidden="false" customHeight="false" outlineLevel="0" collapsed="false">
      <c r="A7" s="1" t="n">
        <v>6</v>
      </c>
      <c r="B7" s="2" t="s">
        <v>19</v>
      </c>
      <c r="C7" s="1" t="s">
        <v>19</v>
      </c>
      <c r="D7" s="1" t="n">
        <v>10</v>
      </c>
      <c r="E7" s="1" t="n">
        <f aca="false">ROUND(AVERAGE(D7:D10),0)</f>
        <v>8</v>
      </c>
      <c r="F7" s="1" t="n">
        <v>9</v>
      </c>
      <c r="G7" s="1" t="n">
        <f aca="false">MAX(F7,E7)</f>
        <v>9</v>
      </c>
    </row>
    <row r="8" customFormat="false" ht="15" hidden="false" customHeight="false" outlineLevel="0" collapsed="false">
      <c r="C8" s="1" t="s">
        <v>19</v>
      </c>
      <c r="D8" s="1" t="n">
        <v>9</v>
      </c>
    </row>
    <row r="9" customFormat="false" ht="15" hidden="false" customHeight="false" outlineLevel="0" collapsed="false">
      <c r="C9" s="1" t="s">
        <v>19</v>
      </c>
      <c r="D9" s="1" t="n">
        <v>7</v>
      </c>
    </row>
    <row r="10" customFormat="false" ht="15" hidden="false" customHeight="false" outlineLevel="0" collapsed="false">
      <c r="C10" s="1" t="s">
        <v>19</v>
      </c>
      <c r="D10" s="1" t="n">
        <v>7</v>
      </c>
    </row>
    <row r="11" customFormat="false" ht="15" hidden="false" customHeight="false" outlineLevel="0" collapsed="false">
      <c r="A11" s="1" t="n">
        <v>7</v>
      </c>
      <c r="B11" s="2" t="s">
        <v>20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8</v>
      </c>
      <c r="B12" s="2" t="s">
        <v>21</v>
      </c>
      <c r="C12" s="1" t="s">
        <v>21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9</v>
      </c>
      <c r="B13" s="2" t="s">
        <v>22</v>
      </c>
      <c r="C13" s="1" t="s">
        <v>22</v>
      </c>
      <c r="D13" s="1" t="n">
        <v>7</v>
      </c>
      <c r="E13" s="1" t="n">
        <f aca="false">ROUND(AVERAGE(D13:D17),0)</f>
        <v>6</v>
      </c>
      <c r="F13" s="1" t="n">
        <v>6</v>
      </c>
      <c r="G13" s="1" t="n">
        <f aca="false">MAX(F13,E13)</f>
        <v>6</v>
      </c>
    </row>
    <row r="14" customFormat="false" ht="15" hidden="false" customHeight="false" outlineLevel="0" collapsed="false">
      <c r="C14" s="1" t="s">
        <v>22</v>
      </c>
      <c r="D14" s="1" t="n">
        <v>7</v>
      </c>
    </row>
    <row r="15" customFormat="false" ht="15" hidden="false" customHeight="false" outlineLevel="0" collapsed="false">
      <c r="C15" s="1" t="s">
        <v>22</v>
      </c>
      <c r="D15" s="1" t="n">
        <v>6</v>
      </c>
    </row>
    <row r="16" customFormat="false" ht="15" hidden="false" customHeight="false" outlineLevel="0" collapsed="false">
      <c r="C16" s="1" t="s">
        <v>22</v>
      </c>
      <c r="D16" s="1" t="n">
        <v>6</v>
      </c>
    </row>
    <row r="17" customFormat="false" ht="15" hidden="false" customHeight="false" outlineLevel="0" collapsed="false">
      <c r="C17" s="1" t="s">
        <v>22</v>
      </c>
      <c r="D17" s="1" t="n">
        <v>6</v>
      </c>
    </row>
    <row r="18" customFormat="false" ht="15" hidden="false" customHeight="false" outlineLevel="0" collapsed="false">
      <c r="A18" s="6" t="n">
        <v>10</v>
      </c>
      <c r="B18" s="7" t="s">
        <v>23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11</v>
      </c>
      <c r="B19" s="2" t="s">
        <v>26</v>
      </c>
      <c r="C19" s="1" t="s">
        <v>26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12</v>
      </c>
      <c r="B20" s="2" t="s">
        <v>27</v>
      </c>
      <c r="C20" s="1" t="s">
        <v>27</v>
      </c>
      <c r="D20" s="1" t="n">
        <v>9</v>
      </c>
      <c r="G20" s="1" t="n">
        <v>9</v>
      </c>
    </row>
    <row r="21" customFormat="false" ht="15" hidden="false" customHeight="false" outlineLevel="0" collapsed="false">
      <c r="A21" s="6" t="n">
        <v>13</v>
      </c>
      <c r="B21" s="7" t="s">
        <v>28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14</v>
      </c>
      <c r="B22" s="2" t="s">
        <v>29</v>
      </c>
      <c r="C22" s="1" t="s">
        <v>29</v>
      </c>
      <c r="D22" s="1" t="n">
        <v>10</v>
      </c>
      <c r="G22" s="1" t="n">
        <v>10</v>
      </c>
    </row>
    <row r="23" customFormat="false" ht="15" hidden="false" customHeight="false" outlineLevel="0" collapsed="false">
      <c r="A23" s="1" t="n">
        <v>15</v>
      </c>
      <c r="B23" s="2" t="s">
        <v>30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6" t="n">
        <v>16</v>
      </c>
      <c r="B24" s="7" t="s">
        <v>31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6" t="n">
        <v>17</v>
      </c>
      <c r="B25" s="7" t="s">
        <v>32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18</v>
      </c>
      <c r="B26" s="2" t="s">
        <v>33</v>
      </c>
      <c r="D26" s="1" t="n">
        <v>1</v>
      </c>
      <c r="G26" s="1" t="n">
        <v>1</v>
      </c>
    </row>
    <row r="27" customFormat="false" ht="15" hidden="false" customHeight="false" outlineLevel="0" collapsed="false">
      <c r="A27" s="1" t="n">
        <v>19</v>
      </c>
      <c r="B27" s="2" t="s">
        <v>34</v>
      </c>
      <c r="C27" s="1" t="s">
        <v>34</v>
      </c>
      <c r="D27" s="1" t="n">
        <v>5</v>
      </c>
      <c r="G27" s="1" t="n">
        <v>5</v>
      </c>
    </row>
    <row r="28" customFormat="false" ht="15" hidden="false" customHeight="false" outlineLevel="0" collapsed="false">
      <c r="A28" s="1" t="n">
        <v>20</v>
      </c>
      <c r="B28" s="2" t="s">
        <v>35</v>
      </c>
      <c r="C28" s="1" t="s">
        <v>35</v>
      </c>
      <c r="D28" s="1" t="n">
        <v>10</v>
      </c>
      <c r="G28" s="1" t="n">
        <v>10</v>
      </c>
    </row>
    <row r="29" customFormat="false" ht="15" hidden="false" customHeight="false" outlineLevel="0" collapsed="false">
      <c r="A29" s="6" t="n">
        <v>21</v>
      </c>
      <c r="B29" s="7" t="s">
        <v>36</v>
      </c>
      <c r="D29" s="1" t="n">
        <v>1</v>
      </c>
      <c r="G29" s="1" t="n">
        <v>1</v>
      </c>
    </row>
    <row r="30" customFormat="false" ht="15" hidden="false" customHeight="false" outlineLevel="0" collapsed="false">
      <c r="F30" s="1" t="s">
        <v>7</v>
      </c>
      <c r="G30" s="1" t="n">
        <f aca="false">COUNTIF(G2:G29,"&gt;0")</f>
        <v>21</v>
      </c>
    </row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1</v>
      </c>
      <c r="B1" s="2" t="s">
        <v>2</v>
      </c>
      <c r="C1" s="1" t="s">
        <v>2</v>
      </c>
      <c r="D1" s="1" t="s">
        <v>92</v>
      </c>
    </row>
    <row r="2" customFormat="false" ht="15" hidden="false" customHeight="false" outlineLevel="0" collapsed="false">
      <c r="A2" s="1" t="n">
        <v>1</v>
      </c>
      <c r="B2" s="2" t="s">
        <v>10</v>
      </c>
      <c r="C2" s="1" t="s">
        <v>10</v>
      </c>
      <c r="D2" s="1" t="n">
        <v>7</v>
      </c>
    </row>
    <row r="3" customFormat="false" ht="15" hidden="false" customHeight="false" outlineLevel="0" collapsed="false">
      <c r="A3" s="1" t="n">
        <v>2</v>
      </c>
      <c r="B3" s="2" t="s">
        <v>14</v>
      </c>
      <c r="C3" s="1" t="s">
        <v>14</v>
      </c>
      <c r="D3" s="1" t="n">
        <v>9</v>
      </c>
    </row>
    <row r="4" customFormat="false" ht="15" hidden="false" customHeight="false" outlineLevel="0" collapsed="false">
      <c r="A4" s="1" t="n">
        <v>3</v>
      </c>
      <c r="B4" s="2" t="s">
        <v>16</v>
      </c>
      <c r="C4" s="1" t="s">
        <v>16</v>
      </c>
      <c r="D4" s="1" t="n">
        <v>7</v>
      </c>
    </row>
    <row r="5" customFormat="false" ht="15" hidden="false" customHeight="false" outlineLevel="0" collapsed="false">
      <c r="A5" s="1" t="n">
        <v>4</v>
      </c>
      <c r="B5" s="2" t="s">
        <v>17</v>
      </c>
      <c r="C5" s="1" t="s">
        <v>17</v>
      </c>
      <c r="D5" s="1" t="n">
        <v>9</v>
      </c>
    </row>
    <row r="6" customFormat="false" ht="15" hidden="false" customHeight="false" outlineLevel="0" collapsed="false">
      <c r="A6" s="1" t="n">
        <v>5</v>
      </c>
      <c r="B6" s="2" t="s">
        <v>18</v>
      </c>
      <c r="C6" s="1" t="s">
        <v>18</v>
      </c>
      <c r="D6" s="1" t="n">
        <v>10</v>
      </c>
    </row>
    <row r="7" customFormat="false" ht="15" hidden="false" customHeight="false" outlineLevel="0" collapsed="false">
      <c r="A7" s="1" t="n">
        <v>6</v>
      </c>
      <c r="B7" s="2" t="s">
        <v>19</v>
      </c>
      <c r="C7" s="1" t="s">
        <v>19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20</v>
      </c>
      <c r="C8" s="1" t="s">
        <v>20</v>
      </c>
      <c r="D8" s="1" t="n">
        <v>10</v>
      </c>
    </row>
    <row r="9" customFormat="false" ht="15" hidden="false" customHeight="false" outlineLevel="0" collapsed="false">
      <c r="A9" s="1" t="n">
        <v>8</v>
      </c>
      <c r="B9" s="2" t="s">
        <v>21</v>
      </c>
      <c r="C9" s="1" t="s">
        <v>21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22</v>
      </c>
      <c r="C10" s="1" t="s">
        <v>22</v>
      </c>
      <c r="D10" s="1" t="n">
        <v>9</v>
      </c>
    </row>
    <row r="11" customFormat="false" ht="15" hidden="false" customHeight="false" outlineLevel="0" collapsed="false">
      <c r="A11" s="6" t="n">
        <v>10</v>
      </c>
      <c r="B11" s="7" t="s">
        <v>23</v>
      </c>
      <c r="D11" s="1" t="n">
        <v>1</v>
      </c>
    </row>
    <row r="12" customFormat="false" ht="15" hidden="false" customHeight="false" outlineLevel="0" collapsed="false">
      <c r="A12" s="1" t="n">
        <v>11</v>
      </c>
      <c r="B12" s="2" t="s">
        <v>26</v>
      </c>
      <c r="C12" s="1" t="s">
        <v>26</v>
      </c>
      <c r="D12" s="1" t="n">
        <v>8</v>
      </c>
    </row>
    <row r="13" customFormat="false" ht="15" hidden="false" customHeight="false" outlineLevel="0" collapsed="false">
      <c r="A13" s="1" t="n">
        <v>12</v>
      </c>
      <c r="B13" s="2" t="s">
        <v>27</v>
      </c>
      <c r="C13" s="1" t="s">
        <v>27</v>
      </c>
      <c r="D13" s="1" t="n">
        <v>10</v>
      </c>
    </row>
    <row r="14" customFormat="false" ht="15" hidden="false" customHeight="false" outlineLevel="0" collapsed="false">
      <c r="A14" s="6" t="n">
        <v>13</v>
      </c>
      <c r="B14" s="7" t="s">
        <v>28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29</v>
      </c>
      <c r="C15" s="1" t="s">
        <v>29</v>
      </c>
      <c r="D15" s="1" t="n">
        <v>6.9</v>
      </c>
    </row>
    <row r="16" customFormat="false" ht="15" hidden="false" customHeight="false" outlineLevel="0" collapsed="false">
      <c r="A16" s="1" t="n">
        <v>15</v>
      </c>
      <c r="B16" s="2" t="s">
        <v>30</v>
      </c>
      <c r="C16" s="1" t="s">
        <v>30</v>
      </c>
      <c r="D16" s="1" t="n">
        <v>10</v>
      </c>
    </row>
    <row r="17" customFormat="false" ht="15" hidden="false" customHeight="false" outlineLevel="0" collapsed="false">
      <c r="A17" s="6" t="n">
        <v>16</v>
      </c>
      <c r="B17" s="7" t="s">
        <v>31</v>
      </c>
      <c r="D17" s="1" t="n">
        <v>1</v>
      </c>
    </row>
    <row r="18" customFormat="false" ht="15" hidden="false" customHeight="false" outlineLevel="0" collapsed="false">
      <c r="A18" s="6" t="n">
        <v>17</v>
      </c>
      <c r="B18" s="7" t="s">
        <v>32</v>
      </c>
      <c r="D18" s="1" t="n">
        <v>1</v>
      </c>
    </row>
    <row r="19" customFormat="false" ht="15" hidden="false" customHeight="false" outlineLevel="0" collapsed="false">
      <c r="A19" s="1" t="n">
        <v>18</v>
      </c>
      <c r="B19" s="2" t="s">
        <v>33</v>
      </c>
      <c r="C19" s="1" t="s">
        <v>33</v>
      </c>
      <c r="D19" s="1" t="n">
        <v>3.5</v>
      </c>
    </row>
    <row r="20" customFormat="false" ht="15" hidden="false" customHeight="false" outlineLevel="0" collapsed="false">
      <c r="A20" s="1" t="n">
        <v>19</v>
      </c>
      <c r="B20" s="2" t="s">
        <v>34</v>
      </c>
      <c r="C20" s="1" t="s">
        <v>34</v>
      </c>
      <c r="D20" s="1" t="n">
        <v>8</v>
      </c>
    </row>
    <row r="21" customFormat="false" ht="15" hidden="false" customHeight="false" outlineLevel="0" collapsed="false">
      <c r="A21" s="1" t="n">
        <v>20</v>
      </c>
      <c r="B21" s="2" t="s">
        <v>35</v>
      </c>
      <c r="C21" s="1" t="s">
        <v>35</v>
      </c>
      <c r="D21" s="1" t="n">
        <v>10</v>
      </c>
    </row>
    <row r="22" customFormat="false" ht="15" hidden="false" customHeight="false" outlineLevel="0" collapsed="false">
      <c r="A22" s="6" t="n">
        <v>21</v>
      </c>
      <c r="B22" s="7" t="s">
        <v>36</v>
      </c>
      <c r="D22" s="1" t="n">
        <v>1</v>
      </c>
    </row>
    <row r="23" customFormat="false" ht="15" hidden="false" customHeight="false" outlineLevel="0" collapsed="false">
      <c r="C23" s="1" t="s">
        <v>7</v>
      </c>
      <c r="D23" s="1" t="n">
        <f aca="false">COUNTIF(D2:D22,"&gt;0")</f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2026-08-03T14:53:05Z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