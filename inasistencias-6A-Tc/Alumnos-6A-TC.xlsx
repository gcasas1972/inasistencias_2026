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sistencia" sheetId="1" state="visible" r:id="rId3"/>
    <sheet name="nota" sheetId="2" state="visible" r:id="rId4"/>
    <sheet name="positivos" sheetId="3" state="visible" r:id="rId5"/>
    <sheet name="1-rl serie" sheetId="4" state="visible" r:id="rId6"/>
    <sheet name="2-rl-Serie" sheetId="5" state="visible" r:id="rId7"/>
    <sheet name="3-Rl paralelo" sheetId="6" state="visible" r:id="rId8"/>
    <sheet name="4-RC paralelo" sheetId="7" state="visible" r:id="rId9"/>
    <sheet name="evaluacion" sheetId="8" state="visible" r:id="rId10"/>
    <sheet name="7-ctosCombinados" sheetId="9" state="visible" r:id="rId11"/>
    <sheet name="8-CtosComb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<sst xmlns="http://schemas.openxmlformats.org/spreadsheetml/2006/main" count="1098" uniqueCount="107">
  <si>
    <t xml:space="preserve">nro</t>
  </si>
  <si>
    <t xml:space="preserve">Nombre</t>
  </si>
  <si>
    <t xml:space="preserve">Apellido(s)</t>
  </si>
  <si>
    <t xml:space="preserve">Dirección de correo</t>
  </si>
  <si>
    <t xml:space="preserve">obs</t>
  </si>
  <si>
    <t xml:space="preserve">presentes</t>
  </si>
  <si>
    <t xml:space="preserve">media</t>
  </si>
  <si>
    <t xml:space="preserve">ausente</t>
  </si>
  <si>
    <t xml:space="preserve">total</t>
  </si>
  <si>
    <t xml:space="preserve">nota</t>
  </si>
  <si>
    <t xml:space="preserve">Lucila Yanel</t>
  </si>
  <si>
    <t xml:space="preserve">AMIGO</t>
  </si>
  <si>
    <t xml:space="preserve">patorouge77@hotmail.com</t>
  </si>
  <si>
    <t xml:space="preserve">P</t>
  </si>
  <si>
    <t xml:space="preserve">A</t>
  </si>
  <si>
    <t xml:space="preserve">Lourdes Elizabeth</t>
  </si>
  <si>
    <t xml:space="preserve">ANDRADA BASCOPE</t>
  </si>
  <si>
    <t xml:space="preserve">gralraul71@gmail.com</t>
  </si>
  <si>
    <t xml:space="preserve">p</t>
  </si>
  <si>
    <t xml:space="preserve">Germán Ezequiel</t>
  </si>
  <si>
    <t xml:space="preserve">APURIL</t>
  </si>
  <si>
    <t xml:space="preserve">gerapuril@gmail.com</t>
  </si>
  <si>
    <t xml:space="preserve">Lautaro Francisco</t>
  </si>
  <si>
    <t xml:space="preserve">AYBAR</t>
  </si>
  <si>
    <t xml:space="preserve">aybarguillermo@gmail.com</t>
  </si>
  <si>
    <t xml:space="preserve">Sathya</t>
  </si>
  <si>
    <t xml:space="preserve">bertola galizzi</t>
  </si>
  <si>
    <t xml:space="preserve">sathyxzz@gmail.com</t>
  </si>
  <si>
    <t xml:space="preserve">M</t>
  </si>
  <si>
    <t xml:space="preserve">T</t>
  </si>
  <si>
    <t xml:space="preserve">Santiago</t>
  </si>
  <si>
    <t xml:space="preserve">BIROCCO FRETES</t>
  </si>
  <si>
    <t xml:space="preserve">SANTIAGOBIROCCOFRETES@GMAIL.COM</t>
  </si>
  <si>
    <t xml:space="preserve">Mateo Ignacio</t>
  </si>
  <si>
    <t xml:space="preserve">BRUNO</t>
  </si>
  <si>
    <t xml:space="preserve">mateoibruno5@gmail.com</t>
  </si>
  <si>
    <t xml:space="preserve">Mirko</t>
  </si>
  <si>
    <t xml:space="preserve">Dellana</t>
  </si>
  <si>
    <t xml:space="preserve">mirkod2009@gmail.com</t>
  </si>
  <si>
    <t xml:space="preserve">O</t>
  </si>
  <si>
    <t xml:space="preserve">Liam Yoel</t>
  </si>
  <si>
    <t xml:space="preserve">DI FEBO</t>
  </si>
  <si>
    <t xml:space="preserve">liamdifebo15@gmail.com</t>
  </si>
  <si>
    <t xml:space="preserve">Francisco Gael</t>
  </si>
  <si>
    <t xml:space="preserve">Dimeo</t>
  </si>
  <si>
    <t xml:space="preserve">dimeofrancisco@gmail.com</t>
  </si>
  <si>
    <t xml:space="preserve">Facundo Agustin</t>
  </si>
  <si>
    <t xml:space="preserve">ENGERS GONZALEZ</t>
  </si>
  <si>
    <t xml:space="preserve">morenabonitafacturas@gmail.com</t>
  </si>
  <si>
    <t xml:space="preserve">Pedro Gabriel</t>
  </si>
  <si>
    <t xml:space="preserve">GERAGHTY</t>
  </si>
  <si>
    <t xml:space="preserve">tristangabrielgeraghty@gmail.com</t>
  </si>
  <si>
    <t xml:space="preserve">Miqueas Ariel</t>
  </si>
  <si>
    <t xml:space="preserve">Hoyos</t>
  </si>
  <si>
    <t xml:space="preserve">victoriacruz.alzu@gmail.com</t>
  </si>
  <si>
    <t xml:space="preserve">Tobias</t>
  </si>
  <si>
    <t xml:space="preserve">Ibarra Yegro</t>
  </si>
  <si>
    <t xml:space="preserve">alexa_r3@yahoo.com.ar</t>
  </si>
  <si>
    <t xml:space="preserve">traumatologo</t>
  </si>
  <si>
    <t xml:space="preserve">Zoe Antonella</t>
  </si>
  <si>
    <t xml:space="preserve">LOPEZ BERZA</t>
  </si>
  <si>
    <t xml:space="preserve">electroariel_@hotmail.com</t>
  </si>
  <si>
    <t xml:space="preserve">Gabriel Lautaro</t>
  </si>
  <si>
    <t xml:space="preserve">MARTINEZ DEL PINO</t>
  </si>
  <si>
    <t xml:space="preserve">gabrieladelpino10@gmail.com</t>
  </si>
  <si>
    <t xml:space="preserve">Facundo Ariel</t>
  </si>
  <si>
    <t xml:space="preserve">MEDINA</t>
  </si>
  <si>
    <t xml:space="preserve">48376287@gmail.com</t>
  </si>
  <si>
    <t xml:space="preserve">Se retiro 19:30</t>
  </si>
  <si>
    <t xml:space="preserve">Araceli Rosario Abigail</t>
  </si>
  <si>
    <t xml:space="preserve">SANTIBAÑEZ RAMÍREZ</t>
  </si>
  <si>
    <t xml:space="preserve">habibiaraceli08@gmail.com</t>
  </si>
  <si>
    <t xml:space="preserve">Matías</t>
  </si>
  <si>
    <t xml:space="preserve">SUAREZ</t>
  </si>
  <si>
    <t xml:space="preserve">matiassua09@gmail.com</t>
  </si>
  <si>
    <t xml:space="preserve">Franco Joaquín</t>
  </si>
  <si>
    <t xml:space="preserve">VILLCA</t>
  </si>
  <si>
    <t xml:space="preserve">rutyayala28@gmail.com</t>
  </si>
  <si>
    <t xml:space="preserve">Ramiro Demian</t>
  </si>
  <si>
    <t xml:space="preserve">ZARRAGA</t>
  </si>
  <si>
    <t xml:space="preserve">zarragaramiro01@gmail.com</t>
  </si>
  <si>
    <t xml:space="preserve">media falta</t>
  </si>
  <si>
    <t xml:space="preserve">tarde</t>
  </si>
  <si>
    <t xml:space="preserve">olimpiadas</t>
  </si>
  <si>
    <t xml:space="preserve">toal</t>
  </si>
  <si>
    <t xml:space="preserve">Carpeta</t>
  </si>
  <si>
    <t xml:space="preserve">1-RL Serie</t>
  </si>
  <si>
    <t xml:space="preserve">recupero</t>
  </si>
  <si>
    <t xml:space="preserve">2-Rl serie</t>
  </si>
  <si>
    <t xml:space="preserve">Recup</t>
  </si>
  <si>
    <t xml:space="preserve">3-rl paralelo</t>
  </si>
  <si>
    <t xml:space="preserve">4-RC paralelo</t>
  </si>
  <si>
    <t xml:space="preserve">asistencia</t>
  </si>
  <si>
    <t xml:space="preserve">Evaluacion</t>
  </si>
  <si>
    <t xml:space="preserve">valoracion</t>
  </si>
  <si>
    <t xml:space="preserve">Grupo</t>
  </si>
  <si>
    <t xml:space="preserve">5 -1A-2A</t>
  </si>
  <si>
    <t xml:space="preserve">6-Ctos Comb</t>
  </si>
  <si>
    <t xml:space="preserve">7-Ctos Comb</t>
  </si>
  <si>
    <t xml:space="preserve">8-Ctos Comb</t>
  </si>
  <si>
    <t xml:space="preserve">cañon de Gauss</t>
  </si>
  <si>
    <t xml:space="preserve">-</t>
  </si>
  <si>
    <t xml:space="preserve">Calificación/10,00</t>
  </si>
  <si>
    <t xml:space="preserve">promedio</t>
  </si>
  <si>
    <t xml:space="preserve">segundo</t>
  </si>
  <si>
    <t xml:space="preserve">maximo</t>
  </si>
  <si>
    <t xml:space="preserve">final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</si>
</sst>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General"/>
    <numFmt numFmtId="167" formatCode="hh:mm:ss"/>
  </numFmts>
  <fonts count="4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Calibri"/>
        <charset val="1"/>
        <family val="0"/>
        <color rgb="FF006600"/>
        <sz val="12"/>
      </font>
      <fill>
        <patternFill>
          <bgColor rgb="FFCCFFCC"/>
        </patternFill>
      </fill>
    </dxf>
    <dxf>
      <font>
        <name val="Calibri"/>
        <charset val="1"/>
        <family val="0"/>
        <color rgb="FFCC0000"/>
        <sz val="12"/>
      </font>
      <fill>
        <patternFill>
          <bgColor rgb="FFFFCCCC"/>
        </patternFill>
      </fill>
    </dxf>
    <dxf>
      <font>
        <name val="Calibri"/>
        <charset val="1"/>
        <family val="0"/>
        <b val="1"/>
        <color rgb="FFFFFFFF"/>
        <sz val="12"/>
      </font>
      <fill>
        <patternFill>
          <bgColor rgb="FFCC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8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2" activeCellId="0" sqref="A2"/>
    </sheetView>
  </sheetViews>
  <sheetFormatPr defaultColWidth="8.75390625" defaultRowHeight="15" zeroHeight="false" outlineLevelRow="0" outlineLevelCol="0"/>
  <cols>
    <col collapsed="false" customWidth="true" hidden="false" outlineLevel="0" max="1" min="1" style="1" width="4.2"/>
    <col collapsed="false" customWidth="true" hidden="true" outlineLevel="0" max="2" min="2" style="1" width="20.07"/>
    <col collapsed="false" customWidth="true" hidden="false" outlineLevel="0" max="3" min="3" style="1" width="21.34"/>
    <col collapsed="false" customWidth="true" hidden="true" outlineLevel="0" max="4" min="4" style="1" width="35.71"/>
    <col collapsed="false" customWidth="true" hidden="true" outlineLevel="0" max="5" min="5" style="1" width="8.68"/>
    <col collapsed="false" customWidth="false" hidden="true" outlineLevel="0" max="19" min="6" style="1" width="8.75"/>
    <col collapsed="false" customWidth="true" hidden="true" outlineLevel="0" max="20" min="20" style="1" width="13.25"/>
    <col collapsed="false" customWidth="false" hidden="true" outlineLevel="0" max="29" min="21" style="1" width="8.75"/>
    <col collapsed="false" customWidth="true" hidden="false" outlineLevel="0" max="16384" min="16200" style="1" width="10.58"/>
  </cols>
  <sheetData>
    <row r="1" customFormat="false" ht="15" hidden="false" customHeight="false" outlineLevel="0" collapsed="false">
      <c r="B1" s="2"/>
      <c r="C1" s="2"/>
      <c r="D1" s="2"/>
      <c r="E1" s="3"/>
    </row>
    <row r="2" customFormat="false" ht="15" hidden="false" customHeight="false" outlineLevel="0" collapsed="false">
      <c r="A2" s="1" t="s">
        <v>0</v>
      </c>
      <c r="B2" s="2" t="s">
        <v>1</v>
      </c>
      <c r="C2" s="2" t="s">
        <v>2</v>
      </c>
      <c r="D2" s="2" t="s">
        <v>3</v>
      </c>
      <c r="E2" s="3" t="n">
        <v>46094</v>
      </c>
      <c r="F2" s="3" t="n">
        <v>46097</v>
      </c>
      <c r="G2" s="3" t="n">
        <v>46108</v>
      </c>
      <c r="H2" s="3" t="n">
        <v>46111</v>
      </c>
      <c r="I2" s="3" t="s">
        <v>4</v>
      </c>
      <c r="J2" s="3" t="n">
        <v>46118</v>
      </c>
      <c r="K2" s="3" t="n">
        <v>46122</v>
      </c>
      <c r="L2" s="3" t="n">
        <v>46125</v>
      </c>
      <c r="M2" s="3" t="n">
        <v>46129</v>
      </c>
      <c r="N2" s="3" t="n">
        <v>46132</v>
      </c>
      <c r="O2" s="3" t="n">
        <v>46136</v>
      </c>
      <c r="P2" s="3" t="n">
        <v>46139</v>
      </c>
      <c r="Q2" s="3" t="n">
        <v>46146</v>
      </c>
      <c r="R2" s="3" t="n">
        <v>46150</v>
      </c>
      <c r="S2" s="3" t="n">
        <v>46157</v>
      </c>
      <c r="T2" s="3" t="s">
        <v>4</v>
      </c>
      <c r="U2" s="3" t="n">
        <v>46160</v>
      </c>
      <c r="V2" s="3"/>
      <c r="W2" s="3" t="n">
        <v>46164</v>
      </c>
      <c r="X2" s="3" t="n">
        <v>46171</v>
      </c>
      <c r="Y2" s="3" t="s">
        <v>5</v>
      </c>
      <c r="Z2" s="3" t="s">
        <v>6</v>
      </c>
      <c r="AA2" s="3" t="s">
        <v>7</v>
      </c>
      <c r="AB2" s="3" t="s">
        <v>8</v>
      </c>
      <c r="AC2" s="3" t="s">
        <v>9</v>
      </c>
      <c r="AD2" s="3" t="n">
        <v>46174</v>
      </c>
      <c r="AE2" s="3" t="n">
        <v>46178</v>
      </c>
      <c r="AF2" s="3" t="n">
        <v>46181</v>
      </c>
      <c r="AG2" s="3" t="n">
        <v>46185</v>
      </c>
      <c r="AH2" s="3" t="n">
        <v>46192</v>
      </c>
      <c r="AI2" s="3" t="n">
        <v>46199</v>
      </c>
      <c r="AJ2" s="3" t="n">
        <v>46180</v>
      </c>
      <c r="AK2" s="3" t="n">
        <v>46216</v>
      </c>
      <c r="AL2" s="3" t="n">
        <v>46220</v>
      </c>
      <c r="AM2" s="3" t="s">
        <v>4</v>
      </c>
      <c r="AN2" s="3" t="n">
        <v>46237</v>
      </c>
      <c r="AO2" s="3" t="n">
        <v>46241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</row>
    <row r="3" customFormat="false" ht="15" hidden="false" customHeight="false" outlineLevel="0" collapsed="false">
      <c r="A3" s="1" t="n">
        <v>1</v>
      </c>
      <c r="B3" s="2" t="s">
        <v>10</v>
      </c>
      <c r="C3" s="2" t="s">
        <v>11</v>
      </c>
      <c r="D3" s="2" t="s">
        <v>12</v>
      </c>
      <c r="E3" s="1" t="s">
        <v>13</v>
      </c>
      <c r="F3" s="2" t="s">
        <v>13</v>
      </c>
      <c r="G3" s="2" t="s">
        <v>13</v>
      </c>
      <c r="H3" s="2" t="s">
        <v>13</v>
      </c>
      <c r="J3" s="2" t="s">
        <v>13</v>
      </c>
      <c r="K3" s="2" t="s">
        <v>14</v>
      </c>
      <c r="L3" s="2" t="s">
        <v>13</v>
      </c>
      <c r="M3" s="2" t="s">
        <v>13</v>
      </c>
      <c r="N3" s="2" t="s">
        <v>13</v>
      </c>
      <c r="O3" s="2" t="s">
        <v>13</v>
      </c>
      <c r="P3" s="2" t="s">
        <v>13</v>
      </c>
      <c r="Q3" s="2" t="s">
        <v>13</v>
      </c>
      <c r="R3" s="2" t="s">
        <v>13</v>
      </c>
      <c r="S3" s="2" t="s">
        <v>13</v>
      </c>
      <c r="U3" s="2" t="s">
        <v>13</v>
      </c>
      <c r="V3" s="2"/>
      <c r="W3" s="2" t="s">
        <v>13</v>
      </c>
      <c r="X3" s="2" t="s">
        <v>13</v>
      </c>
      <c r="Y3" s="2" t="n">
        <f aca="false">COUNTIF(E3:X3,"P")</f>
        <v>16</v>
      </c>
      <c r="Z3" s="2" t="n">
        <f aca="false">COUNTIF(E3:X3,"M")</f>
        <v>0</v>
      </c>
      <c r="AA3" s="2" t="n">
        <f aca="false">COUNTIF(E3:X3,"A")</f>
        <v>1</v>
      </c>
      <c r="AB3" s="2" t="n">
        <f aca="false">SUM(Y3:AA3)</f>
        <v>17</v>
      </c>
      <c r="AC3" s="4" t="n">
        <f aca="false">ROUND((Y3+Z3/2)*10/AB3,0)</f>
        <v>9</v>
      </c>
      <c r="AD3" s="2" t="s">
        <v>13</v>
      </c>
      <c r="AE3" s="2" t="s">
        <v>13</v>
      </c>
      <c r="AF3" s="2" t="s">
        <v>13</v>
      </c>
      <c r="AG3" s="2" t="s">
        <v>13</v>
      </c>
      <c r="AH3" s="2" t="s">
        <v>13</v>
      </c>
      <c r="AI3" s="2" t="s">
        <v>13</v>
      </c>
      <c r="AJ3" s="1" t="s">
        <v>13</v>
      </c>
      <c r="AK3" s="2" t="s">
        <v>13</v>
      </c>
      <c r="AL3" s="2" t="s">
        <v>13</v>
      </c>
      <c r="AN3" s="2" t="s">
        <v>13</v>
      </c>
      <c r="AO3" s="5" t="s">
        <v>13</v>
      </c>
    </row>
    <row r="4" customFormat="false" ht="15" hidden="false" customHeight="false" outlineLevel="0" collapsed="false">
      <c r="A4" s="1" t="n">
        <v>2</v>
      </c>
      <c r="B4" s="2" t="s">
        <v>15</v>
      </c>
      <c r="C4" s="2" t="s">
        <v>16</v>
      </c>
      <c r="D4" s="2" t="s">
        <v>17</v>
      </c>
      <c r="E4" s="1" t="s">
        <v>13</v>
      </c>
      <c r="F4" s="2" t="s">
        <v>13</v>
      </c>
      <c r="G4" s="2" t="s">
        <v>13</v>
      </c>
      <c r="H4" s="2" t="s">
        <v>13</v>
      </c>
      <c r="J4" s="2" t="s">
        <v>13</v>
      </c>
      <c r="K4" s="2" t="s">
        <v>13</v>
      </c>
      <c r="L4" s="2" t="s">
        <v>13</v>
      </c>
      <c r="M4" s="2" t="s">
        <v>13</v>
      </c>
      <c r="N4" s="2" t="s">
        <v>13</v>
      </c>
      <c r="O4" s="2" t="s">
        <v>13</v>
      </c>
      <c r="P4" s="2" t="s">
        <v>13</v>
      </c>
      <c r="Q4" s="2" t="s">
        <v>13</v>
      </c>
      <c r="R4" s="2" t="s">
        <v>13</v>
      </c>
      <c r="S4" s="2" t="s">
        <v>13</v>
      </c>
      <c r="U4" s="2" t="s">
        <v>13</v>
      </c>
      <c r="V4" s="2"/>
      <c r="W4" s="2" t="s">
        <v>13</v>
      </c>
      <c r="X4" s="2" t="s">
        <v>13</v>
      </c>
      <c r="Y4" s="2" t="n">
        <f aca="false">COUNTIF(E4:X4,"P")</f>
        <v>17</v>
      </c>
      <c r="Z4" s="2" t="n">
        <f aca="false">COUNTIF(E4:X4,"M")</f>
        <v>0</v>
      </c>
      <c r="AA4" s="2" t="n">
        <f aca="false">COUNTIF(E4:X4,"A")</f>
        <v>0</v>
      </c>
      <c r="AB4" s="2" t="n">
        <f aca="false">SUM(Y4:AA4)</f>
        <v>17</v>
      </c>
      <c r="AC4" s="4" t="n">
        <f aca="false">ROUND((Y4+Z4/2)*10/AB4,0)</f>
        <v>10</v>
      </c>
      <c r="AD4" s="2" t="s">
        <v>13</v>
      </c>
      <c r="AE4" s="2" t="s">
        <v>13</v>
      </c>
      <c r="AF4" s="2" t="s">
        <v>13</v>
      </c>
      <c r="AG4" s="2" t="s">
        <v>13</v>
      </c>
      <c r="AH4" s="2" t="s">
        <v>18</v>
      </c>
      <c r="AI4" s="2" t="s">
        <v>13</v>
      </c>
      <c r="AJ4" s="1" t="s">
        <v>13</v>
      </c>
      <c r="AK4" s="2" t="s">
        <v>13</v>
      </c>
      <c r="AL4" s="2" t="s">
        <v>13</v>
      </c>
      <c r="AN4" s="2" t="s">
        <v>13</v>
      </c>
      <c r="AO4" s="5" t="s">
        <v>13</v>
      </c>
    </row>
    <row r="5" customFormat="false" ht="15" hidden="false" customHeight="false" outlineLevel="0" collapsed="false">
      <c r="A5" s="1" t="n">
        <v>3</v>
      </c>
      <c r="B5" s="2" t="s">
        <v>19</v>
      </c>
      <c r="C5" s="2" t="s">
        <v>20</v>
      </c>
      <c r="D5" s="2" t="s">
        <v>21</v>
      </c>
      <c r="E5" s="1" t="s">
        <v>13</v>
      </c>
      <c r="F5" s="2" t="s">
        <v>13</v>
      </c>
      <c r="G5" s="2" t="s">
        <v>13</v>
      </c>
      <c r="H5" s="2" t="s">
        <v>13</v>
      </c>
      <c r="J5" s="2" t="s">
        <v>13</v>
      </c>
      <c r="K5" s="2" t="s">
        <v>13</v>
      </c>
      <c r="L5" s="2" t="s">
        <v>13</v>
      </c>
      <c r="M5" s="2" t="s">
        <v>13</v>
      </c>
      <c r="N5" s="2" t="s">
        <v>13</v>
      </c>
      <c r="O5" s="2" t="s">
        <v>13</v>
      </c>
      <c r="P5" s="2" t="s">
        <v>13</v>
      </c>
      <c r="Q5" s="2" t="s">
        <v>13</v>
      </c>
      <c r="R5" s="2" t="s">
        <v>13</v>
      </c>
      <c r="S5" s="2" t="s">
        <v>14</v>
      </c>
      <c r="U5" s="2" t="s">
        <v>13</v>
      </c>
      <c r="V5" s="2"/>
      <c r="W5" s="2" t="s">
        <v>13</v>
      </c>
      <c r="X5" s="2" t="s">
        <v>14</v>
      </c>
      <c r="Y5" s="2" t="n">
        <f aca="false">COUNTIF(E5:X5,"P")</f>
        <v>15</v>
      </c>
      <c r="Z5" s="2" t="n">
        <f aca="false">COUNTIF(E5:X5,"M")</f>
        <v>0</v>
      </c>
      <c r="AA5" s="2" t="n">
        <f aca="false">COUNTIF(E5:X5,"A")</f>
        <v>2</v>
      </c>
      <c r="AB5" s="2" t="n">
        <f aca="false">SUM(Y5:AA5)</f>
        <v>17</v>
      </c>
      <c r="AC5" s="4" t="n">
        <f aca="false">ROUND((Y5+Z5/2)*10/AB5,0)</f>
        <v>9</v>
      </c>
      <c r="AD5" s="2" t="s">
        <v>13</v>
      </c>
      <c r="AE5" s="2" t="s">
        <v>13</v>
      </c>
      <c r="AF5" s="2" t="s">
        <v>13</v>
      </c>
      <c r="AG5" s="2" t="s">
        <v>13</v>
      </c>
      <c r="AH5" s="2" t="s">
        <v>13</v>
      </c>
      <c r="AI5" s="2" t="s">
        <v>13</v>
      </c>
      <c r="AJ5" s="1" t="s">
        <v>13</v>
      </c>
      <c r="AK5" s="2" t="s">
        <v>14</v>
      </c>
      <c r="AL5" s="2" t="s">
        <v>13</v>
      </c>
      <c r="AN5" s="2" t="s">
        <v>13</v>
      </c>
      <c r="AO5" s="5" t="s">
        <v>13</v>
      </c>
    </row>
    <row r="6" customFormat="false" ht="15" hidden="false" customHeight="false" outlineLevel="0" collapsed="false">
      <c r="A6" s="1" t="n">
        <v>4</v>
      </c>
      <c r="B6" s="2" t="s">
        <v>22</v>
      </c>
      <c r="C6" s="2" t="s">
        <v>23</v>
      </c>
      <c r="D6" s="2" t="s">
        <v>24</v>
      </c>
      <c r="E6" s="1" t="s">
        <v>13</v>
      </c>
      <c r="F6" s="2" t="s">
        <v>13</v>
      </c>
      <c r="G6" s="2" t="s">
        <v>13</v>
      </c>
      <c r="H6" s="2" t="s">
        <v>13</v>
      </c>
      <c r="J6" s="2" t="s">
        <v>13</v>
      </c>
      <c r="K6" s="2" t="s">
        <v>13</v>
      </c>
      <c r="L6" s="2" t="s">
        <v>13</v>
      </c>
      <c r="M6" s="2" t="s">
        <v>13</v>
      </c>
      <c r="N6" s="2" t="s">
        <v>13</v>
      </c>
      <c r="O6" s="2" t="s">
        <v>13</v>
      </c>
      <c r="P6" s="2" t="s">
        <v>13</v>
      </c>
      <c r="Q6" s="2" t="s">
        <v>13</v>
      </c>
      <c r="R6" s="2" t="s">
        <v>13</v>
      </c>
      <c r="S6" s="2" t="s">
        <v>13</v>
      </c>
      <c r="U6" s="2" t="s">
        <v>13</v>
      </c>
      <c r="V6" s="2"/>
      <c r="W6" s="2" t="s">
        <v>13</v>
      </c>
      <c r="X6" s="2" t="s">
        <v>13</v>
      </c>
      <c r="Y6" s="2" t="n">
        <f aca="false">COUNTIF(E6:X6,"P")</f>
        <v>17</v>
      </c>
      <c r="Z6" s="2" t="n">
        <f aca="false">COUNTIF(E6:X6,"M")</f>
        <v>0</v>
      </c>
      <c r="AA6" s="2" t="n">
        <f aca="false">COUNTIF(E6:X6,"A")</f>
        <v>0</v>
      </c>
      <c r="AB6" s="2" t="n">
        <f aca="false">SUM(Y6:AA6)</f>
        <v>17</v>
      </c>
      <c r="AC6" s="4" t="n">
        <f aca="false">ROUND((Y6+Z6/2)*10/AB6,0)</f>
        <v>10</v>
      </c>
      <c r="AD6" s="2" t="s">
        <v>13</v>
      </c>
      <c r="AE6" s="2" t="s">
        <v>18</v>
      </c>
      <c r="AF6" s="2" t="s">
        <v>14</v>
      </c>
      <c r="AG6" s="2" t="s">
        <v>13</v>
      </c>
      <c r="AH6" s="2" t="s">
        <v>13</v>
      </c>
      <c r="AI6" s="2" t="s">
        <v>13</v>
      </c>
      <c r="AJ6" s="1" t="s">
        <v>13</v>
      </c>
      <c r="AK6" s="2" t="s">
        <v>13</v>
      </c>
      <c r="AL6" s="2" t="s">
        <v>13</v>
      </c>
      <c r="AN6" s="2" t="s">
        <v>18</v>
      </c>
      <c r="AO6" s="5" t="s">
        <v>13</v>
      </c>
    </row>
    <row r="7" customFormat="false" ht="15" hidden="false" customHeight="false" outlineLevel="0" collapsed="false">
      <c r="A7" s="1" t="n">
        <v>5</v>
      </c>
      <c r="B7" s="2" t="s">
        <v>25</v>
      </c>
      <c r="C7" s="2" t="s">
        <v>26</v>
      </c>
      <c r="D7" s="2" t="s">
        <v>27</v>
      </c>
      <c r="E7" s="1" t="s">
        <v>13</v>
      </c>
      <c r="F7" s="2" t="s">
        <v>13</v>
      </c>
      <c r="G7" s="2" t="s">
        <v>13</v>
      </c>
      <c r="H7" s="2" t="s">
        <v>28</v>
      </c>
      <c r="I7" s="6" t="n">
        <v>0.638888888888889</v>
      </c>
      <c r="J7" s="2" t="s">
        <v>13</v>
      </c>
      <c r="K7" s="2" t="s">
        <v>13</v>
      </c>
      <c r="L7" s="2" t="s">
        <v>13</v>
      </c>
      <c r="M7" s="2" t="s">
        <v>13</v>
      </c>
      <c r="N7" s="2" t="s">
        <v>14</v>
      </c>
      <c r="O7" s="2" t="s">
        <v>13</v>
      </c>
      <c r="P7" s="2" t="s">
        <v>13</v>
      </c>
      <c r="Q7" s="2" t="s">
        <v>13</v>
      </c>
      <c r="R7" s="2" t="s">
        <v>13</v>
      </c>
      <c r="S7" s="2" t="s">
        <v>13</v>
      </c>
      <c r="U7" s="2" t="s">
        <v>13</v>
      </c>
      <c r="V7" s="2"/>
      <c r="W7" s="2" t="s">
        <v>14</v>
      </c>
      <c r="X7" s="2" t="s">
        <v>13</v>
      </c>
      <c r="Y7" s="2" t="n">
        <f aca="false">COUNTIF(E7:X7,"P")</f>
        <v>14</v>
      </c>
      <c r="Z7" s="2" t="n">
        <f aca="false">COUNTIF(E7:X7,"M")</f>
        <v>1</v>
      </c>
      <c r="AA7" s="2" t="n">
        <f aca="false">COUNTIF(E7:X7,"A")</f>
        <v>2</v>
      </c>
      <c r="AB7" s="2" t="n">
        <f aca="false">SUM(Y7:AA7)</f>
        <v>17</v>
      </c>
      <c r="AC7" s="4" t="n">
        <f aca="false">ROUND((Y7+Z7/2)*10/AB7,0)</f>
        <v>9</v>
      </c>
      <c r="AD7" s="2" t="s">
        <v>13</v>
      </c>
      <c r="AE7" s="2" t="s">
        <v>13</v>
      </c>
      <c r="AF7" s="2" t="s">
        <v>14</v>
      </c>
      <c r="AG7" s="2" t="s">
        <v>13</v>
      </c>
      <c r="AH7" s="2" t="s">
        <v>13</v>
      </c>
      <c r="AI7" s="2" t="s">
        <v>14</v>
      </c>
      <c r="AJ7" s="1" t="s">
        <v>14</v>
      </c>
      <c r="AK7" s="2" t="s">
        <v>13</v>
      </c>
      <c r="AL7" s="2" t="s">
        <v>29</v>
      </c>
      <c r="AM7" s="6" t="n">
        <v>0.847222222222222</v>
      </c>
      <c r="AN7" s="2" t="s">
        <v>14</v>
      </c>
      <c r="AO7" s="5" t="s">
        <v>13</v>
      </c>
      <c r="WYB7" s="2"/>
      <c r="WYC7" s="2"/>
      <c r="WYD7" s="2"/>
      <c r="WYE7" s="2"/>
      <c r="WYF7" s="2"/>
      <c r="WYG7" s="2"/>
      <c r="WYH7" s="2"/>
      <c r="WYI7" s="2"/>
      <c r="WYJ7" s="2"/>
      <c r="WYK7" s="2"/>
      <c r="WYL7" s="2"/>
      <c r="WYM7" s="2"/>
      <c r="WYN7" s="2"/>
      <c r="WYO7" s="2"/>
      <c r="WYP7" s="2"/>
      <c r="WYQ7" s="2"/>
      <c r="WYR7" s="2"/>
      <c r="WYS7" s="2"/>
      <c r="WYT7" s="2"/>
      <c r="WYU7" s="2"/>
      <c r="WYV7" s="2"/>
      <c r="WYW7" s="2"/>
      <c r="WYX7" s="2"/>
      <c r="WYY7" s="2"/>
      <c r="WYZ7" s="2"/>
      <c r="WZA7" s="2"/>
      <c r="WZB7" s="2"/>
      <c r="WZC7" s="2"/>
      <c r="WZD7" s="2"/>
      <c r="WZE7" s="2"/>
      <c r="WZF7" s="2"/>
      <c r="WZG7" s="2"/>
      <c r="WZH7" s="2"/>
      <c r="WZI7" s="2"/>
      <c r="WZJ7" s="2"/>
      <c r="WZK7" s="2"/>
      <c r="WZL7" s="2"/>
      <c r="WZM7" s="2"/>
      <c r="WZN7" s="2"/>
      <c r="WZO7" s="2"/>
      <c r="WZP7" s="2"/>
      <c r="WZQ7" s="2"/>
      <c r="WZR7" s="2"/>
      <c r="WZS7" s="2"/>
      <c r="WZT7" s="2"/>
      <c r="WZU7" s="2"/>
      <c r="WZV7" s="2"/>
      <c r="WZW7" s="2"/>
      <c r="WZX7" s="2"/>
      <c r="WZY7" s="2"/>
      <c r="WZZ7" s="2"/>
      <c r="XAA7" s="2"/>
      <c r="XAB7" s="2"/>
      <c r="XAC7" s="2"/>
      <c r="XAD7" s="2"/>
      <c r="XAE7" s="2"/>
      <c r="XAF7" s="2"/>
      <c r="XAG7" s="2"/>
      <c r="XAH7" s="2"/>
      <c r="XAI7" s="2"/>
      <c r="XAJ7" s="2"/>
      <c r="XAK7" s="2"/>
      <c r="XAL7" s="2"/>
      <c r="XAM7" s="2"/>
      <c r="XAN7" s="2"/>
      <c r="XAO7" s="2"/>
      <c r="XAP7" s="2"/>
      <c r="XAQ7" s="2"/>
      <c r="XAR7" s="2"/>
      <c r="XAS7" s="2"/>
      <c r="XAT7" s="2"/>
      <c r="XAU7" s="2"/>
      <c r="XAV7" s="2"/>
      <c r="XAW7" s="2"/>
      <c r="XAX7" s="2"/>
      <c r="XAY7" s="2"/>
      <c r="XAZ7" s="2"/>
      <c r="XBA7" s="2"/>
      <c r="XBB7" s="2"/>
      <c r="XBC7" s="2"/>
      <c r="XBD7" s="2"/>
      <c r="XBE7" s="2"/>
      <c r="XBF7" s="2"/>
      <c r="XBG7" s="2"/>
      <c r="XBH7" s="2"/>
      <c r="XBI7" s="2"/>
      <c r="XBJ7" s="2"/>
      <c r="XBK7" s="2"/>
      <c r="XBL7" s="2"/>
      <c r="XBM7" s="2"/>
      <c r="XBN7" s="2"/>
      <c r="XBO7" s="2"/>
      <c r="XBP7" s="2"/>
      <c r="XBQ7" s="2"/>
      <c r="XBR7" s="2"/>
      <c r="XBS7" s="2"/>
      <c r="XBT7" s="2"/>
      <c r="XBU7" s="2"/>
      <c r="XBV7" s="2"/>
      <c r="XBW7" s="2"/>
      <c r="XBX7" s="2"/>
      <c r="XBY7" s="2"/>
      <c r="XBZ7" s="2"/>
      <c r="XCA7" s="2"/>
      <c r="XCB7" s="2"/>
      <c r="XCC7" s="2"/>
      <c r="XCD7" s="2"/>
      <c r="XCE7" s="2"/>
      <c r="XCF7" s="2"/>
      <c r="XCG7" s="2"/>
      <c r="XCH7" s="2"/>
      <c r="XCI7" s="2"/>
      <c r="XCJ7" s="2"/>
      <c r="XCK7" s="2"/>
      <c r="XCL7" s="2"/>
      <c r="XCM7" s="2"/>
      <c r="XCN7" s="2"/>
      <c r="XCO7" s="2"/>
      <c r="XCP7" s="2"/>
      <c r="XCQ7" s="2"/>
      <c r="XCR7" s="2"/>
      <c r="XCS7" s="2"/>
      <c r="XCT7" s="2"/>
      <c r="XCU7" s="2"/>
      <c r="XCV7" s="2"/>
      <c r="XCW7" s="2"/>
      <c r="XCX7" s="2"/>
      <c r="XCY7" s="2"/>
      <c r="XCZ7" s="2"/>
      <c r="XDA7" s="2"/>
      <c r="XDB7" s="2"/>
      <c r="XDC7" s="2"/>
      <c r="XDD7" s="2"/>
      <c r="XDE7" s="2"/>
      <c r="XDF7" s="2"/>
      <c r="XDG7" s="2"/>
      <c r="XDH7" s="2"/>
      <c r="XDI7" s="2"/>
      <c r="XDJ7" s="2"/>
      <c r="XDK7" s="2"/>
      <c r="XDL7" s="2"/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  <c r="XFD7" s="2"/>
    </row>
    <row r="8" s="2" customFormat="true" ht="15" hidden="false" customHeight="false" outlineLevel="0" collapsed="false">
      <c r="A8" s="1" t="n">
        <v>6</v>
      </c>
      <c r="B8" s="2" t="s">
        <v>30</v>
      </c>
      <c r="C8" s="2" t="s">
        <v>31</v>
      </c>
      <c r="D8" s="2" t="s">
        <v>32</v>
      </c>
      <c r="E8" s="1" t="s">
        <v>14</v>
      </c>
      <c r="F8" s="1" t="s">
        <v>13</v>
      </c>
      <c r="G8" s="1" t="s">
        <v>13</v>
      </c>
      <c r="H8" s="1" t="s">
        <v>13</v>
      </c>
      <c r="I8" s="1"/>
      <c r="J8" s="1" t="s">
        <v>13</v>
      </c>
      <c r="K8" s="1" t="s">
        <v>13</v>
      </c>
      <c r="L8" s="1" t="s">
        <v>13</v>
      </c>
      <c r="M8" s="1" t="s">
        <v>13</v>
      </c>
      <c r="N8" s="1" t="s">
        <v>13</v>
      </c>
      <c r="O8" s="1" t="s">
        <v>13</v>
      </c>
      <c r="P8" s="1" t="s">
        <v>13</v>
      </c>
      <c r="Q8" s="1" t="s">
        <v>14</v>
      </c>
      <c r="R8" s="1" t="s">
        <v>13</v>
      </c>
      <c r="S8" s="1" t="s">
        <v>13</v>
      </c>
      <c r="T8" s="1"/>
      <c r="U8" s="1" t="s">
        <v>13</v>
      </c>
      <c r="V8" s="1"/>
      <c r="W8" s="1" t="s">
        <v>13</v>
      </c>
      <c r="X8" s="1" t="s">
        <v>13</v>
      </c>
      <c r="Y8" s="2" t="n">
        <f aca="false">COUNTIF(E8:X8,"P")</f>
        <v>15</v>
      </c>
      <c r="Z8" s="2" t="n">
        <f aca="false">COUNTIF(E8:X8,"M")</f>
        <v>0</v>
      </c>
      <c r="AA8" s="2" t="n">
        <f aca="false">COUNTIF(E8:X8,"A")</f>
        <v>2</v>
      </c>
      <c r="AB8" s="2" t="n">
        <f aca="false">SUM(Y8:AA8)</f>
        <v>17</v>
      </c>
      <c r="AC8" s="4" t="n">
        <f aca="false">ROUND((Y8+Z8/2)*10/AB8,0)</f>
        <v>9</v>
      </c>
      <c r="AD8" s="1" t="s">
        <v>13</v>
      </c>
      <c r="AE8" s="1" t="s">
        <v>13</v>
      </c>
      <c r="AF8" s="1" t="s">
        <v>14</v>
      </c>
      <c r="AG8" s="1" t="s">
        <v>13</v>
      </c>
      <c r="AH8" s="1" t="s">
        <v>13</v>
      </c>
      <c r="AI8" s="1" t="s">
        <v>14</v>
      </c>
      <c r="AJ8" s="1" t="s">
        <v>14</v>
      </c>
      <c r="AK8" s="1" t="s">
        <v>13</v>
      </c>
      <c r="AL8" s="1" t="s">
        <v>13</v>
      </c>
      <c r="AM8" s="1"/>
      <c r="AN8" s="1" t="s">
        <v>13</v>
      </c>
      <c r="AO8" s="1" t="s">
        <v>13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  <c r="XBK8" s="1"/>
      <c r="XBL8" s="1"/>
      <c r="XBM8" s="1"/>
      <c r="XBN8" s="1"/>
      <c r="XBO8" s="1"/>
      <c r="XBP8" s="1"/>
      <c r="XBQ8" s="1"/>
      <c r="XBR8" s="1"/>
      <c r="XBS8" s="1"/>
      <c r="XBT8" s="1"/>
      <c r="XBU8" s="1"/>
      <c r="XBV8" s="1"/>
      <c r="XBW8" s="1"/>
      <c r="XBX8" s="1"/>
      <c r="XBY8" s="1"/>
      <c r="XBZ8" s="1"/>
      <c r="XCA8" s="1"/>
      <c r="XCB8" s="1"/>
      <c r="XCC8" s="1"/>
      <c r="XCD8" s="1"/>
      <c r="XCE8" s="1"/>
      <c r="XCF8" s="1"/>
      <c r="XCG8" s="1"/>
      <c r="XCH8" s="1"/>
      <c r="XCI8" s="1"/>
      <c r="XCJ8" s="1"/>
      <c r="XCK8" s="1"/>
      <c r="XCL8" s="1"/>
      <c r="XCM8" s="1"/>
      <c r="XCN8" s="1"/>
      <c r="XCO8" s="1"/>
      <c r="XCP8" s="1"/>
      <c r="XCQ8" s="1"/>
      <c r="XCR8" s="1"/>
      <c r="XCS8" s="1"/>
      <c r="XCT8" s="1"/>
      <c r="XCU8" s="1"/>
      <c r="XCV8" s="1"/>
      <c r="XCW8" s="1"/>
      <c r="XCX8" s="1"/>
      <c r="XCY8" s="1"/>
      <c r="XCZ8" s="1"/>
      <c r="XDA8" s="1"/>
      <c r="XDB8" s="1"/>
      <c r="XDC8" s="1"/>
      <c r="XDD8" s="1"/>
      <c r="XDE8" s="1"/>
      <c r="XDF8" s="1"/>
      <c r="XDG8" s="1"/>
      <c r="XDH8" s="1"/>
      <c r="XDI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customFormat="false" ht="15" hidden="false" customHeight="false" outlineLevel="0" collapsed="false">
      <c r="A9" s="1" t="n">
        <v>7</v>
      </c>
      <c r="B9" s="2" t="s">
        <v>33</v>
      </c>
      <c r="C9" s="2" t="s">
        <v>34</v>
      </c>
      <c r="D9" s="2" t="s">
        <v>35</v>
      </c>
      <c r="E9" s="1" t="s">
        <v>13</v>
      </c>
      <c r="F9" s="2" t="s">
        <v>13</v>
      </c>
      <c r="G9" s="2" t="s">
        <v>13</v>
      </c>
      <c r="H9" s="2" t="s">
        <v>13</v>
      </c>
      <c r="J9" s="2" t="s">
        <v>14</v>
      </c>
      <c r="K9" s="2" t="s">
        <v>13</v>
      </c>
      <c r="L9" s="2" t="s">
        <v>13</v>
      </c>
      <c r="M9" s="2" t="s">
        <v>14</v>
      </c>
      <c r="N9" s="2" t="s">
        <v>13</v>
      </c>
      <c r="O9" s="2" t="s">
        <v>13</v>
      </c>
      <c r="P9" s="2" t="s">
        <v>13</v>
      </c>
      <c r="Q9" s="2" t="s">
        <v>13</v>
      </c>
      <c r="R9" s="2" t="s">
        <v>13</v>
      </c>
      <c r="S9" s="2" t="s">
        <v>13</v>
      </c>
      <c r="U9" s="2" t="s">
        <v>13</v>
      </c>
      <c r="V9" s="2"/>
      <c r="W9" s="2" t="s">
        <v>13</v>
      </c>
      <c r="X9" s="2" t="s">
        <v>13</v>
      </c>
      <c r="Y9" s="2" t="n">
        <f aca="false">COUNTIF(E9:X9,"P")</f>
        <v>15</v>
      </c>
      <c r="Z9" s="2" t="n">
        <f aca="false">COUNTIF(E9:X9,"M")</f>
        <v>0</v>
      </c>
      <c r="AA9" s="2" t="n">
        <f aca="false">COUNTIF(E9:X9,"A")</f>
        <v>2</v>
      </c>
      <c r="AB9" s="2" t="n">
        <f aca="false">SUM(Y9:AA9)</f>
        <v>17</v>
      </c>
      <c r="AC9" s="4" t="n">
        <f aca="false">ROUND((Y9+Z9/2)*10/AB9,0)</f>
        <v>9</v>
      </c>
      <c r="AD9" s="2" t="s">
        <v>13</v>
      </c>
      <c r="AE9" s="2" t="s">
        <v>13</v>
      </c>
      <c r="AF9" s="2" t="s">
        <v>13</v>
      </c>
      <c r="AG9" s="2" t="s">
        <v>13</v>
      </c>
      <c r="AH9" s="2" t="s">
        <v>13</v>
      </c>
      <c r="AI9" s="2" t="s">
        <v>13</v>
      </c>
      <c r="AJ9" s="1" t="s">
        <v>13</v>
      </c>
      <c r="AK9" s="2" t="s">
        <v>13</v>
      </c>
      <c r="AL9" s="2" t="s">
        <v>13</v>
      </c>
      <c r="AN9" s="2" t="s">
        <v>13</v>
      </c>
      <c r="AO9" s="5" t="s">
        <v>13</v>
      </c>
    </row>
    <row r="10" customFormat="false" ht="15" hidden="false" customHeight="false" outlineLevel="0" collapsed="false">
      <c r="A10" s="1" t="n">
        <v>8</v>
      </c>
      <c r="B10" s="2" t="s">
        <v>36</v>
      </c>
      <c r="C10" s="2" t="s">
        <v>37</v>
      </c>
      <c r="D10" s="2" t="s">
        <v>38</v>
      </c>
      <c r="E10" s="1" t="s">
        <v>13</v>
      </c>
      <c r="F10" s="2" t="s">
        <v>13</v>
      </c>
      <c r="G10" s="2" t="s">
        <v>13</v>
      </c>
      <c r="H10" s="2" t="s">
        <v>13</v>
      </c>
      <c r="J10" s="2" t="s">
        <v>13</v>
      </c>
      <c r="K10" s="2" t="s">
        <v>13</v>
      </c>
      <c r="L10" s="2" t="s">
        <v>13</v>
      </c>
      <c r="M10" s="2" t="s">
        <v>13</v>
      </c>
      <c r="N10" s="2" t="s">
        <v>13</v>
      </c>
      <c r="O10" s="2" t="s">
        <v>13</v>
      </c>
      <c r="P10" s="2" t="s">
        <v>13</v>
      </c>
      <c r="Q10" s="2" t="s">
        <v>13</v>
      </c>
      <c r="R10" s="2" t="s">
        <v>13</v>
      </c>
      <c r="S10" s="2" t="s">
        <v>13</v>
      </c>
      <c r="U10" s="2" t="s">
        <v>13</v>
      </c>
      <c r="V10" s="2"/>
      <c r="W10" s="2" t="s">
        <v>13</v>
      </c>
      <c r="X10" s="2" t="s">
        <v>13</v>
      </c>
      <c r="Y10" s="2" t="n">
        <f aca="false">COUNTIF(E10:X10,"P")</f>
        <v>17</v>
      </c>
      <c r="Z10" s="2" t="n">
        <f aca="false">COUNTIF(E10:X10,"M")</f>
        <v>0</v>
      </c>
      <c r="AA10" s="2" t="n">
        <f aca="false">COUNTIF(E10:X10,"A")</f>
        <v>0</v>
      </c>
      <c r="AB10" s="2" t="n">
        <f aca="false">SUM(Y10:AA10)</f>
        <v>17</v>
      </c>
      <c r="AC10" s="4" t="n">
        <f aca="false">ROUND((Y10+Z10/2)*10/AB10,0)</f>
        <v>10</v>
      </c>
      <c r="AD10" s="2" t="s">
        <v>13</v>
      </c>
      <c r="AE10" s="2" t="s">
        <v>39</v>
      </c>
      <c r="AF10" s="2" t="s">
        <v>13</v>
      </c>
      <c r="AG10" s="2" t="s">
        <v>13</v>
      </c>
      <c r="AH10" s="2" t="s">
        <v>13</v>
      </c>
      <c r="AI10" s="2" t="s">
        <v>13</v>
      </c>
      <c r="AJ10" s="1" t="s">
        <v>13</v>
      </c>
      <c r="AK10" s="2" t="s">
        <v>13</v>
      </c>
      <c r="AL10" s="2" t="s">
        <v>13</v>
      </c>
      <c r="AN10" s="2" t="s">
        <v>13</v>
      </c>
      <c r="AO10" s="5" t="s">
        <v>13</v>
      </c>
    </row>
    <row r="11" customFormat="false" ht="15" hidden="false" customHeight="false" outlineLevel="0" collapsed="false">
      <c r="A11" s="1" t="n">
        <v>9</v>
      </c>
      <c r="B11" s="2" t="s">
        <v>40</v>
      </c>
      <c r="C11" s="2" t="s">
        <v>41</v>
      </c>
      <c r="D11" s="2" t="s">
        <v>42</v>
      </c>
      <c r="E11" s="1" t="s">
        <v>13</v>
      </c>
      <c r="F11" s="2" t="s">
        <v>13</v>
      </c>
      <c r="G11" s="2" t="s">
        <v>13</v>
      </c>
      <c r="H11" s="2" t="s">
        <v>13</v>
      </c>
      <c r="J11" s="2" t="s">
        <v>14</v>
      </c>
      <c r="K11" s="2" t="s">
        <v>13</v>
      </c>
      <c r="L11" s="2" t="s">
        <v>13</v>
      </c>
      <c r="M11" s="2" t="s">
        <v>13</v>
      </c>
      <c r="N11" s="2" t="s">
        <v>13</v>
      </c>
      <c r="O11" s="2" t="s">
        <v>13</v>
      </c>
      <c r="P11" s="2" t="s">
        <v>13</v>
      </c>
      <c r="Q11" s="2" t="s">
        <v>13</v>
      </c>
      <c r="R11" s="2" t="s">
        <v>13</v>
      </c>
      <c r="S11" s="2" t="s">
        <v>13</v>
      </c>
      <c r="U11" s="2" t="s">
        <v>13</v>
      </c>
      <c r="V11" s="2"/>
      <c r="W11" s="2" t="s">
        <v>13</v>
      </c>
      <c r="X11" s="2" t="s">
        <v>14</v>
      </c>
      <c r="Y11" s="2" t="n">
        <f aca="false">COUNTIF(E11:X11,"P")</f>
        <v>15</v>
      </c>
      <c r="Z11" s="2" t="n">
        <f aca="false">COUNTIF(E11:X11,"M")</f>
        <v>0</v>
      </c>
      <c r="AA11" s="2" t="n">
        <f aca="false">COUNTIF(E11:X11,"A")</f>
        <v>2</v>
      </c>
      <c r="AB11" s="2" t="n">
        <f aca="false">SUM(Y11:AA11)</f>
        <v>17</v>
      </c>
      <c r="AC11" s="4" t="n">
        <f aca="false">ROUND((Y11+Z11/2)*10/AB11,0)</f>
        <v>9</v>
      </c>
      <c r="AD11" s="2" t="s">
        <v>13</v>
      </c>
      <c r="AE11" s="2" t="s">
        <v>13</v>
      </c>
      <c r="AF11" s="2" t="s">
        <v>13</v>
      </c>
      <c r="AG11" s="2" t="s">
        <v>13</v>
      </c>
      <c r="AH11" s="2" t="s">
        <v>13</v>
      </c>
      <c r="AI11" s="2" t="s">
        <v>13</v>
      </c>
      <c r="AJ11" s="1" t="s">
        <v>18</v>
      </c>
      <c r="AK11" s="2" t="s">
        <v>14</v>
      </c>
      <c r="AL11" s="2" t="s">
        <v>13</v>
      </c>
      <c r="AN11" s="2" t="s">
        <v>13</v>
      </c>
      <c r="AO11" s="5" t="s">
        <v>13</v>
      </c>
      <c r="WYB11" s="2"/>
      <c r="WYC11" s="2"/>
      <c r="WYD11" s="2"/>
      <c r="WYE11" s="2"/>
      <c r="WYF11" s="2"/>
      <c r="WYG11" s="2"/>
      <c r="WYH11" s="2"/>
      <c r="WYI11" s="2"/>
      <c r="WYJ11" s="2"/>
      <c r="WYK11" s="2"/>
      <c r="WYL11" s="2"/>
      <c r="WYM11" s="2"/>
      <c r="WYN11" s="2"/>
      <c r="WYO11" s="2"/>
      <c r="WYP11" s="2"/>
      <c r="WYQ11" s="2"/>
      <c r="WYR11" s="2"/>
      <c r="WYS11" s="2"/>
      <c r="WYT11" s="2"/>
      <c r="WYU11" s="2"/>
      <c r="WYV11" s="2"/>
      <c r="WYW11" s="2"/>
      <c r="WYX11" s="2"/>
      <c r="WYY11" s="2"/>
      <c r="WYZ11" s="2"/>
      <c r="WZA11" s="2"/>
      <c r="WZB11" s="2"/>
      <c r="WZC11" s="2"/>
      <c r="WZD11" s="2"/>
      <c r="WZE11" s="2"/>
      <c r="WZF11" s="2"/>
      <c r="WZG11" s="2"/>
      <c r="WZH11" s="2"/>
      <c r="WZI11" s="2"/>
      <c r="WZJ11" s="2"/>
      <c r="WZK11" s="2"/>
      <c r="WZL11" s="2"/>
      <c r="WZM11" s="2"/>
      <c r="WZN11" s="2"/>
      <c r="WZO11" s="2"/>
      <c r="WZP11" s="2"/>
      <c r="WZQ11" s="2"/>
      <c r="WZR11" s="2"/>
      <c r="WZS11" s="2"/>
      <c r="WZT11" s="2"/>
      <c r="WZU11" s="2"/>
      <c r="WZV11" s="2"/>
      <c r="WZW11" s="2"/>
      <c r="WZX11" s="2"/>
      <c r="WZY11" s="2"/>
      <c r="WZZ11" s="2"/>
      <c r="XAA11" s="2"/>
      <c r="XAB11" s="2"/>
      <c r="XAC11" s="2"/>
      <c r="XAD11" s="2"/>
      <c r="XAE11" s="2"/>
      <c r="XAF11" s="2"/>
      <c r="XAG11" s="2"/>
      <c r="XAH11" s="2"/>
      <c r="XAI11" s="2"/>
      <c r="XAJ11" s="2"/>
      <c r="XAK11" s="2"/>
      <c r="XAL11" s="2"/>
      <c r="XAM11" s="2"/>
      <c r="XAN11" s="2"/>
      <c r="XAO11" s="2"/>
      <c r="XAP11" s="2"/>
      <c r="XAQ11" s="2"/>
      <c r="XAR11" s="2"/>
      <c r="XAS11" s="2"/>
      <c r="XAT11" s="2"/>
      <c r="XAU11" s="2"/>
      <c r="XAV11" s="2"/>
      <c r="XAW11" s="2"/>
      <c r="XAX11" s="2"/>
      <c r="XAY11" s="2"/>
      <c r="XAZ11" s="2"/>
      <c r="XBA11" s="2"/>
      <c r="XBB11" s="2"/>
      <c r="XBC11" s="2"/>
      <c r="XBD11" s="2"/>
      <c r="XBE11" s="2"/>
      <c r="XBF11" s="2"/>
      <c r="XBG11" s="2"/>
      <c r="XBH11" s="2"/>
      <c r="XBI11" s="2"/>
      <c r="XBJ11" s="2"/>
      <c r="XBK11" s="2"/>
      <c r="XBL11" s="2"/>
      <c r="XBM11" s="2"/>
      <c r="XBN11" s="2"/>
      <c r="XBO11" s="2"/>
      <c r="XBP11" s="2"/>
      <c r="XBQ11" s="2"/>
      <c r="XBR11" s="2"/>
      <c r="XBS11" s="2"/>
      <c r="XBT11" s="2"/>
      <c r="XBU11" s="2"/>
      <c r="XBV11" s="2"/>
      <c r="XBW11" s="2"/>
      <c r="XBX11" s="2"/>
      <c r="XBY11" s="2"/>
      <c r="XBZ11" s="2"/>
      <c r="XCA11" s="2"/>
      <c r="XCB11" s="2"/>
      <c r="XCC11" s="2"/>
      <c r="XCD11" s="2"/>
      <c r="XCE11" s="2"/>
      <c r="XCF11" s="2"/>
      <c r="XCG11" s="2"/>
      <c r="XCH11" s="2"/>
      <c r="XCI11" s="2"/>
      <c r="XCJ11" s="2"/>
      <c r="XCK11" s="2"/>
      <c r="XCL11" s="2"/>
      <c r="XCM11" s="2"/>
      <c r="XCN11" s="2"/>
      <c r="XCO11" s="2"/>
      <c r="XCP11" s="2"/>
      <c r="XCQ11" s="2"/>
      <c r="XCR11" s="2"/>
      <c r="XCS11" s="2"/>
      <c r="XCT11" s="2"/>
      <c r="XCU11" s="2"/>
      <c r="XCV11" s="2"/>
      <c r="XCW11" s="2"/>
      <c r="XCX11" s="2"/>
      <c r="XCY11" s="2"/>
      <c r="XCZ11" s="2"/>
      <c r="XDA11" s="2"/>
      <c r="XDB11" s="2"/>
      <c r="XDC11" s="2"/>
      <c r="XDD11" s="2"/>
      <c r="XDE11" s="2"/>
      <c r="XDF11" s="2"/>
      <c r="XDG11" s="2"/>
      <c r="XDH11" s="2"/>
      <c r="XDI11" s="2"/>
      <c r="XDJ11" s="2"/>
      <c r="XDK11" s="2"/>
      <c r="XDL11" s="2"/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  <c r="XFD11" s="2"/>
    </row>
    <row r="12" s="2" customFormat="true" ht="15" hidden="false" customHeight="false" outlineLevel="0" collapsed="false">
      <c r="A12" s="1" t="n">
        <v>10</v>
      </c>
      <c r="B12" s="2" t="s">
        <v>43</v>
      </c>
      <c r="C12" s="2" t="s">
        <v>44</v>
      </c>
      <c r="D12" s="2" t="s">
        <v>45</v>
      </c>
      <c r="E12" s="1" t="s">
        <v>13</v>
      </c>
      <c r="F12" s="1" t="s">
        <v>13</v>
      </c>
      <c r="G12" s="1" t="s">
        <v>13</v>
      </c>
      <c r="H12" s="1" t="s">
        <v>13</v>
      </c>
      <c r="I12" s="1"/>
      <c r="J12" s="1" t="s">
        <v>13</v>
      </c>
      <c r="K12" s="1" t="s">
        <v>13</v>
      </c>
      <c r="L12" s="1" t="s">
        <v>13</v>
      </c>
      <c r="M12" s="1" t="s">
        <v>13</v>
      </c>
      <c r="N12" s="1" t="s">
        <v>13</v>
      </c>
      <c r="O12" s="1" t="s">
        <v>13</v>
      </c>
      <c r="P12" s="1" t="s">
        <v>13</v>
      </c>
      <c r="Q12" s="1" t="s">
        <v>13</v>
      </c>
      <c r="R12" s="1" t="s">
        <v>13</v>
      </c>
      <c r="S12" s="1" t="s">
        <v>13</v>
      </c>
      <c r="T12" s="1"/>
      <c r="U12" s="1" t="s">
        <v>13</v>
      </c>
      <c r="V12" s="1"/>
      <c r="W12" s="1" t="s">
        <v>13</v>
      </c>
      <c r="X12" s="1" t="s">
        <v>13</v>
      </c>
      <c r="Y12" s="2" t="n">
        <f aca="false">COUNTIF(E12:X12,"P")</f>
        <v>17</v>
      </c>
      <c r="Z12" s="2" t="n">
        <f aca="false">COUNTIF(E12:X12,"M")</f>
        <v>0</v>
      </c>
      <c r="AA12" s="2" t="n">
        <f aca="false">COUNTIF(E12:X12,"A")</f>
        <v>0</v>
      </c>
      <c r="AB12" s="2" t="n">
        <f aca="false">SUM(Y12:AA12)</f>
        <v>17</v>
      </c>
      <c r="AC12" s="4" t="n">
        <f aca="false">ROUND((Y12+Z12/2)*10/AB12,0)</f>
        <v>10</v>
      </c>
      <c r="AD12" s="1" t="s">
        <v>13</v>
      </c>
      <c r="AE12" s="1" t="s">
        <v>13</v>
      </c>
      <c r="AF12" s="1" t="s">
        <v>13</v>
      </c>
      <c r="AG12" s="1" t="s">
        <v>13</v>
      </c>
      <c r="AH12" s="1" t="s">
        <v>13</v>
      </c>
      <c r="AI12" s="1" t="s">
        <v>13</v>
      </c>
      <c r="AJ12" s="1" t="s">
        <v>13</v>
      </c>
      <c r="AK12" s="1" t="s">
        <v>13</v>
      </c>
      <c r="AL12" s="1" t="s">
        <v>13</v>
      </c>
      <c r="AM12" s="1"/>
      <c r="AN12" s="1" t="s">
        <v>13</v>
      </c>
      <c r="AO12" s="1" t="s">
        <v>13</v>
      </c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WYB12" s="1"/>
      <c r="WYC12" s="1"/>
      <c r="WYD12" s="1"/>
      <c r="WYE12" s="1"/>
      <c r="WYF12" s="1"/>
      <c r="WYG12" s="1"/>
      <c r="WYH12" s="1"/>
      <c r="WYI12" s="1"/>
      <c r="WYJ12" s="1"/>
      <c r="WYK12" s="1"/>
      <c r="WYL12" s="1"/>
      <c r="WYM12" s="1"/>
      <c r="WYN12" s="1"/>
      <c r="WYO12" s="1"/>
      <c r="WYP12" s="1"/>
      <c r="WYQ12" s="1"/>
      <c r="WYR12" s="1"/>
      <c r="WYS12" s="1"/>
      <c r="WYT12" s="1"/>
      <c r="WYU12" s="1"/>
      <c r="WYV12" s="1"/>
      <c r="WYW12" s="1"/>
      <c r="WYX12" s="1"/>
      <c r="WYY12" s="1"/>
      <c r="WYZ12" s="1"/>
      <c r="WZA12" s="1"/>
      <c r="WZB12" s="1"/>
      <c r="WZC12" s="1"/>
      <c r="WZD12" s="1"/>
      <c r="WZE12" s="1"/>
      <c r="WZF12" s="1"/>
      <c r="WZG12" s="1"/>
      <c r="WZH12" s="1"/>
      <c r="WZI12" s="1"/>
      <c r="WZJ12" s="1"/>
      <c r="WZK12" s="1"/>
      <c r="WZL12" s="1"/>
      <c r="WZM12" s="1"/>
      <c r="WZN12" s="1"/>
      <c r="WZO12" s="1"/>
      <c r="WZP12" s="1"/>
      <c r="WZQ12" s="1"/>
      <c r="WZR12" s="1"/>
      <c r="WZS12" s="1"/>
      <c r="WZT12" s="1"/>
      <c r="WZU12" s="1"/>
      <c r="WZV12" s="1"/>
      <c r="WZW12" s="1"/>
      <c r="WZX12" s="1"/>
      <c r="WZY12" s="1"/>
      <c r="WZZ12" s="1"/>
      <c r="XAA12" s="1"/>
      <c r="XAB12" s="1"/>
      <c r="XAC12" s="1"/>
      <c r="XAD12" s="1"/>
      <c r="XAE12" s="1"/>
      <c r="XAF12" s="1"/>
      <c r="XAG12" s="1"/>
      <c r="XAH12" s="1"/>
      <c r="XAI12" s="1"/>
      <c r="XAJ12" s="1"/>
      <c r="XAK12" s="1"/>
      <c r="XAL12" s="1"/>
      <c r="XAM12" s="1"/>
      <c r="XAN12" s="1"/>
      <c r="XAO12" s="1"/>
      <c r="XAP12" s="1"/>
      <c r="XAQ12" s="1"/>
      <c r="XAR12" s="1"/>
      <c r="XAS12" s="1"/>
      <c r="XAT12" s="1"/>
      <c r="XAU12" s="1"/>
      <c r="XAV12" s="1"/>
      <c r="XAW12" s="1"/>
      <c r="XAX12" s="1"/>
      <c r="XAY12" s="1"/>
      <c r="XAZ12" s="1"/>
      <c r="XBA12" s="1"/>
      <c r="XBB12" s="1"/>
      <c r="XBC12" s="1"/>
      <c r="XBD12" s="1"/>
      <c r="XBE12" s="1"/>
      <c r="XBF12" s="1"/>
      <c r="XBG12" s="1"/>
      <c r="XBH12" s="1"/>
      <c r="XBI12" s="1"/>
      <c r="XBJ12" s="1"/>
      <c r="XBK12" s="1"/>
      <c r="XBL12" s="1"/>
      <c r="XBM12" s="1"/>
      <c r="XBN12" s="1"/>
      <c r="XBO12" s="1"/>
      <c r="XBP12" s="1"/>
      <c r="XBQ12" s="1"/>
      <c r="XBR12" s="1"/>
      <c r="XBS12" s="1"/>
      <c r="XBT12" s="1"/>
      <c r="XBU12" s="1"/>
      <c r="XBV12" s="1"/>
      <c r="XBW12" s="1"/>
      <c r="XBX12" s="1"/>
      <c r="XBY12" s="1"/>
      <c r="XBZ12" s="1"/>
      <c r="XCA12" s="1"/>
      <c r="XCB12" s="1"/>
      <c r="XCC12" s="1"/>
      <c r="XCD12" s="1"/>
      <c r="XCE12" s="1"/>
      <c r="XCF12" s="1"/>
      <c r="XCG12" s="1"/>
      <c r="XCH12" s="1"/>
      <c r="XCI12" s="1"/>
      <c r="XCJ12" s="1"/>
      <c r="XCK12" s="1"/>
      <c r="XCL12" s="1"/>
      <c r="XCM12" s="1"/>
      <c r="XCN12" s="1"/>
      <c r="XCO12" s="1"/>
      <c r="XCP12" s="1"/>
      <c r="XCQ12" s="1"/>
      <c r="XCR12" s="1"/>
      <c r="XCS12" s="1"/>
      <c r="XCT12" s="1"/>
      <c r="XCU12" s="1"/>
      <c r="XCV12" s="1"/>
      <c r="XCW12" s="1"/>
      <c r="XCX12" s="1"/>
      <c r="XCY12" s="1"/>
      <c r="XCZ12" s="1"/>
      <c r="XDA12" s="1"/>
      <c r="XDB12" s="1"/>
      <c r="XDC12" s="1"/>
      <c r="XDD12" s="1"/>
      <c r="XDE12" s="1"/>
      <c r="XDF12" s="1"/>
      <c r="XDG12" s="1"/>
      <c r="XDH12" s="1"/>
      <c r="XDI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  <c r="XFB12" s="1"/>
      <c r="XFC12" s="1"/>
      <c r="XFD12" s="1"/>
    </row>
    <row r="13" s="1" customFormat="true" ht="15" hidden="false" customHeight="false" outlineLevel="0" collapsed="false">
      <c r="A13" s="1" t="n">
        <v>11</v>
      </c>
      <c r="B13" s="2" t="s">
        <v>46</v>
      </c>
      <c r="C13" s="2" t="s">
        <v>47</v>
      </c>
      <c r="D13" s="2" t="s">
        <v>48</v>
      </c>
      <c r="E13" s="1" t="s">
        <v>13</v>
      </c>
      <c r="F13" s="1" t="s">
        <v>13</v>
      </c>
      <c r="G13" s="1" t="s">
        <v>14</v>
      </c>
      <c r="H13" s="1" t="s">
        <v>13</v>
      </c>
      <c r="J13" s="1" t="s">
        <v>13</v>
      </c>
      <c r="K13" s="1" t="s">
        <v>13</v>
      </c>
      <c r="L13" s="1" t="s">
        <v>13</v>
      </c>
      <c r="M13" s="1" t="s">
        <v>13</v>
      </c>
      <c r="N13" s="1" t="s">
        <v>13</v>
      </c>
      <c r="O13" s="1" t="s">
        <v>13</v>
      </c>
      <c r="P13" s="1" t="s">
        <v>13</v>
      </c>
      <c r="Q13" s="1" t="s">
        <v>14</v>
      </c>
      <c r="R13" s="1" t="s">
        <v>13</v>
      </c>
      <c r="S13" s="1" t="s">
        <v>13</v>
      </c>
      <c r="U13" s="1" t="s">
        <v>13</v>
      </c>
      <c r="W13" s="1" t="s">
        <v>13</v>
      </c>
      <c r="X13" s="1" t="s">
        <v>13</v>
      </c>
      <c r="Y13" s="2" t="n">
        <f aca="false">COUNTIF(E13:X13,"P")</f>
        <v>15</v>
      </c>
      <c r="Z13" s="2" t="n">
        <f aca="false">COUNTIF(E13:X13,"M")</f>
        <v>0</v>
      </c>
      <c r="AA13" s="2" t="n">
        <f aca="false">COUNTIF(E13:X13,"A")</f>
        <v>2</v>
      </c>
      <c r="AB13" s="2" t="n">
        <f aca="false">SUM(Y13:AA13)</f>
        <v>17</v>
      </c>
      <c r="AC13" s="4" t="n">
        <f aca="false">ROUND((Y13+Z13/2)*10/AB13,0)</f>
        <v>9</v>
      </c>
      <c r="AD13" s="1" t="s">
        <v>13</v>
      </c>
      <c r="AE13" s="1" t="s">
        <v>13</v>
      </c>
      <c r="AF13" s="1" t="s">
        <v>13</v>
      </c>
      <c r="AG13" s="1" t="s">
        <v>13</v>
      </c>
      <c r="AH13" s="1" t="s">
        <v>13</v>
      </c>
      <c r="AI13" s="1" t="s">
        <v>13</v>
      </c>
      <c r="AJ13" s="1" t="s">
        <v>13</v>
      </c>
      <c r="AK13" s="1" t="s">
        <v>13</v>
      </c>
      <c r="AL13" s="1" t="s">
        <v>13</v>
      </c>
      <c r="AN13" s="1" t="s">
        <v>13</v>
      </c>
      <c r="AO13" s="1" t="s">
        <v>13</v>
      </c>
    </row>
    <row r="14" s="1" customFormat="true" ht="15" hidden="false" customHeight="false" outlineLevel="0" collapsed="false">
      <c r="A14" s="1" t="n">
        <v>12</v>
      </c>
      <c r="B14" s="2" t="s">
        <v>49</v>
      </c>
      <c r="C14" s="2" t="s">
        <v>50</v>
      </c>
      <c r="D14" s="2" t="s">
        <v>51</v>
      </c>
      <c r="E14" s="1" t="s">
        <v>13</v>
      </c>
      <c r="F14" s="1" t="s">
        <v>13</v>
      </c>
      <c r="G14" s="1" t="s">
        <v>13</v>
      </c>
      <c r="H14" s="1" t="s">
        <v>13</v>
      </c>
      <c r="J14" s="1" t="s">
        <v>13</v>
      </c>
      <c r="K14" s="1" t="s">
        <v>13</v>
      </c>
      <c r="L14" s="1" t="s">
        <v>13</v>
      </c>
      <c r="M14" s="1" t="s">
        <v>13</v>
      </c>
      <c r="N14" s="1" t="s">
        <v>13</v>
      </c>
      <c r="O14" s="1" t="s">
        <v>13</v>
      </c>
      <c r="P14" s="1" t="s">
        <v>13</v>
      </c>
      <c r="Q14" s="1" t="s">
        <v>13</v>
      </c>
      <c r="R14" s="1" t="s">
        <v>13</v>
      </c>
      <c r="S14" s="1" t="s">
        <v>13</v>
      </c>
      <c r="U14" s="1" t="s">
        <v>13</v>
      </c>
      <c r="W14" s="1" t="s">
        <v>13</v>
      </c>
      <c r="X14" s="1" t="s">
        <v>13</v>
      </c>
      <c r="Y14" s="2" t="n">
        <f aca="false">COUNTIF(E14:X14,"P")</f>
        <v>17</v>
      </c>
      <c r="Z14" s="2" t="n">
        <f aca="false">COUNTIF(E14:X14,"M")</f>
        <v>0</v>
      </c>
      <c r="AA14" s="2" t="n">
        <f aca="false">COUNTIF(E14:X14,"A")</f>
        <v>0</v>
      </c>
      <c r="AB14" s="2" t="n">
        <f aca="false">SUM(Y14:AA14)</f>
        <v>17</v>
      </c>
      <c r="AC14" s="4" t="n">
        <f aca="false">ROUND((Y14+Z14/2)*10/AB14,0)</f>
        <v>10</v>
      </c>
      <c r="AD14" s="1" t="s">
        <v>13</v>
      </c>
      <c r="AE14" s="1" t="s">
        <v>13</v>
      </c>
      <c r="AF14" s="1" t="s">
        <v>14</v>
      </c>
      <c r="AG14" s="1" t="s">
        <v>13</v>
      </c>
      <c r="AH14" s="1" t="s">
        <v>13</v>
      </c>
      <c r="AI14" s="1" t="s">
        <v>13</v>
      </c>
      <c r="AJ14" s="1" t="s">
        <v>13</v>
      </c>
      <c r="AK14" s="1" t="s">
        <v>13</v>
      </c>
      <c r="AL14" s="1" t="s">
        <v>13</v>
      </c>
      <c r="AN14" s="1" t="s">
        <v>13</v>
      </c>
      <c r="AO14" s="1" t="s">
        <v>13</v>
      </c>
    </row>
    <row r="15" s="2" customFormat="true" ht="15" hidden="false" customHeight="false" outlineLevel="0" collapsed="false">
      <c r="A15" s="1" t="n">
        <v>13</v>
      </c>
      <c r="B15" s="2" t="s">
        <v>52</v>
      </c>
      <c r="C15" s="2" t="s">
        <v>53</v>
      </c>
      <c r="D15" s="2" t="s">
        <v>54</v>
      </c>
      <c r="E15" s="1" t="s">
        <v>13</v>
      </c>
      <c r="F15" s="1" t="s">
        <v>13</v>
      </c>
      <c r="G15" s="1" t="s">
        <v>13</v>
      </c>
      <c r="H15" s="1" t="s">
        <v>13</v>
      </c>
      <c r="I15" s="1"/>
      <c r="J15" s="1" t="s">
        <v>13</v>
      </c>
      <c r="K15" s="1" t="s">
        <v>13</v>
      </c>
      <c r="L15" s="1" t="s">
        <v>13</v>
      </c>
      <c r="M15" s="1" t="s">
        <v>13</v>
      </c>
      <c r="N15" s="1" t="s">
        <v>13</v>
      </c>
      <c r="O15" s="1" t="s">
        <v>13</v>
      </c>
      <c r="P15" s="1" t="s">
        <v>13</v>
      </c>
      <c r="Q15" s="1" t="s">
        <v>13</v>
      </c>
      <c r="R15" s="1" t="s">
        <v>13</v>
      </c>
      <c r="S15" s="1" t="s">
        <v>13</v>
      </c>
      <c r="T15" s="1"/>
      <c r="U15" s="1" t="s">
        <v>13</v>
      </c>
      <c r="V15" s="1"/>
      <c r="W15" s="1" t="s">
        <v>13</v>
      </c>
      <c r="X15" s="1" t="s">
        <v>13</v>
      </c>
      <c r="Y15" s="2" t="n">
        <f aca="false">COUNTIF(E15:X15,"P")</f>
        <v>17</v>
      </c>
      <c r="Z15" s="2" t="n">
        <f aca="false">COUNTIF(E15:X15,"M")</f>
        <v>0</v>
      </c>
      <c r="AA15" s="2" t="n">
        <f aca="false">COUNTIF(E15:X15,"A")</f>
        <v>0</v>
      </c>
      <c r="AB15" s="2" t="n">
        <f aca="false">SUM(Y15:AA15)</f>
        <v>17</v>
      </c>
      <c r="AC15" s="4" t="n">
        <f aca="false">ROUND((Y15+Z15/2)*10/AB15,0)</f>
        <v>10</v>
      </c>
      <c r="AD15" s="1" t="s">
        <v>13</v>
      </c>
      <c r="AE15" s="1" t="s">
        <v>13</v>
      </c>
      <c r="AF15" s="1" t="s">
        <v>14</v>
      </c>
      <c r="AG15" s="1" t="s">
        <v>13</v>
      </c>
      <c r="AH15" s="1" t="s">
        <v>13</v>
      </c>
      <c r="AI15" s="1" t="s">
        <v>14</v>
      </c>
      <c r="AJ15" s="1" t="s">
        <v>13</v>
      </c>
      <c r="AK15" s="1" t="s">
        <v>13</v>
      </c>
      <c r="AL15" s="1" t="s">
        <v>14</v>
      </c>
      <c r="AM15" s="1"/>
      <c r="AN15" s="1" t="s">
        <v>13</v>
      </c>
      <c r="AO15" s="1" t="s">
        <v>13</v>
      </c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1" customFormat="true" ht="15" hidden="false" customHeight="false" outlineLevel="0" collapsed="false">
      <c r="A16" s="1" t="n">
        <v>14</v>
      </c>
      <c r="B16" s="2" t="s">
        <v>55</v>
      </c>
      <c r="C16" s="2" t="s">
        <v>56</v>
      </c>
      <c r="D16" s="2" t="s">
        <v>57</v>
      </c>
      <c r="E16" s="1" t="s">
        <v>13</v>
      </c>
      <c r="F16" s="1" t="s">
        <v>13</v>
      </c>
      <c r="G16" s="1" t="s">
        <v>13</v>
      </c>
      <c r="H16" s="1" t="s">
        <v>13</v>
      </c>
      <c r="J16" s="1" t="s">
        <v>13</v>
      </c>
      <c r="K16" s="1" t="s">
        <v>13</v>
      </c>
      <c r="L16" s="1" t="s">
        <v>13</v>
      </c>
      <c r="M16" s="1" t="s">
        <v>13</v>
      </c>
      <c r="N16" s="1" t="s">
        <v>13</v>
      </c>
      <c r="O16" s="1" t="s">
        <v>13</v>
      </c>
      <c r="P16" s="1" t="s">
        <v>13</v>
      </c>
      <c r="Q16" s="1" t="s">
        <v>13</v>
      </c>
      <c r="R16" s="1" t="s">
        <v>13</v>
      </c>
      <c r="S16" s="1" t="s">
        <v>13</v>
      </c>
      <c r="U16" s="1" t="s">
        <v>13</v>
      </c>
      <c r="V16" s="1" t="s">
        <v>58</v>
      </c>
      <c r="W16" s="1" t="s">
        <v>13</v>
      </c>
      <c r="X16" s="1" t="s">
        <v>13</v>
      </c>
      <c r="Y16" s="2" t="n">
        <f aca="false">COUNTIF(E16:X16,"P")</f>
        <v>17</v>
      </c>
      <c r="Z16" s="2" t="n">
        <f aca="false">COUNTIF(E16:X16,"M")</f>
        <v>0</v>
      </c>
      <c r="AA16" s="2" t="n">
        <f aca="false">COUNTIF(E16:X16,"A")</f>
        <v>0</v>
      </c>
      <c r="AB16" s="2" t="n">
        <f aca="false">SUM(Y16:AA16)</f>
        <v>17</v>
      </c>
      <c r="AC16" s="4" t="n">
        <f aca="false">ROUND((Y16+Z16/2)*10/AB16,0)</f>
        <v>10</v>
      </c>
      <c r="AD16" s="1" t="s">
        <v>13</v>
      </c>
      <c r="AE16" s="1" t="s">
        <v>13</v>
      </c>
      <c r="AF16" s="1" t="s">
        <v>13</v>
      </c>
      <c r="AG16" s="1" t="s">
        <v>13</v>
      </c>
      <c r="AH16" s="1" t="s">
        <v>13</v>
      </c>
      <c r="AI16" s="1" t="s">
        <v>13</v>
      </c>
      <c r="AJ16" s="1" t="s">
        <v>13</v>
      </c>
      <c r="AK16" s="1" t="s">
        <v>14</v>
      </c>
      <c r="AL16" s="1" t="s">
        <v>13</v>
      </c>
      <c r="AN16" s="1" t="s">
        <v>13</v>
      </c>
      <c r="AO16" s="1" t="s">
        <v>13</v>
      </c>
      <c r="WYB16" s="2"/>
      <c r="WYC16" s="2"/>
      <c r="WYD16" s="2"/>
      <c r="WYE16" s="2"/>
      <c r="WYF16" s="2"/>
      <c r="WYG16" s="2"/>
      <c r="WYH16" s="2"/>
      <c r="WYI16" s="2"/>
      <c r="WYJ16" s="2"/>
      <c r="WYK16" s="2"/>
      <c r="WYL16" s="2"/>
      <c r="WYM16" s="2"/>
      <c r="WYN16" s="2"/>
      <c r="WYO16" s="2"/>
      <c r="WYP16" s="2"/>
      <c r="WYQ16" s="2"/>
      <c r="WYR16" s="2"/>
      <c r="WYS16" s="2"/>
      <c r="WYT16" s="2"/>
      <c r="WYU16" s="2"/>
      <c r="WYV16" s="2"/>
      <c r="WYW16" s="2"/>
      <c r="WYX16" s="2"/>
      <c r="WYY16" s="2"/>
      <c r="WYZ16" s="2"/>
      <c r="WZA16" s="2"/>
      <c r="WZB16" s="2"/>
      <c r="WZC16" s="2"/>
      <c r="WZD16" s="2"/>
      <c r="WZE16" s="2"/>
      <c r="WZF16" s="2"/>
      <c r="WZG16" s="2"/>
      <c r="WZH16" s="2"/>
      <c r="WZI16" s="2"/>
      <c r="WZJ16" s="2"/>
      <c r="WZK16" s="2"/>
      <c r="WZL16" s="2"/>
      <c r="WZM16" s="2"/>
      <c r="WZN16" s="2"/>
      <c r="WZO16" s="2"/>
      <c r="WZP16" s="2"/>
      <c r="WZQ16" s="2"/>
      <c r="WZR16" s="2"/>
      <c r="WZS16" s="2"/>
      <c r="WZT16" s="2"/>
      <c r="WZU16" s="2"/>
      <c r="WZV16" s="2"/>
      <c r="WZW16" s="2"/>
      <c r="WZX16" s="2"/>
      <c r="WZY16" s="2"/>
      <c r="WZZ16" s="2"/>
      <c r="XAA16" s="2"/>
      <c r="XAB16" s="2"/>
      <c r="XAC16" s="2"/>
      <c r="XAD16" s="2"/>
      <c r="XAE16" s="2"/>
      <c r="XAF16" s="2"/>
      <c r="XAG16" s="2"/>
      <c r="XAH16" s="2"/>
      <c r="XAI16" s="2"/>
      <c r="XAJ16" s="2"/>
      <c r="XAK16" s="2"/>
      <c r="XAL16" s="2"/>
      <c r="XAM16" s="2"/>
      <c r="XAN16" s="2"/>
      <c r="XAO16" s="2"/>
      <c r="XAP16" s="2"/>
      <c r="XAQ16" s="2"/>
      <c r="XAR16" s="2"/>
      <c r="XAS16" s="2"/>
      <c r="XAT16" s="2"/>
      <c r="XAU16" s="2"/>
      <c r="XAV16" s="2"/>
      <c r="XAW16" s="2"/>
      <c r="XAX16" s="2"/>
      <c r="XAY16" s="2"/>
      <c r="XAZ16" s="2"/>
      <c r="XBA16" s="2"/>
      <c r="XBB16" s="2"/>
      <c r="XBC16" s="2"/>
      <c r="XBD16" s="2"/>
      <c r="XBE16" s="2"/>
      <c r="XBF16" s="2"/>
      <c r="XBG16" s="2"/>
      <c r="XBH16" s="2"/>
      <c r="XBI16" s="2"/>
      <c r="XBJ16" s="2"/>
      <c r="XBK16" s="2"/>
      <c r="XBL16" s="2"/>
      <c r="XBM16" s="2"/>
      <c r="XBN16" s="2"/>
      <c r="XBO16" s="2"/>
      <c r="XBP16" s="2"/>
      <c r="XBQ16" s="2"/>
      <c r="XBR16" s="2"/>
      <c r="XBS16" s="2"/>
      <c r="XBT16" s="2"/>
      <c r="XBU16" s="2"/>
      <c r="XBV16" s="2"/>
      <c r="XBW16" s="2"/>
      <c r="XBX16" s="2"/>
      <c r="XBY16" s="2"/>
      <c r="XBZ16" s="2"/>
      <c r="XCA16" s="2"/>
      <c r="XCB16" s="2"/>
      <c r="XCC16" s="2"/>
      <c r="XCD16" s="2"/>
      <c r="XCE16" s="2"/>
      <c r="XCF16" s="2"/>
      <c r="XCG16" s="2"/>
      <c r="XCH16" s="2"/>
      <c r="XCI16" s="2"/>
      <c r="XCJ16" s="2"/>
      <c r="XCK16" s="2"/>
      <c r="XCL16" s="2"/>
      <c r="XCM16" s="2"/>
      <c r="XCN16" s="2"/>
      <c r="XCO16" s="2"/>
      <c r="XCP16" s="2"/>
      <c r="XCQ16" s="2"/>
      <c r="XCR16" s="2"/>
      <c r="XCS16" s="2"/>
      <c r="XCT16" s="2"/>
      <c r="XCU16" s="2"/>
      <c r="XCV16" s="2"/>
      <c r="XCW16" s="2"/>
      <c r="XCX16" s="2"/>
      <c r="XCY16" s="2"/>
      <c r="XCZ16" s="2"/>
      <c r="XDA16" s="2"/>
      <c r="XDB16" s="2"/>
      <c r="XDC16" s="2"/>
      <c r="XDD16" s="2"/>
      <c r="XDE16" s="2"/>
      <c r="XDF16" s="2"/>
      <c r="XDG16" s="2"/>
      <c r="XDH16" s="2"/>
      <c r="XDI16" s="2"/>
      <c r="XDJ16" s="2"/>
      <c r="XDK16" s="2"/>
      <c r="XDL16" s="2"/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  <c r="XFD16" s="2"/>
    </row>
    <row r="17" s="1" customFormat="true" ht="15" hidden="false" customHeight="false" outlineLevel="0" collapsed="false">
      <c r="A17" s="1" t="n">
        <v>15</v>
      </c>
      <c r="B17" s="2" t="s">
        <v>59</v>
      </c>
      <c r="C17" s="2" t="s">
        <v>60</v>
      </c>
      <c r="D17" s="2" t="s">
        <v>61</v>
      </c>
      <c r="E17" s="1" t="s">
        <v>13</v>
      </c>
      <c r="F17" s="1" t="s">
        <v>13</v>
      </c>
      <c r="G17" s="1" t="s">
        <v>13</v>
      </c>
      <c r="H17" s="1" t="s">
        <v>13</v>
      </c>
      <c r="J17" s="1" t="s">
        <v>13</v>
      </c>
      <c r="K17" s="1" t="s">
        <v>13</v>
      </c>
      <c r="L17" s="1" t="s">
        <v>13</v>
      </c>
      <c r="M17" s="1" t="s">
        <v>13</v>
      </c>
      <c r="N17" s="1" t="s">
        <v>13</v>
      </c>
      <c r="O17" s="1" t="s">
        <v>13</v>
      </c>
      <c r="P17" s="1" t="s">
        <v>13</v>
      </c>
      <c r="Q17" s="1" t="s">
        <v>13</v>
      </c>
      <c r="R17" s="1" t="s">
        <v>13</v>
      </c>
      <c r="S17" s="1" t="s">
        <v>13</v>
      </c>
      <c r="U17" s="1" t="s">
        <v>13</v>
      </c>
      <c r="W17" s="1" t="s">
        <v>14</v>
      </c>
      <c r="X17" s="1" t="s">
        <v>13</v>
      </c>
      <c r="Y17" s="2" t="n">
        <f aca="false">COUNTIF(E17:X17,"P")</f>
        <v>16</v>
      </c>
      <c r="Z17" s="2" t="n">
        <f aca="false">COUNTIF(E17:X17,"M")</f>
        <v>0</v>
      </c>
      <c r="AA17" s="2" t="n">
        <f aca="false">COUNTIF(E17:X17,"A")</f>
        <v>1</v>
      </c>
      <c r="AB17" s="2" t="n">
        <f aca="false">SUM(Y17:AA17)</f>
        <v>17</v>
      </c>
      <c r="AC17" s="4" t="n">
        <f aca="false">ROUND((Y17+Z17/2)*10/AB17,0)</f>
        <v>9</v>
      </c>
      <c r="AD17" s="1" t="s">
        <v>13</v>
      </c>
      <c r="AE17" s="1" t="s">
        <v>13</v>
      </c>
      <c r="AF17" s="1" t="s">
        <v>13</v>
      </c>
      <c r="AG17" s="1" t="s">
        <v>13</v>
      </c>
      <c r="AH17" s="1" t="s">
        <v>13</v>
      </c>
      <c r="AI17" s="1" t="s">
        <v>13</v>
      </c>
      <c r="AJ17" s="1" t="s">
        <v>13</v>
      </c>
      <c r="AK17" s="1" t="s">
        <v>13</v>
      </c>
      <c r="AL17" s="1" t="s">
        <v>13</v>
      </c>
      <c r="AN17" s="1" t="s">
        <v>13</v>
      </c>
      <c r="AO17" s="1" t="s">
        <v>13</v>
      </c>
      <c r="WYB17" s="2"/>
      <c r="WYC17" s="2"/>
      <c r="WYD17" s="2"/>
      <c r="WYE17" s="2"/>
      <c r="WYF17" s="2"/>
      <c r="WYG17" s="2"/>
      <c r="WYH17" s="2"/>
      <c r="WYI17" s="2"/>
      <c r="WYJ17" s="2"/>
      <c r="WYK17" s="2"/>
      <c r="WYL17" s="2"/>
      <c r="WYM17" s="2"/>
      <c r="WYN17" s="2"/>
      <c r="WYO17" s="2"/>
      <c r="WYP17" s="2"/>
      <c r="WYQ17" s="2"/>
      <c r="WYR17" s="2"/>
      <c r="WYS17" s="2"/>
      <c r="WYT17" s="2"/>
      <c r="WYU17" s="2"/>
      <c r="WYV17" s="2"/>
      <c r="WYW17" s="2"/>
      <c r="WYX17" s="2"/>
      <c r="WYY17" s="2"/>
      <c r="WYZ17" s="2"/>
      <c r="WZA17" s="2"/>
      <c r="WZB17" s="2"/>
      <c r="WZC17" s="2"/>
      <c r="WZD17" s="2"/>
      <c r="WZE17" s="2"/>
      <c r="WZF17" s="2"/>
      <c r="WZG17" s="2"/>
      <c r="WZH17" s="2"/>
      <c r="WZI17" s="2"/>
      <c r="WZJ17" s="2"/>
      <c r="WZK17" s="2"/>
      <c r="WZL17" s="2"/>
      <c r="WZM17" s="2"/>
      <c r="WZN17" s="2"/>
      <c r="WZO17" s="2"/>
      <c r="WZP17" s="2"/>
      <c r="WZQ17" s="2"/>
      <c r="WZR17" s="2"/>
      <c r="WZS17" s="2"/>
      <c r="WZT17" s="2"/>
      <c r="WZU17" s="2"/>
      <c r="WZV17" s="2"/>
      <c r="WZW17" s="2"/>
      <c r="WZX17" s="2"/>
      <c r="WZY17" s="2"/>
      <c r="WZZ17" s="2"/>
      <c r="XAA17" s="2"/>
      <c r="XAB17" s="2"/>
      <c r="XAC17" s="2"/>
      <c r="XAD17" s="2"/>
      <c r="XAE17" s="2"/>
      <c r="XAF17" s="2"/>
      <c r="XAG17" s="2"/>
      <c r="XAH17" s="2"/>
      <c r="XAI17" s="2"/>
      <c r="XAJ17" s="2"/>
      <c r="XAK17" s="2"/>
      <c r="XAL17" s="2"/>
      <c r="XAM17" s="2"/>
      <c r="XAN17" s="2"/>
      <c r="XAO17" s="2"/>
      <c r="XAP17" s="2"/>
      <c r="XAQ17" s="2"/>
      <c r="XAR17" s="2"/>
      <c r="XAS17" s="2"/>
      <c r="XAT17" s="2"/>
      <c r="XAU17" s="2"/>
      <c r="XAV17" s="2"/>
      <c r="XAW17" s="2"/>
      <c r="XAX17" s="2"/>
      <c r="XAY17" s="2"/>
      <c r="XAZ17" s="2"/>
      <c r="XBA17" s="2"/>
      <c r="XBB17" s="2"/>
      <c r="XBC17" s="2"/>
      <c r="XBD17" s="2"/>
      <c r="XBE17" s="2"/>
      <c r="XBF17" s="2"/>
      <c r="XBG17" s="2"/>
      <c r="XBH17" s="2"/>
      <c r="XBI17" s="2"/>
      <c r="XBJ17" s="2"/>
      <c r="XBK17" s="2"/>
      <c r="XBL17" s="2"/>
      <c r="XBM17" s="2"/>
      <c r="XBN17" s="2"/>
      <c r="XBO17" s="2"/>
      <c r="XBP17" s="2"/>
      <c r="XBQ17" s="2"/>
      <c r="XBR17" s="2"/>
      <c r="XBS17" s="2"/>
      <c r="XBT17" s="2"/>
      <c r="XBU17" s="2"/>
      <c r="XBV17" s="2"/>
      <c r="XBW17" s="2"/>
      <c r="XBX17" s="2"/>
      <c r="XBY17" s="2"/>
      <c r="XBZ17" s="2"/>
      <c r="XCA17" s="2"/>
      <c r="XCB17" s="2"/>
      <c r="XCC17" s="2"/>
      <c r="XCD17" s="2"/>
      <c r="XCE17" s="2"/>
      <c r="XCF17" s="2"/>
      <c r="XCG17" s="2"/>
      <c r="XCH17" s="2"/>
      <c r="XCI17" s="2"/>
      <c r="XCJ17" s="2"/>
      <c r="XCK17" s="2"/>
      <c r="XCL17" s="2"/>
      <c r="XCM17" s="2"/>
      <c r="XCN17" s="2"/>
      <c r="XCO17" s="2"/>
      <c r="XCP17" s="2"/>
      <c r="XCQ17" s="2"/>
      <c r="XCR17" s="2"/>
      <c r="XCS17" s="2"/>
      <c r="XCT17" s="2"/>
      <c r="XCU17" s="2"/>
      <c r="XCV17" s="2"/>
      <c r="XCW17" s="2"/>
      <c r="XCX17" s="2"/>
      <c r="XCY17" s="2"/>
      <c r="XCZ17" s="2"/>
      <c r="XDA17" s="2"/>
      <c r="XDB17" s="2"/>
      <c r="XDC17" s="2"/>
      <c r="XDD17" s="2"/>
      <c r="XDE17" s="2"/>
      <c r="XDF17" s="2"/>
      <c r="XDG17" s="2"/>
      <c r="XDH17" s="2"/>
      <c r="XDI17" s="2"/>
      <c r="XDJ17" s="2"/>
      <c r="XDK17" s="2"/>
      <c r="XDL17" s="2"/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  <c r="XFD17" s="2"/>
    </row>
    <row r="18" s="2" customFormat="true" ht="15" hidden="false" customHeight="false" outlineLevel="0" collapsed="false">
      <c r="A18" s="1" t="n">
        <v>16</v>
      </c>
      <c r="B18" s="2" t="s">
        <v>62</v>
      </c>
      <c r="C18" s="2" t="s">
        <v>63</v>
      </c>
      <c r="D18" s="2" t="s">
        <v>64</v>
      </c>
      <c r="E18" s="1" t="s">
        <v>13</v>
      </c>
      <c r="F18" s="1" t="s">
        <v>14</v>
      </c>
      <c r="G18" s="1" t="s">
        <v>13</v>
      </c>
      <c r="H18" s="1" t="s">
        <v>14</v>
      </c>
      <c r="I18" s="1"/>
      <c r="J18" s="1" t="s">
        <v>14</v>
      </c>
      <c r="K18" s="1" t="s">
        <v>14</v>
      </c>
      <c r="L18" s="1" t="s">
        <v>14</v>
      </c>
      <c r="M18" s="1" t="s">
        <v>13</v>
      </c>
      <c r="N18" s="1" t="s">
        <v>14</v>
      </c>
      <c r="O18" s="1" t="s">
        <v>13</v>
      </c>
      <c r="P18" s="1" t="s">
        <v>14</v>
      </c>
      <c r="Q18" s="1" t="s">
        <v>14</v>
      </c>
      <c r="R18" s="1" t="s">
        <v>14</v>
      </c>
      <c r="S18" s="1" t="s">
        <v>14</v>
      </c>
      <c r="T18" s="1"/>
      <c r="U18" s="1" t="s">
        <v>14</v>
      </c>
      <c r="V18" s="1"/>
      <c r="W18" s="1" t="s">
        <v>13</v>
      </c>
      <c r="X18" s="1" t="s">
        <v>14</v>
      </c>
      <c r="Y18" s="2" t="n">
        <f aca="false">COUNTIF(E18:X18,"P")</f>
        <v>5</v>
      </c>
      <c r="Z18" s="2" t="n">
        <f aca="false">COUNTIF(E18:X18,"M")</f>
        <v>0</v>
      </c>
      <c r="AA18" s="2" t="n">
        <f aca="false">COUNTIF(E18:X18,"A")</f>
        <v>12</v>
      </c>
      <c r="AB18" s="2" t="n">
        <f aca="false">SUM(Y18:AA18)</f>
        <v>17</v>
      </c>
      <c r="AC18" s="4" t="n">
        <f aca="false">ROUND((Y18+Z18/2)*10/AB18,0)</f>
        <v>3</v>
      </c>
      <c r="AD18" s="1" t="s">
        <v>14</v>
      </c>
      <c r="AE18" s="1" t="s">
        <v>13</v>
      </c>
      <c r="AF18" s="1" t="s">
        <v>14</v>
      </c>
      <c r="AG18" s="1" t="s">
        <v>13</v>
      </c>
      <c r="AH18" s="1" t="s">
        <v>13</v>
      </c>
      <c r="AI18" s="1" t="s">
        <v>13</v>
      </c>
      <c r="AJ18" s="1" t="s">
        <v>14</v>
      </c>
      <c r="AK18" s="1" t="s">
        <v>14</v>
      </c>
      <c r="AL18" s="1" t="s">
        <v>29</v>
      </c>
      <c r="AM18" s="6" t="n">
        <v>0.847222222222222</v>
      </c>
      <c r="AN18" s="1" t="s">
        <v>14</v>
      </c>
      <c r="AO18" s="1" t="s">
        <v>14</v>
      </c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WYB18" s="1"/>
      <c r="WYC18" s="1"/>
      <c r="WYD18" s="1"/>
      <c r="WYE18" s="1"/>
      <c r="WYF18" s="1"/>
      <c r="WYG18" s="1"/>
      <c r="WYH18" s="1"/>
      <c r="WYI18" s="1"/>
      <c r="WYJ18" s="1"/>
      <c r="WYK18" s="1"/>
      <c r="WYL18" s="1"/>
      <c r="WYM18" s="1"/>
      <c r="WYN18" s="1"/>
      <c r="WYO18" s="1"/>
      <c r="WYP18" s="1"/>
      <c r="WYQ18" s="1"/>
      <c r="WYR18" s="1"/>
      <c r="WYS18" s="1"/>
      <c r="WYT18" s="1"/>
      <c r="WYU18" s="1"/>
      <c r="WYV18" s="1"/>
      <c r="WYW18" s="1"/>
      <c r="WYX18" s="1"/>
      <c r="WYY18" s="1"/>
      <c r="WYZ18" s="1"/>
      <c r="WZA18" s="1"/>
      <c r="WZB18" s="1"/>
      <c r="WZC18" s="1"/>
      <c r="WZD18" s="1"/>
      <c r="WZE18" s="1"/>
      <c r="WZF18" s="1"/>
      <c r="WZG18" s="1"/>
      <c r="WZH18" s="1"/>
      <c r="WZI18" s="1"/>
      <c r="WZJ18" s="1"/>
      <c r="WZK18" s="1"/>
      <c r="WZL18" s="1"/>
      <c r="WZM18" s="1"/>
      <c r="WZN18" s="1"/>
      <c r="WZO18" s="1"/>
      <c r="WZP18" s="1"/>
      <c r="WZQ18" s="1"/>
      <c r="WZR18" s="1"/>
      <c r="WZS18" s="1"/>
      <c r="WZT18" s="1"/>
      <c r="WZU18" s="1"/>
      <c r="WZV18" s="1"/>
      <c r="WZW18" s="1"/>
      <c r="WZX18" s="1"/>
      <c r="WZY18" s="1"/>
      <c r="WZZ18" s="1"/>
      <c r="XAA18" s="1"/>
      <c r="XAB18" s="1"/>
      <c r="XAC18" s="1"/>
      <c r="XAD18" s="1"/>
      <c r="XAE18" s="1"/>
      <c r="XAF18" s="1"/>
      <c r="XAG18" s="1"/>
      <c r="XAH18" s="1"/>
      <c r="XAI18" s="1"/>
      <c r="XAJ18" s="1"/>
      <c r="XAK18" s="1"/>
      <c r="XAL18" s="1"/>
      <c r="XAM18" s="1"/>
      <c r="XAN18" s="1"/>
      <c r="XAO18" s="1"/>
      <c r="XAP18" s="1"/>
      <c r="XAQ18" s="1"/>
      <c r="XAR18" s="1"/>
      <c r="XAS18" s="1"/>
      <c r="XAT18" s="1"/>
      <c r="XAU18" s="1"/>
      <c r="XAV18" s="1"/>
      <c r="XAW18" s="1"/>
      <c r="XAX18" s="1"/>
      <c r="XAY18" s="1"/>
      <c r="XAZ18" s="1"/>
      <c r="XBA18" s="1"/>
      <c r="XBB18" s="1"/>
      <c r="XBC18" s="1"/>
      <c r="XBD18" s="1"/>
      <c r="XBE18" s="1"/>
      <c r="XBF18" s="1"/>
      <c r="XBG18" s="1"/>
      <c r="XBH18" s="1"/>
      <c r="XBI18" s="1"/>
      <c r="XBJ18" s="1"/>
      <c r="XBK18" s="1"/>
      <c r="XBL18" s="1"/>
      <c r="XBM18" s="1"/>
      <c r="XBN18" s="1"/>
      <c r="XBO18" s="1"/>
      <c r="XBP18" s="1"/>
      <c r="XBQ18" s="1"/>
      <c r="XBR18" s="1"/>
      <c r="XBS18" s="1"/>
      <c r="XBT18" s="1"/>
      <c r="XBU18" s="1"/>
      <c r="XBV18" s="1"/>
      <c r="XBW18" s="1"/>
      <c r="XBX18" s="1"/>
      <c r="XBY18" s="1"/>
      <c r="XBZ18" s="1"/>
      <c r="XCA18" s="1"/>
      <c r="XCB18" s="1"/>
      <c r="XCC18" s="1"/>
      <c r="XCD18" s="1"/>
      <c r="XCE18" s="1"/>
      <c r="XCF18" s="1"/>
      <c r="XCG18" s="1"/>
      <c r="XCH18" s="1"/>
      <c r="XCI18" s="1"/>
      <c r="XCJ18" s="1"/>
      <c r="XCK18" s="1"/>
      <c r="XCL18" s="1"/>
      <c r="XCM18" s="1"/>
      <c r="XCN18" s="1"/>
      <c r="XCO18" s="1"/>
      <c r="XCP18" s="1"/>
      <c r="XCQ18" s="1"/>
      <c r="XCR18" s="1"/>
      <c r="XCS18" s="1"/>
      <c r="XCT18" s="1"/>
      <c r="XCU18" s="1"/>
      <c r="XCV18" s="1"/>
      <c r="XCW18" s="1"/>
      <c r="XCX18" s="1"/>
      <c r="XCY18" s="1"/>
      <c r="XCZ18" s="1"/>
      <c r="XDA18" s="1"/>
      <c r="XDB18" s="1"/>
      <c r="XDC18" s="1"/>
      <c r="XDD18" s="1"/>
      <c r="XDE18" s="1"/>
      <c r="XDF18" s="1"/>
      <c r="XDG18" s="1"/>
      <c r="XDH18" s="1"/>
      <c r="XDI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s="2" customFormat="true" ht="15" hidden="false" customHeight="false" outlineLevel="0" collapsed="false">
      <c r="A19" s="1" t="n">
        <v>17</v>
      </c>
      <c r="B19" s="2" t="s">
        <v>65</v>
      </c>
      <c r="C19" s="2" t="s">
        <v>66</v>
      </c>
      <c r="D19" s="2" t="s">
        <v>67</v>
      </c>
      <c r="E19" s="1" t="s">
        <v>13</v>
      </c>
      <c r="F19" s="1" t="s">
        <v>13</v>
      </c>
      <c r="G19" s="1" t="s">
        <v>13</v>
      </c>
      <c r="H19" s="1" t="s">
        <v>13</v>
      </c>
      <c r="I19" s="1"/>
      <c r="J19" s="1" t="s">
        <v>13</v>
      </c>
      <c r="K19" s="1" t="s">
        <v>14</v>
      </c>
      <c r="L19" s="1" t="s">
        <v>13</v>
      </c>
      <c r="M19" s="1" t="s">
        <v>13</v>
      </c>
      <c r="N19" s="1" t="s">
        <v>13</v>
      </c>
      <c r="O19" s="1" t="s">
        <v>14</v>
      </c>
      <c r="P19" s="1" t="s">
        <v>14</v>
      </c>
      <c r="Q19" s="1" t="s">
        <v>14</v>
      </c>
      <c r="R19" s="1" t="s">
        <v>13</v>
      </c>
      <c r="S19" s="1" t="s">
        <v>14</v>
      </c>
      <c r="T19" s="1" t="s">
        <v>68</v>
      </c>
      <c r="U19" s="1" t="s">
        <v>13</v>
      </c>
      <c r="V19" s="1"/>
      <c r="W19" s="1" t="s">
        <v>14</v>
      </c>
      <c r="X19" s="1" t="s">
        <v>14</v>
      </c>
      <c r="Y19" s="2" t="n">
        <f aca="false">COUNTIF(E19:X19,"P")</f>
        <v>10</v>
      </c>
      <c r="Z19" s="2" t="n">
        <f aca="false">COUNTIF(E19:X19,"M")</f>
        <v>0</v>
      </c>
      <c r="AA19" s="2" t="n">
        <f aca="false">COUNTIF(E19:X19,"A")</f>
        <v>7</v>
      </c>
      <c r="AB19" s="2" t="n">
        <f aca="false">SUM(Y19:AA19)</f>
        <v>17</v>
      </c>
      <c r="AC19" s="4" t="n">
        <f aca="false">ROUND((Y19+Z19/2)*10/AB19,0)</f>
        <v>6</v>
      </c>
      <c r="AD19" s="1" t="s">
        <v>14</v>
      </c>
      <c r="AE19" s="1" t="s">
        <v>14</v>
      </c>
      <c r="AF19" s="1" t="s">
        <v>14</v>
      </c>
      <c r="AG19" s="1" t="s">
        <v>13</v>
      </c>
      <c r="AH19" s="1" t="s">
        <v>13</v>
      </c>
      <c r="AI19" s="1" t="s">
        <v>13</v>
      </c>
      <c r="AJ19" s="1" t="s">
        <v>13</v>
      </c>
      <c r="AK19" s="1" t="s">
        <v>13</v>
      </c>
      <c r="AL19" s="1" t="s">
        <v>29</v>
      </c>
      <c r="AM19" s="6" t="n">
        <v>0.847222222222222</v>
      </c>
      <c r="AN19" s="1" t="s">
        <v>14</v>
      </c>
      <c r="AO19" s="1" t="s">
        <v>13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WYB19" s="1"/>
      <c r="WYC19" s="1"/>
      <c r="WYD19" s="1"/>
      <c r="WYE19" s="1"/>
      <c r="WYF19" s="1"/>
      <c r="WYG19" s="1"/>
      <c r="WYH19" s="1"/>
      <c r="WYI19" s="1"/>
      <c r="WYJ19" s="1"/>
      <c r="WYK19" s="1"/>
      <c r="WYL19" s="1"/>
      <c r="WYM19" s="1"/>
      <c r="WYN19" s="1"/>
      <c r="WYO19" s="1"/>
      <c r="WYP19" s="1"/>
      <c r="WYQ19" s="1"/>
      <c r="WYR19" s="1"/>
      <c r="WYS19" s="1"/>
      <c r="WYT19" s="1"/>
      <c r="WYU19" s="1"/>
      <c r="WYV19" s="1"/>
      <c r="WYW19" s="1"/>
      <c r="WYX19" s="1"/>
      <c r="WYY19" s="1"/>
      <c r="WYZ19" s="1"/>
      <c r="WZA19" s="1"/>
      <c r="WZB19" s="1"/>
      <c r="WZC19" s="1"/>
      <c r="WZD19" s="1"/>
      <c r="WZE19" s="1"/>
      <c r="WZF19" s="1"/>
      <c r="WZG19" s="1"/>
      <c r="WZH19" s="1"/>
      <c r="WZI19" s="1"/>
      <c r="WZJ19" s="1"/>
      <c r="WZK19" s="1"/>
      <c r="WZL19" s="1"/>
      <c r="WZM19" s="1"/>
      <c r="WZN19" s="1"/>
      <c r="WZO19" s="1"/>
      <c r="WZP19" s="1"/>
      <c r="WZQ19" s="1"/>
      <c r="WZR19" s="1"/>
      <c r="WZS19" s="1"/>
      <c r="WZT19" s="1"/>
      <c r="WZU19" s="1"/>
      <c r="WZV19" s="1"/>
      <c r="WZW19" s="1"/>
      <c r="WZX19" s="1"/>
      <c r="WZY19" s="1"/>
      <c r="WZZ19" s="1"/>
      <c r="XAA19" s="1"/>
      <c r="XAB19" s="1"/>
      <c r="XAC19" s="1"/>
      <c r="XAD19" s="1"/>
      <c r="XAE19" s="1"/>
      <c r="XAF19" s="1"/>
      <c r="XAG19" s="1"/>
      <c r="XAH19" s="1"/>
      <c r="XAI19" s="1"/>
      <c r="XAJ19" s="1"/>
      <c r="XAK19" s="1"/>
      <c r="XAL19" s="1"/>
      <c r="XAM19" s="1"/>
      <c r="XAN19" s="1"/>
      <c r="XAO19" s="1"/>
      <c r="XAP19" s="1"/>
      <c r="XAQ19" s="1"/>
      <c r="XAR19" s="1"/>
      <c r="XAS19" s="1"/>
      <c r="XAT19" s="1"/>
      <c r="XAU19" s="1"/>
      <c r="XAV19" s="1"/>
      <c r="XAW19" s="1"/>
      <c r="XAX19" s="1"/>
      <c r="XAY19" s="1"/>
      <c r="XAZ19" s="1"/>
      <c r="XBA19" s="1"/>
      <c r="XBB19" s="1"/>
      <c r="XBC19" s="1"/>
      <c r="XBD19" s="1"/>
      <c r="XBE19" s="1"/>
      <c r="XBF19" s="1"/>
      <c r="XBG19" s="1"/>
      <c r="XBH19" s="1"/>
      <c r="XBI19" s="1"/>
      <c r="XBJ19" s="1"/>
      <c r="XBK19" s="1"/>
      <c r="XBL19" s="1"/>
      <c r="XBM19" s="1"/>
      <c r="XBN19" s="1"/>
      <c r="XBO19" s="1"/>
      <c r="XBP19" s="1"/>
      <c r="XBQ19" s="1"/>
      <c r="XBR19" s="1"/>
      <c r="XBS19" s="1"/>
      <c r="XBT19" s="1"/>
      <c r="XBU19" s="1"/>
      <c r="XBV19" s="1"/>
      <c r="XBW19" s="1"/>
      <c r="XBX19" s="1"/>
      <c r="XBY19" s="1"/>
      <c r="XBZ19" s="1"/>
      <c r="XCA19" s="1"/>
      <c r="XCB19" s="1"/>
      <c r="XCC19" s="1"/>
      <c r="XCD19" s="1"/>
      <c r="XCE19" s="1"/>
      <c r="XCF19" s="1"/>
      <c r="XCG19" s="1"/>
      <c r="XCH19" s="1"/>
      <c r="XCI19" s="1"/>
      <c r="XCJ19" s="1"/>
      <c r="XCK19" s="1"/>
      <c r="XCL19" s="1"/>
      <c r="XCM19" s="1"/>
      <c r="XCN19" s="1"/>
      <c r="XCO19" s="1"/>
      <c r="XCP19" s="1"/>
      <c r="XCQ19" s="1"/>
      <c r="XCR19" s="1"/>
      <c r="XCS19" s="1"/>
      <c r="XCT19" s="1"/>
      <c r="XCU19" s="1"/>
      <c r="XCV19" s="1"/>
      <c r="XCW19" s="1"/>
      <c r="XCX19" s="1"/>
      <c r="XCY19" s="1"/>
      <c r="XCZ19" s="1"/>
      <c r="XDA19" s="1"/>
      <c r="XDB19" s="1"/>
      <c r="XDC19" s="1"/>
      <c r="XDD19" s="1"/>
      <c r="XDE19" s="1"/>
      <c r="XDF19" s="1"/>
      <c r="XDG19" s="1"/>
      <c r="XDH19" s="1"/>
      <c r="XDI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s="1" customFormat="true" ht="15" hidden="false" customHeight="false" outlineLevel="0" collapsed="false">
      <c r="A20" s="1" t="n">
        <v>18</v>
      </c>
      <c r="B20" s="2" t="s">
        <v>69</v>
      </c>
      <c r="C20" s="2" t="s">
        <v>70</v>
      </c>
      <c r="D20" s="2" t="s">
        <v>71</v>
      </c>
      <c r="E20" s="1" t="s">
        <v>13</v>
      </c>
      <c r="F20" s="1" t="s">
        <v>13</v>
      </c>
      <c r="G20" s="1" t="s">
        <v>14</v>
      </c>
      <c r="H20" s="1" t="s">
        <v>13</v>
      </c>
      <c r="J20" s="1" t="s">
        <v>13</v>
      </c>
      <c r="K20" s="1" t="s">
        <v>13</v>
      </c>
      <c r="L20" s="1" t="s">
        <v>13</v>
      </c>
      <c r="M20" s="1" t="s">
        <v>13</v>
      </c>
      <c r="N20" s="1" t="s">
        <v>13</v>
      </c>
      <c r="O20" s="1" t="s">
        <v>14</v>
      </c>
      <c r="P20" s="1" t="s">
        <v>13</v>
      </c>
      <c r="Q20" s="1" t="s">
        <v>13</v>
      </c>
      <c r="R20" s="1" t="s">
        <v>13</v>
      </c>
      <c r="S20" s="1" t="s">
        <v>13</v>
      </c>
      <c r="U20" s="1" t="s">
        <v>13</v>
      </c>
      <c r="W20" s="1" t="s">
        <v>13</v>
      </c>
      <c r="X20" s="1" t="s">
        <v>14</v>
      </c>
      <c r="Y20" s="2" t="n">
        <f aca="false">COUNTIF(E20:X20,"P")</f>
        <v>14</v>
      </c>
      <c r="Z20" s="2" t="n">
        <f aca="false">COUNTIF(E20:X20,"M")</f>
        <v>0</v>
      </c>
      <c r="AA20" s="2" t="n">
        <f aca="false">COUNTIF(E20:X20,"A")</f>
        <v>3</v>
      </c>
      <c r="AB20" s="2" t="n">
        <f aca="false">SUM(Y20:AA20)</f>
        <v>17</v>
      </c>
      <c r="AC20" s="4" t="n">
        <f aca="false">ROUND((Y20+Z20/2)*10/AB20,0)</f>
        <v>8</v>
      </c>
      <c r="AD20" s="1" t="s">
        <v>13</v>
      </c>
      <c r="AE20" s="1" t="s">
        <v>13</v>
      </c>
      <c r="AF20" s="1" t="s">
        <v>14</v>
      </c>
      <c r="AG20" s="1" t="s">
        <v>13</v>
      </c>
      <c r="AH20" s="1" t="s">
        <v>13</v>
      </c>
      <c r="AI20" s="1" t="s">
        <v>13</v>
      </c>
      <c r="AJ20" s="1" t="s">
        <v>13</v>
      </c>
      <c r="AK20" s="1" t="s">
        <v>13</v>
      </c>
      <c r="AL20" s="1" t="s">
        <v>13</v>
      </c>
      <c r="AN20" s="1" t="s">
        <v>13</v>
      </c>
      <c r="AO20" s="1" t="s">
        <v>13</v>
      </c>
      <c r="WYB20" s="2"/>
      <c r="WYC20" s="2"/>
      <c r="WYD20" s="2"/>
      <c r="WYE20" s="2"/>
      <c r="WYF20" s="2"/>
      <c r="WYG20" s="2"/>
      <c r="WYH20" s="2"/>
      <c r="WYI20" s="2"/>
      <c r="WYJ20" s="2"/>
      <c r="WYK20" s="2"/>
      <c r="WYL20" s="2"/>
      <c r="WYM20" s="2"/>
      <c r="WYN20" s="2"/>
      <c r="WYO20" s="2"/>
      <c r="WYP20" s="2"/>
      <c r="WYQ20" s="2"/>
      <c r="WYR20" s="2"/>
      <c r="WYS20" s="2"/>
      <c r="WYT20" s="2"/>
      <c r="WYU20" s="2"/>
      <c r="WYV20" s="2"/>
      <c r="WYW20" s="2"/>
      <c r="WYX20" s="2"/>
      <c r="WYY20" s="2"/>
      <c r="WYZ20" s="2"/>
      <c r="WZA20" s="2"/>
      <c r="WZB20" s="2"/>
      <c r="WZC20" s="2"/>
      <c r="WZD20" s="2"/>
      <c r="WZE20" s="2"/>
      <c r="WZF20" s="2"/>
      <c r="WZG20" s="2"/>
      <c r="WZH20" s="2"/>
      <c r="WZI20" s="2"/>
      <c r="WZJ20" s="2"/>
      <c r="WZK20" s="2"/>
      <c r="WZL20" s="2"/>
      <c r="WZM20" s="2"/>
      <c r="WZN20" s="2"/>
      <c r="WZO20" s="2"/>
      <c r="WZP20" s="2"/>
      <c r="WZQ20" s="2"/>
      <c r="WZR20" s="2"/>
      <c r="WZS20" s="2"/>
      <c r="WZT20" s="2"/>
      <c r="WZU20" s="2"/>
      <c r="WZV20" s="2"/>
      <c r="WZW20" s="2"/>
      <c r="WZX20" s="2"/>
      <c r="WZY20" s="2"/>
      <c r="WZZ20" s="2"/>
      <c r="XAA20" s="2"/>
      <c r="XAB20" s="2"/>
      <c r="XAC20" s="2"/>
      <c r="XAD20" s="2"/>
      <c r="XAE20" s="2"/>
      <c r="XAF20" s="2"/>
      <c r="XAG20" s="2"/>
      <c r="XAH20" s="2"/>
      <c r="XAI20" s="2"/>
      <c r="XAJ20" s="2"/>
      <c r="XAK20" s="2"/>
      <c r="XAL20" s="2"/>
      <c r="XAM20" s="2"/>
      <c r="XAN20" s="2"/>
      <c r="XAO20" s="2"/>
      <c r="XAP20" s="2"/>
      <c r="XAQ20" s="2"/>
      <c r="XAR20" s="2"/>
      <c r="XAS20" s="2"/>
      <c r="XAT20" s="2"/>
      <c r="XAU20" s="2"/>
      <c r="XAV20" s="2"/>
      <c r="XAW20" s="2"/>
      <c r="XAX20" s="2"/>
      <c r="XAY20" s="2"/>
      <c r="XAZ20" s="2"/>
      <c r="XBA20" s="2"/>
      <c r="XBB20" s="2"/>
      <c r="XBC20" s="2"/>
      <c r="XBD20" s="2"/>
      <c r="XBE20" s="2"/>
      <c r="XBF20" s="2"/>
      <c r="XBG20" s="2"/>
      <c r="XBH20" s="2"/>
      <c r="XBI20" s="2"/>
      <c r="XBJ20" s="2"/>
      <c r="XBK20" s="2"/>
      <c r="XBL20" s="2"/>
      <c r="XBM20" s="2"/>
      <c r="XBN20" s="2"/>
      <c r="XBO20" s="2"/>
      <c r="XBP20" s="2"/>
      <c r="XBQ20" s="2"/>
      <c r="XBR20" s="2"/>
      <c r="XBS20" s="2"/>
      <c r="XBT20" s="2"/>
      <c r="XBU20" s="2"/>
      <c r="XBV20" s="2"/>
      <c r="XBW20" s="2"/>
      <c r="XBX20" s="2"/>
      <c r="XBY20" s="2"/>
      <c r="XBZ20" s="2"/>
      <c r="XCA20" s="2"/>
      <c r="XCB20" s="2"/>
      <c r="XCC20" s="2"/>
      <c r="XCD20" s="2"/>
      <c r="XCE20" s="2"/>
      <c r="XCF20" s="2"/>
      <c r="XCG20" s="2"/>
      <c r="XCH20" s="2"/>
      <c r="XCI20" s="2"/>
      <c r="XCJ20" s="2"/>
      <c r="XCK20" s="2"/>
      <c r="XCL20" s="2"/>
      <c r="XCM20" s="2"/>
      <c r="XCN20" s="2"/>
      <c r="XCO20" s="2"/>
      <c r="XCP20" s="2"/>
      <c r="XCQ20" s="2"/>
      <c r="XCR20" s="2"/>
      <c r="XCS20" s="2"/>
      <c r="XCT20" s="2"/>
      <c r="XCU20" s="2"/>
      <c r="XCV20" s="2"/>
      <c r="XCW20" s="2"/>
      <c r="XCX20" s="2"/>
      <c r="XCY20" s="2"/>
      <c r="XCZ20" s="2"/>
      <c r="XDA20" s="2"/>
      <c r="XDB20" s="2"/>
      <c r="XDC20" s="2"/>
      <c r="XDD20" s="2"/>
      <c r="XDE20" s="2"/>
      <c r="XDF20" s="2"/>
      <c r="XDG20" s="2"/>
      <c r="XDH20" s="2"/>
      <c r="XDI20" s="2"/>
      <c r="XDJ20" s="2"/>
      <c r="XDK20" s="2"/>
      <c r="XDL20" s="2"/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  <c r="XFD20" s="2"/>
    </row>
    <row r="21" s="1" customFormat="true" ht="15" hidden="false" customHeight="false" outlineLevel="0" collapsed="false">
      <c r="A21" s="1" t="n">
        <v>19</v>
      </c>
      <c r="B21" s="2" t="s">
        <v>72</v>
      </c>
      <c r="C21" s="2" t="s">
        <v>73</v>
      </c>
      <c r="D21" s="2" t="s">
        <v>74</v>
      </c>
      <c r="E21" s="1" t="s">
        <v>13</v>
      </c>
      <c r="F21" s="1" t="s">
        <v>13</v>
      </c>
      <c r="G21" s="1" t="s">
        <v>13</v>
      </c>
      <c r="H21" s="1" t="s">
        <v>13</v>
      </c>
      <c r="J21" s="1" t="s">
        <v>13</v>
      </c>
      <c r="K21" s="1" t="s">
        <v>13</v>
      </c>
      <c r="L21" s="1" t="s">
        <v>14</v>
      </c>
      <c r="M21" s="1" t="s">
        <v>13</v>
      </c>
      <c r="N21" s="1" t="s">
        <v>13</v>
      </c>
      <c r="O21" s="1" t="s">
        <v>13</v>
      </c>
      <c r="P21" s="1" t="s">
        <v>13</v>
      </c>
      <c r="Q21" s="1" t="s">
        <v>13</v>
      </c>
      <c r="R21" s="1" t="s">
        <v>13</v>
      </c>
      <c r="S21" s="1" t="s">
        <v>13</v>
      </c>
      <c r="U21" s="1" t="s">
        <v>13</v>
      </c>
      <c r="W21" s="1" t="s">
        <v>13</v>
      </c>
      <c r="X21" s="1" t="s">
        <v>13</v>
      </c>
      <c r="Y21" s="2" t="n">
        <f aca="false">COUNTIF(E21:X21,"P")</f>
        <v>16</v>
      </c>
      <c r="Z21" s="2" t="n">
        <f aca="false">COUNTIF(E21:X21,"M")</f>
        <v>0</v>
      </c>
      <c r="AA21" s="2" t="n">
        <f aca="false">COUNTIF(E21:X21,"A")</f>
        <v>1</v>
      </c>
      <c r="AB21" s="2" t="n">
        <f aca="false">SUM(Y21:AA21)</f>
        <v>17</v>
      </c>
      <c r="AC21" s="4" t="n">
        <f aca="false">ROUND((Y21+Z21/2)*10/AB21,0)</f>
        <v>9</v>
      </c>
      <c r="AD21" s="1" t="s">
        <v>13</v>
      </c>
      <c r="AE21" s="1" t="s">
        <v>13</v>
      </c>
      <c r="AF21" s="1" t="s">
        <v>13</v>
      </c>
      <c r="AG21" s="1" t="s">
        <v>13</v>
      </c>
      <c r="AH21" s="1" t="s">
        <v>13</v>
      </c>
      <c r="AI21" s="1" t="s">
        <v>13</v>
      </c>
      <c r="AJ21" s="1" t="s">
        <v>13</v>
      </c>
      <c r="AK21" s="1" t="s">
        <v>13</v>
      </c>
      <c r="AL21" s="1" t="s">
        <v>13</v>
      </c>
      <c r="AN21" s="1" t="s">
        <v>13</v>
      </c>
      <c r="AO21" s="1" t="s">
        <v>13</v>
      </c>
    </row>
    <row r="22" s="1" customFormat="true" ht="15" hidden="false" customHeight="false" outlineLevel="0" collapsed="false">
      <c r="A22" s="1" t="n">
        <v>20</v>
      </c>
      <c r="B22" s="2" t="s">
        <v>75</v>
      </c>
      <c r="C22" s="2" t="s">
        <v>76</v>
      </c>
      <c r="D22" s="2" t="s">
        <v>77</v>
      </c>
      <c r="E22" s="1" t="s">
        <v>14</v>
      </c>
      <c r="F22" s="1" t="s">
        <v>13</v>
      </c>
      <c r="G22" s="1" t="s">
        <v>13</v>
      </c>
      <c r="H22" s="1" t="s">
        <v>13</v>
      </c>
      <c r="J22" s="1" t="s">
        <v>13</v>
      </c>
      <c r="K22" s="1" t="s">
        <v>13</v>
      </c>
      <c r="L22" s="1" t="s">
        <v>13</v>
      </c>
      <c r="M22" s="1" t="s">
        <v>13</v>
      </c>
      <c r="N22" s="1" t="s">
        <v>13</v>
      </c>
      <c r="O22" s="1" t="s">
        <v>13</v>
      </c>
      <c r="P22" s="1" t="s">
        <v>13</v>
      </c>
      <c r="Q22" s="1" t="s">
        <v>13</v>
      </c>
      <c r="R22" s="1" t="s">
        <v>13</v>
      </c>
      <c r="S22" s="1" t="s">
        <v>13</v>
      </c>
      <c r="U22" s="1" t="s">
        <v>13</v>
      </c>
      <c r="W22" s="1" t="s">
        <v>13</v>
      </c>
      <c r="X22" s="1" t="s">
        <v>13</v>
      </c>
      <c r="Y22" s="2" t="n">
        <f aca="false">COUNTIF(E22:X22,"P")</f>
        <v>16</v>
      </c>
      <c r="Z22" s="2" t="n">
        <f aca="false">COUNTIF(E22:X22,"M")</f>
        <v>0</v>
      </c>
      <c r="AA22" s="2" t="n">
        <f aca="false">COUNTIF(E22:X22,"A")</f>
        <v>1</v>
      </c>
      <c r="AB22" s="2" t="n">
        <f aca="false">SUM(Y22:AA22)</f>
        <v>17</v>
      </c>
      <c r="AC22" s="4" t="n">
        <f aca="false">ROUND((Y22+Z22/2)*10/AB22,0)</f>
        <v>9</v>
      </c>
      <c r="AD22" s="1" t="s">
        <v>13</v>
      </c>
      <c r="AE22" s="1" t="s">
        <v>39</v>
      </c>
      <c r="AF22" s="1" t="s">
        <v>13</v>
      </c>
      <c r="AG22" s="1" t="s">
        <v>13</v>
      </c>
      <c r="AH22" s="1" t="s">
        <v>13</v>
      </c>
      <c r="AI22" s="1" t="s">
        <v>13</v>
      </c>
      <c r="AJ22" s="1" t="s">
        <v>13</v>
      </c>
      <c r="AK22" s="1" t="s">
        <v>13</v>
      </c>
      <c r="AL22" s="1" t="s">
        <v>13</v>
      </c>
      <c r="AN22" s="1" t="s">
        <v>13</v>
      </c>
      <c r="AO22" s="1" t="s">
        <v>13</v>
      </c>
    </row>
    <row r="23" s="2" customFormat="true" ht="15" hidden="false" customHeight="false" outlineLevel="0" collapsed="false">
      <c r="A23" s="1" t="n">
        <v>21</v>
      </c>
      <c r="B23" s="2" t="s">
        <v>78</v>
      </c>
      <c r="C23" s="2" t="s">
        <v>79</v>
      </c>
      <c r="D23" s="2" t="s">
        <v>80</v>
      </c>
      <c r="E23" s="1" t="s">
        <v>13</v>
      </c>
      <c r="F23" s="1" t="s">
        <v>13</v>
      </c>
      <c r="G23" s="1" t="s">
        <v>13</v>
      </c>
      <c r="H23" s="1" t="s">
        <v>13</v>
      </c>
      <c r="I23" s="1"/>
      <c r="J23" s="1" t="s">
        <v>13</v>
      </c>
      <c r="K23" s="1" t="s">
        <v>13</v>
      </c>
      <c r="L23" s="1" t="s">
        <v>13</v>
      </c>
      <c r="M23" s="1" t="s">
        <v>13</v>
      </c>
      <c r="N23" s="1" t="s">
        <v>13</v>
      </c>
      <c r="O23" s="1" t="s">
        <v>13</v>
      </c>
      <c r="P23" s="1" t="s">
        <v>13</v>
      </c>
      <c r="Q23" s="1" t="s">
        <v>13</v>
      </c>
      <c r="R23" s="1" t="s">
        <v>13</v>
      </c>
      <c r="S23" s="1" t="s">
        <v>13</v>
      </c>
      <c r="T23" s="1"/>
      <c r="U23" s="1" t="s">
        <v>13</v>
      </c>
      <c r="V23" s="1"/>
      <c r="W23" s="1" t="s">
        <v>13</v>
      </c>
      <c r="X23" s="1" t="s">
        <v>13</v>
      </c>
      <c r="Y23" s="2" t="n">
        <f aca="false">COUNTIF(E23:X23,"P")</f>
        <v>17</v>
      </c>
      <c r="Z23" s="2" t="n">
        <f aca="false">COUNTIF(E23:X23,"M")</f>
        <v>0</v>
      </c>
      <c r="AA23" s="2" t="n">
        <f aca="false">COUNTIF(E23:X23,"A")</f>
        <v>0</v>
      </c>
      <c r="AB23" s="2" t="n">
        <f aca="false">SUM(Y23:AA23)</f>
        <v>17</v>
      </c>
      <c r="AC23" s="4" t="n">
        <f aca="false">ROUND((Y23+Z23/2)*10/AB23,0)</f>
        <v>10</v>
      </c>
      <c r="AD23" s="1" t="s">
        <v>13</v>
      </c>
      <c r="AE23" s="1" t="s">
        <v>13</v>
      </c>
      <c r="AF23" s="1" t="s">
        <v>14</v>
      </c>
      <c r="AG23" s="1" t="s">
        <v>13</v>
      </c>
      <c r="AH23" s="1" t="s">
        <v>13</v>
      </c>
      <c r="AI23" s="1" t="s">
        <v>13</v>
      </c>
      <c r="AJ23" s="1" t="s">
        <v>14</v>
      </c>
      <c r="AK23" s="1" t="s">
        <v>13</v>
      </c>
      <c r="AL23" s="1" t="s">
        <v>29</v>
      </c>
      <c r="AM23" s="6" t="n">
        <v>0.847222222222222</v>
      </c>
      <c r="AN23" s="1" t="s">
        <v>13</v>
      </c>
      <c r="AO23" s="1" t="s">
        <v>13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WYB23" s="1"/>
      <c r="WYC23" s="1"/>
      <c r="WYD23" s="1"/>
      <c r="WYE23" s="1"/>
      <c r="WYF23" s="1"/>
      <c r="WYG23" s="1"/>
      <c r="WYH23" s="1"/>
      <c r="WYI23" s="1"/>
      <c r="WYJ23" s="1"/>
      <c r="WYK23" s="1"/>
      <c r="WYL23" s="1"/>
      <c r="WYM23" s="1"/>
      <c r="WYN23" s="1"/>
      <c r="WYO23" s="1"/>
      <c r="WYP23" s="1"/>
      <c r="WYQ23" s="1"/>
      <c r="WYR23" s="1"/>
      <c r="WYS23" s="1"/>
      <c r="WYT23" s="1"/>
      <c r="WYU23" s="1"/>
      <c r="WYV23" s="1"/>
      <c r="WYW23" s="1"/>
      <c r="WYX23" s="1"/>
      <c r="WYY23" s="1"/>
      <c r="WYZ23" s="1"/>
      <c r="WZA23" s="1"/>
      <c r="WZB23" s="1"/>
      <c r="WZC23" s="1"/>
      <c r="WZD23" s="1"/>
      <c r="WZE23" s="1"/>
      <c r="WZF23" s="1"/>
      <c r="WZG23" s="1"/>
      <c r="WZH23" s="1"/>
      <c r="WZI23" s="1"/>
      <c r="WZJ23" s="1"/>
      <c r="WZK23" s="1"/>
      <c r="WZL23" s="1"/>
      <c r="WZM23" s="1"/>
      <c r="WZN23" s="1"/>
      <c r="WZO23" s="1"/>
      <c r="WZP23" s="1"/>
      <c r="WZQ23" s="1"/>
      <c r="WZR23" s="1"/>
      <c r="WZS23" s="1"/>
      <c r="WZT23" s="1"/>
      <c r="WZU23" s="1"/>
      <c r="WZV23" s="1"/>
      <c r="WZW23" s="1"/>
      <c r="WZX23" s="1"/>
      <c r="WZY23" s="1"/>
      <c r="WZZ23" s="1"/>
      <c r="XAA23" s="1"/>
      <c r="XAB23" s="1"/>
      <c r="XAC23" s="1"/>
      <c r="XAD23" s="1"/>
      <c r="XAE23" s="1"/>
      <c r="XAF23" s="1"/>
      <c r="XAG23" s="1"/>
      <c r="XAH23" s="1"/>
      <c r="XAI23" s="1"/>
      <c r="XAJ23" s="1"/>
      <c r="XAK23" s="1"/>
      <c r="XAL23" s="1"/>
      <c r="XAM23" s="1"/>
      <c r="XAN23" s="1"/>
      <c r="XAO23" s="1"/>
      <c r="XAP23" s="1"/>
      <c r="XAQ23" s="1"/>
      <c r="XAR23" s="1"/>
      <c r="XAS23" s="1"/>
      <c r="XAT23" s="1"/>
      <c r="XAU23" s="1"/>
      <c r="XAV23" s="1"/>
      <c r="XAW23" s="1"/>
      <c r="XAX23" s="1"/>
      <c r="XAY23" s="1"/>
      <c r="XAZ23" s="1"/>
      <c r="XBA23" s="1"/>
      <c r="XBB23" s="1"/>
      <c r="XBC23" s="1"/>
      <c r="XBD23" s="1"/>
      <c r="XBE23" s="1"/>
      <c r="XBF23" s="1"/>
      <c r="XBG23" s="1"/>
      <c r="XBH23" s="1"/>
      <c r="XBI23" s="1"/>
      <c r="XBJ23" s="1"/>
      <c r="XBK23" s="1"/>
      <c r="XBL23" s="1"/>
      <c r="XBM23" s="1"/>
      <c r="XBN23" s="1"/>
      <c r="XBO23" s="1"/>
      <c r="XBP23" s="1"/>
      <c r="XBQ23" s="1"/>
      <c r="XBR23" s="1"/>
      <c r="XBS23" s="1"/>
      <c r="XBT23" s="1"/>
      <c r="XBU23" s="1"/>
      <c r="XBV23" s="1"/>
      <c r="XBW23" s="1"/>
      <c r="XBX23" s="1"/>
      <c r="XBY23" s="1"/>
      <c r="XBZ23" s="1"/>
      <c r="XCA23" s="1"/>
      <c r="XCB23" s="1"/>
      <c r="XCC23" s="1"/>
      <c r="XCD23" s="1"/>
      <c r="XCE23" s="1"/>
      <c r="XCF23" s="1"/>
      <c r="XCG23" s="1"/>
      <c r="XCH23" s="1"/>
      <c r="XCI23" s="1"/>
      <c r="XCJ23" s="1"/>
      <c r="XCK23" s="1"/>
      <c r="XCL23" s="1"/>
      <c r="XCM23" s="1"/>
      <c r="XCN23" s="1"/>
      <c r="XCO23" s="1"/>
      <c r="XCP23" s="1"/>
      <c r="XCQ23" s="1"/>
      <c r="XCR23" s="1"/>
      <c r="XCS23" s="1"/>
      <c r="XCT23" s="1"/>
      <c r="XCU23" s="1"/>
      <c r="XCV23" s="1"/>
      <c r="XCW23" s="1"/>
      <c r="XCX23" s="1"/>
      <c r="XCY23" s="1"/>
      <c r="XCZ23" s="1"/>
      <c r="XDA23" s="1"/>
      <c r="XDB23" s="1"/>
      <c r="XDC23" s="1"/>
      <c r="XDD23" s="1"/>
      <c r="XDE23" s="1"/>
      <c r="XDF23" s="1"/>
      <c r="XDG23" s="1"/>
      <c r="XDH23" s="1"/>
      <c r="XDI23" s="1"/>
      <c r="XDJ23" s="1"/>
      <c r="XDK23" s="1"/>
      <c r="XDL23" s="1"/>
      <c r="XDM23" s="1"/>
      <c r="XDN23" s="1"/>
      <c r="XDO23" s="1"/>
      <c r="XDP23" s="1"/>
      <c r="XDQ23" s="1"/>
      <c r="XDR23" s="1"/>
      <c r="XDS23" s="1"/>
      <c r="XDT23" s="1"/>
      <c r="XDU23" s="1"/>
      <c r="XDV23" s="1"/>
      <c r="XDW23" s="1"/>
      <c r="XDX23" s="1"/>
      <c r="XDY23" s="1"/>
      <c r="XDZ23" s="1"/>
      <c r="XEA23" s="1"/>
      <c r="XEB23" s="1"/>
      <c r="XEC23" s="1"/>
      <c r="XED23" s="1"/>
      <c r="XEE23" s="1"/>
      <c r="XEF23" s="1"/>
      <c r="XEG23" s="1"/>
      <c r="XEH23" s="1"/>
      <c r="XEI23" s="1"/>
      <c r="XEJ23" s="1"/>
      <c r="XEK23" s="1"/>
      <c r="XEL23" s="1"/>
      <c r="XEM23" s="1"/>
      <c r="XEN23" s="1"/>
      <c r="XEO23" s="1"/>
      <c r="XEP23" s="1"/>
      <c r="XEQ23" s="1"/>
      <c r="XER23" s="1"/>
      <c r="XES23" s="1"/>
      <c r="XET23" s="1"/>
      <c r="XEU23" s="1"/>
      <c r="XEV23" s="1"/>
      <c r="XEW23" s="1"/>
      <c r="XEX23" s="1"/>
      <c r="XEY23" s="1"/>
      <c r="XEZ23" s="1"/>
      <c r="XFA23" s="1"/>
      <c r="XFB23" s="1"/>
      <c r="XFC23" s="1"/>
      <c r="XFD23" s="1"/>
    </row>
    <row r="24" customFormat="false" ht="15" hidden="false" customHeight="false" outlineLevel="0" collapsed="false">
      <c r="C24" s="1" t="s">
        <v>5</v>
      </c>
      <c r="D24" s="1" t="s">
        <v>5</v>
      </c>
      <c r="E24" s="1" t="n">
        <f aca="false">COUNTIF(E3:E23,"P")</f>
        <v>19</v>
      </c>
      <c r="F24" s="1" t="n">
        <f aca="false">COUNTIF(F3:F23,"P")</f>
        <v>20</v>
      </c>
      <c r="G24" s="1" t="n">
        <f aca="false">COUNTIF(G3:G23,"P")</f>
        <v>19</v>
      </c>
      <c r="H24" s="1" t="n">
        <f aca="false">COUNTIF(H3:H23,"P")</f>
        <v>19</v>
      </c>
      <c r="J24" s="1" t="n">
        <f aca="false">COUNTIF(J3:J23,"P")</f>
        <v>18</v>
      </c>
      <c r="K24" s="1" t="n">
        <f aca="false">COUNTIF(K3:K23,"P")</f>
        <v>18</v>
      </c>
      <c r="L24" s="1" t="n">
        <f aca="false">COUNTIF(L3:L23,"P")</f>
        <v>19</v>
      </c>
      <c r="M24" s="1" t="n">
        <f aca="false">COUNTIF(M3:M23,"P")</f>
        <v>20</v>
      </c>
      <c r="N24" s="1" t="n">
        <f aca="false">COUNTIF(N3:N23,"P")</f>
        <v>19</v>
      </c>
      <c r="O24" s="1" t="n">
        <f aca="false">COUNTIF(O3:O23,"P")</f>
        <v>19</v>
      </c>
      <c r="P24" s="1" t="n">
        <f aca="false">COUNTIF(P3:P23,"P")</f>
        <v>19</v>
      </c>
      <c r="Q24" s="1" t="n">
        <f aca="false">COUNTIF(Q3:Q23,"P")</f>
        <v>17</v>
      </c>
      <c r="R24" s="1" t="n">
        <f aca="false">COUNTIF(R3:R23,"P")</f>
        <v>20</v>
      </c>
      <c r="S24" s="1" t="n">
        <f aca="false">COUNTIF(S3:S23,"P")</f>
        <v>18</v>
      </c>
      <c r="U24" s="1" t="n">
        <f aca="false">COUNTIF(U3:U23,"P")</f>
        <v>20</v>
      </c>
      <c r="W24" s="1" t="n">
        <f aca="false">COUNTIF(W3:W23,"P")</f>
        <v>18</v>
      </c>
      <c r="X24" s="1" t="n">
        <f aca="false">COUNTIF(X3:X23,"P")</f>
        <v>16</v>
      </c>
      <c r="AD24" s="1" t="n">
        <f aca="false">COUNTIF(AD3:AD23,"P")</f>
        <v>19</v>
      </c>
      <c r="AE24" s="1" t="n">
        <f aca="false">COUNTIF(AE3:AE23,"P")</f>
        <v>18</v>
      </c>
      <c r="AF24" s="1" t="n">
        <f aca="false">COUNTIF(AF3:AF23,"P")</f>
        <v>12</v>
      </c>
      <c r="AG24" s="1" t="n">
        <f aca="false">COUNTIF(AG3:AG23,"P")</f>
        <v>21</v>
      </c>
      <c r="AH24" s="1" t="n">
        <f aca="false">COUNTIF(AH3:AH23,"P")</f>
        <v>21</v>
      </c>
      <c r="AI24" s="1" t="n">
        <f aca="false">COUNTIF(AI3:AI23,"P")</f>
        <v>18</v>
      </c>
      <c r="AJ24" s="1" t="n">
        <f aca="false">COUNTIF(AJ3:AJ23,"P")</f>
        <v>17</v>
      </c>
      <c r="AK24" s="1" t="n">
        <f aca="false">COUNTIF(AK3:AK23,"P")</f>
        <v>17</v>
      </c>
      <c r="AL24" s="1" t="n">
        <f aca="false">COUNTIF(AL3:AL23,"P")</f>
        <v>16</v>
      </c>
      <c r="AN24" s="1" t="n">
        <f aca="false">COUNTIF(AN3:AN23,"P")</f>
        <v>18</v>
      </c>
      <c r="AO24" s="1" t="n">
        <f aca="false">COUNTIF(AO3:AO23,"P")</f>
        <v>20</v>
      </c>
    </row>
    <row r="25" customFormat="false" ht="15" hidden="false" customHeight="false" outlineLevel="0" collapsed="false">
      <c r="C25" s="1" t="s">
        <v>81</v>
      </c>
      <c r="E25" s="1" t="n">
        <f aca="false">COUNTIF(E3:E23,"M")</f>
        <v>0</v>
      </c>
      <c r="F25" s="1" t="n">
        <f aca="false">COUNTIF(F3:F23,"M")</f>
        <v>0</v>
      </c>
      <c r="G25" s="1" t="n">
        <f aca="false">COUNTIF(G3:G23,"M")</f>
        <v>0</v>
      </c>
      <c r="H25" s="1" t="n">
        <f aca="false">COUNTIF(H3:H23,"M")</f>
        <v>1</v>
      </c>
      <c r="J25" s="1" t="n">
        <f aca="false">COUNTIF(J3:J23,"M")</f>
        <v>0</v>
      </c>
      <c r="K25" s="1" t="n">
        <f aca="false">COUNTIF(K3:K23,"M")</f>
        <v>0</v>
      </c>
      <c r="L25" s="1" t="n">
        <f aca="false">COUNTIF(L3:L23,"M")</f>
        <v>0</v>
      </c>
      <c r="M25" s="1" t="n">
        <f aca="false">COUNTIF(M3:M23,"M")</f>
        <v>0</v>
      </c>
      <c r="N25" s="1" t="n">
        <f aca="false">COUNTIF(N3:N23,"M")</f>
        <v>0</v>
      </c>
      <c r="O25" s="1" t="n">
        <f aca="false">COUNTIF(O3:O23,"M")</f>
        <v>0</v>
      </c>
      <c r="P25" s="1" t="n">
        <f aca="false">COUNTIF(P3:P23,"M")</f>
        <v>0</v>
      </c>
      <c r="Q25" s="1" t="n">
        <f aca="false">COUNTIF(Q3:Q23,"M")</f>
        <v>0</v>
      </c>
      <c r="R25" s="1" t="n">
        <f aca="false">COUNTIF(R3:R23,"M")</f>
        <v>0</v>
      </c>
      <c r="S25" s="1" t="n">
        <f aca="false">COUNTIF(S3:S23,"M")</f>
        <v>0</v>
      </c>
      <c r="U25" s="1" t="n">
        <f aca="false">COUNTIF(U3:U23,"M")</f>
        <v>0</v>
      </c>
      <c r="W25" s="1" t="n">
        <f aca="false">COUNTIF(W3:W23,"M")</f>
        <v>0</v>
      </c>
      <c r="X25" s="1" t="n">
        <f aca="false">COUNTIF(X3:X23,"M")</f>
        <v>0</v>
      </c>
      <c r="AD25" s="1" t="n">
        <f aca="false">COUNTIF(AD3:AD23,"M")</f>
        <v>0</v>
      </c>
      <c r="AE25" s="1" t="n">
        <f aca="false">COUNTIF(AE3:AE23,"M")</f>
        <v>0</v>
      </c>
      <c r="AF25" s="1" t="n">
        <f aca="false">COUNTIF(AF3:AF23,"M")</f>
        <v>0</v>
      </c>
      <c r="AG25" s="1" t="n">
        <f aca="false">COUNTIF(AG3:AG23,"M")</f>
        <v>0</v>
      </c>
      <c r="AH25" s="1" t="n">
        <f aca="false">COUNTIF(AH3:AH23,"M")</f>
        <v>0</v>
      </c>
      <c r="AI25" s="1" t="n">
        <f aca="false">COUNTIF(AI3:AI23,"M")</f>
        <v>0</v>
      </c>
      <c r="AJ25" s="1" t="n">
        <f aca="false">COUNTIF(AJ3:AJ23,"M")</f>
        <v>0</v>
      </c>
      <c r="AK25" s="1" t="n">
        <f aca="false">COUNTIF(AK3:AK23,"M")</f>
        <v>0</v>
      </c>
      <c r="AL25" s="1" t="n">
        <f aca="false">COUNTIF(AL3:AL23,"M")</f>
        <v>0</v>
      </c>
      <c r="AN25" s="1" t="n">
        <f aca="false">COUNTIF(AN3:AN23,"M")</f>
        <v>0</v>
      </c>
      <c r="AO25" s="1" t="n">
        <f aca="false">COUNTIF(AO3:AO23,"M")</f>
        <v>0</v>
      </c>
    </row>
    <row r="26" customFormat="false" ht="15" hidden="false" customHeight="false" outlineLevel="0" collapsed="false">
      <c r="C26" s="1" t="s">
        <v>82</v>
      </c>
      <c r="E26" s="1" t="n">
        <f aca="false">COUNTIF(E3:E23,"T")</f>
        <v>0</v>
      </c>
      <c r="F26" s="1" t="n">
        <f aca="false">COUNTIF(F3:F23,"T")</f>
        <v>0</v>
      </c>
      <c r="G26" s="1" t="n">
        <f aca="false">COUNTIF(G3:G23,"T")</f>
        <v>0</v>
      </c>
      <c r="H26" s="1" t="n">
        <f aca="false">COUNTIF(H3:H23,"T")</f>
        <v>0</v>
      </c>
      <c r="J26" s="1" t="n">
        <f aca="false">COUNTIF(J3:J23,"T")</f>
        <v>0</v>
      </c>
      <c r="K26" s="1" t="n">
        <f aca="false">COUNTIF(K3:K23,"T")</f>
        <v>0</v>
      </c>
      <c r="L26" s="1" t="n">
        <f aca="false">COUNTIF(L3:L23,"T")</f>
        <v>0</v>
      </c>
      <c r="M26" s="1" t="n">
        <f aca="false">COUNTIF(M3:M23,"T")</f>
        <v>0</v>
      </c>
      <c r="N26" s="1" t="n">
        <f aca="false">COUNTIF(N3:N23,"T")</f>
        <v>0</v>
      </c>
      <c r="O26" s="1" t="n">
        <f aca="false">COUNTIF(O3:O23,"T")</f>
        <v>0</v>
      </c>
      <c r="P26" s="1" t="n">
        <f aca="false">COUNTIF(P3:P23,"T")</f>
        <v>0</v>
      </c>
      <c r="Q26" s="1" t="n">
        <f aca="false">COUNTIF(Q3:Q23,"T")</f>
        <v>0</v>
      </c>
      <c r="R26" s="1" t="n">
        <f aca="false">COUNTIF(R3:R23,"T")</f>
        <v>0</v>
      </c>
      <c r="S26" s="1" t="n">
        <f aca="false">COUNTIF(S3:S23,"T")</f>
        <v>0</v>
      </c>
      <c r="U26" s="1" t="n">
        <f aca="false">COUNTIF(U3:U23,"T")</f>
        <v>0</v>
      </c>
      <c r="W26" s="1" t="n">
        <f aca="false">COUNTIF(W3:W23,"T")</f>
        <v>0</v>
      </c>
      <c r="X26" s="1" t="n">
        <f aca="false">COUNTIF(X3:X23,"T")</f>
        <v>0</v>
      </c>
      <c r="AD26" s="1" t="n">
        <f aca="false">COUNTIF(AD3:AD23,"T")</f>
        <v>0</v>
      </c>
      <c r="AE26" s="1" t="n">
        <f aca="false">COUNTIF(AE3:AE23,"T")</f>
        <v>0</v>
      </c>
      <c r="AF26" s="1" t="n">
        <f aca="false">COUNTIF(AF3:AF23,"T")</f>
        <v>0</v>
      </c>
      <c r="AG26" s="1" t="n">
        <f aca="false">COUNTIF(AG3:AG23,"T")</f>
        <v>0</v>
      </c>
      <c r="AH26" s="1" t="n">
        <f aca="false">COUNTIF(AH3:AH23,"T")</f>
        <v>0</v>
      </c>
      <c r="AI26" s="1" t="n">
        <f aca="false">COUNTIF(AI3:AI23,"T")</f>
        <v>0</v>
      </c>
      <c r="AJ26" s="1" t="n">
        <f aca="false">COUNTIF(AJ3:AJ23,"T")</f>
        <v>0</v>
      </c>
      <c r="AK26" s="1" t="n">
        <f aca="false">COUNTIF(AK3:AK23,"T")</f>
        <v>0</v>
      </c>
      <c r="AL26" s="1" t="n">
        <f aca="false">COUNTIF(AL3:AL23,"T")</f>
        <v>4</v>
      </c>
      <c r="AN26" s="1" t="n">
        <f aca="false">COUNTIF(AN3:AN23,"T")</f>
        <v>0</v>
      </c>
      <c r="AO26" s="1" t="n">
        <f aca="false">COUNTIF(AO3:AO23,"T")</f>
        <v>0</v>
      </c>
    </row>
    <row r="27" customFormat="false" ht="15" hidden="false" customHeight="false" outlineLevel="0" collapsed="false">
      <c r="C27" s="1" t="s">
        <v>83</v>
      </c>
      <c r="E27" s="1" t="n">
        <f aca="false">COUNTIF(E3:E23,"O")</f>
        <v>0</v>
      </c>
      <c r="F27" s="1" t="n">
        <f aca="false">COUNTIF(F3:F23,"O")</f>
        <v>0</v>
      </c>
      <c r="G27" s="1" t="n">
        <f aca="false">COUNTIF(G3:G23,"O")</f>
        <v>0</v>
      </c>
      <c r="H27" s="1" t="n">
        <f aca="false">COUNTIF(H3:H23,"O")</f>
        <v>0</v>
      </c>
      <c r="J27" s="1" t="n">
        <f aca="false">COUNTIF(J3:J23,"O")</f>
        <v>0</v>
      </c>
      <c r="K27" s="1" t="n">
        <f aca="false">COUNTIF(K3:K23,"O")</f>
        <v>0</v>
      </c>
      <c r="L27" s="1" t="n">
        <f aca="false">COUNTIF(L3:L23,"O")</f>
        <v>0</v>
      </c>
      <c r="M27" s="1" t="n">
        <f aca="false">COUNTIF(M3:M23,"O")</f>
        <v>0</v>
      </c>
      <c r="N27" s="1" t="n">
        <f aca="false">COUNTIF(N3:N23,"O")</f>
        <v>0</v>
      </c>
      <c r="O27" s="1" t="n">
        <f aca="false">COUNTIF(O3:O23,"O")</f>
        <v>0</v>
      </c>
      <c r="P27" s="1" t="n">
        <f aca="false">COUNTIF(P3:P23,"O")</f>
        <v>0</v>
      </c>
      <c r="Q27" s="1" t="n">
        <f aca="false">COUNTIF(Q3:Q23,"O")</f>
        <v>0</v>
      </c>
      <c r="R27" s="1" t="n">
        <f aca="false">COUNTIF(R3:R23,"O")</f>
        <v>0</v>
      </c>
      <c r="S27" s="1" t="n">
        <f aca="false">COUNTIF(S3:S23,"O")</f>
        <v>0</v>
      </c>
      <c r="U27" s="1" t="n">
        <f aca="false">COUNTIF(U3:U23,"O")</f>
        <v>0</v>
      </c>
      <c r="W27" s="1" t="n">
        <f aca="false">COUNTIF(W3:W23,"O")</f>
        <v>0</v>
      </c>
      <c r="X27" s="1" t="n">
        <f aca="false">COUNTIF(X3:X23,"O")</f>
        <v>0</v>
      </c>
      <c r="AD27" s="1" t="n">
        <f aca="false">COUNTIF(AD3:AD23,"O")</f>
        <v>0</v>
      </c>
      <c r="AE27" s="1" t="n">
        <f aca="false">COUNTIF(AE3:AE23,"O")</f>
        <v>2</v>
      </c>
      <c r="AF27" s="1" t="n">
        <f aca="false">COUNTIF(AF3:AF23,"O")</f>
        <v>0</v>
      </c>
      <c r="AG27" s="1" t="n">
        <f aca="false">COUNTIF(AG3:AG23,"O")</f>
        <v>0</v>
      </c>
      <c r="AH27" s="1" t="n">
        <f aca="false">COUNTIF(AH3:AH23,"O")</f>
        <v>0</v>
      </c>
      <c r="AI27" s="1" t="n">
        <f aca="false">COUNTIF(AI3:AI23,"O")</f>
        <v>0</v>
      </c>
      <c r="AJ27" s="1" t="n">
        <f aca="false">COUNTIF(AJ3:AJ23,"O")</f>
        <v>0</v>
      </c>
      <c r="AK27" s="1" t="n">
        <f aca="false">COUNTIF(AK3:AK23,"O")</f>
        <v>0</v>
      </c>
      <c r="AL27" s="1" t="n">
        <f aca="false">COUNTIF(AL3:AL23,"O")</f>
        <v>0</v>
      </c>
      <c r="AN27" s="1" t="n">
        <f aca="false">COUNTIF(AN3:AN23,"O")</f>
        <v>0</v>
      </c>
      <c r="AO27" s="1" t="n">
        <f aca="false">COUNTIF(AO3:AO23,"O")</f>
        <v>0</v>
      </c>
    </row>
    <row r="28" customFormat="false" ht="15" hidden="false" customHeight="false" outlineLevel="0" collapsed="false">
      <c r="C28" s="1" t="s">
        <v>84</v>
      </c>
      <c r="E28" s="1" t="n">
        <f aca="false">SUM(E24:E27)</f>
        <v>19</v>
      </c>
      <c r="F28" s="1" t="n">
        <f aca="false">SUM(F24:F27)</f>
        <v>20</v>
      </c>
      <c r="G28" s="1" t="n">
        <f aca="false">SUM(G24:G27)</f>
        <v>19</v>
      </c>
      <c r="H28" s="1" t="n">
        <f aca="false">SUM(H24:H27)</f>
        <v>20</v>
      </c>
      <c r="J28" s="1" t="n">
        <f aca="false">SUM(J24:J27)</f>
        <v>18</v>
      </c>
      <c r="K28" s="1" t="n">
        <f aca="false">SUM(K24:K27)</f>
        <v>18</v>
      </c>
      <c r="L28" s="1" t="n">
        <f aca="false">SUM(L24:L27)</f>
        <v>19</v>
      </c>
      <c r="M28" s="1" t="n">
        <f aca="false">SUM(M24:M27)</f>
        <v>20</v>
      </c>
      <c r="N28" s="1" t="n">
        <f aca="false">SUM(N24:N27)</f>
        <v>19</v>
      </c>
      <c r="O28" s="1" t="n">
        <f aca="false">SUM(O24:O27)</f>
        <v>19</v>
      </c>
      <c r="P28" s="1" t="n">
        <f aca="false">SUM(P24:P27)</f>
        <v>19</v>
      </c>
      <c r="Q28" s="1" t="n">
        <f aca="false">SUM(Q24:Q27)</f>
        <v>17</v>
      </c>
      <c r="R28" s="1" t="n">
        <f aca="false">SUM(R24:R27)</f>
        <v>20</v>
      </c>
      <c r="S28" s="1" t="n">
        <f aca="false">SUM(S24:S27)</f>
        <v>18</v>
      </c>
      <c r="U28" s="1" t="n">
        <f aca="false">SUM(U24:U27)</f>
        <v>20</v>
      </c>
      <c r="W28" s="1" t="n">
        <f aca="false">SUM(W24:W27)</f>
        <v>18</v>
      </c>
      <c r="X28" s="1" t="n">
        <f aca="false">SUM(X24:X27)</f>
        <v>16</v>
      </c>
      <c r="AD28" s="1" t="n">
        <f aca="false">SUM(AD24:AD27)</f>
        <v>19</v>
      </c>
      <c r="AE28" s="1" t="n">
        <f aca="false">SUM(AE24:AE26)</f>
        <v>18</v>
      </c>
      <c r="AF28" s="1" t="n">
        <f aca="false">SUM(AF24:AF26)</f>
        <v>12</v>
      </c>
      <c r="AG28" s="1" t="n">
        <f aca="false">SUM(AG24:AG26)</f>
        <v>21</v>
      </c>
      <c r="AH28" s="1" t="n">
        <f aca="false">SUM(AH24:AH26)</f>
        <v>21</v>
      </c>
      <c r="AI28" s="1" t="n">
        <f aca="false">SUM(AI24:AI26)</f>
        <v>18</v>
      </c>
      <c r="AJ28" s="1" t="n">
        <f aca="false">SUM(AJ24:AJ26)</f>
        <v>17</v>
      </c>
      <c r="AK28" s="1" t="n">
        <f aca="false">SUM(AK24:AK26)</f>
        <v>17</v>
      </c>
      <c r="AL28" s="1" t="n">
        <f aca="false">SUM(AL24:AL26)</f>
        <v>20</v>
      </c>
      <c r="AN28" s="1" t="n">
        <f aca="false">SUM(AN24:AN26)</f>
        <v>18</v>
      </c>
      <c r="AO28" s="1" t="n">
        <f aca="false">SUM(AO24:AO26)</f>
        <v>20</v>
      </c>
    </row>
  </sheetData>
  <conditionalFormatting sqref="AC3:AC23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U12" activeCellId="0" sqref="U12"/>
    </sheetView>
  </sheetViews>
  <sheetFormatPr defaultColWidth="9.597656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20.07"/>
    <col collapsed="false" customWidth="false" hidden="true" outlineLevel="0" max="8" min="3" style="1" width="9.6"/>
    <col collapsed="false" customWidth="true" hidden="true" outlineLevel="0" max="10" min="9" style="1" width="12.8"/>
    <col collapsed="false" customWidth="false" hidden="true" outlineLevel="0" max="13" min="11" style="1" width="9.6"/>
    <col collapsed="false" customWidth="false" hidden="true" outlineLevel="0" max="15" min="14" style="0" width="9.6"/>
    <col collapsed="false" customWidth="true" hidden="false" outlineLevel="0" max="20" min="19" style="0" width="16.46"/>
    <col collapsed="false" customWidth="true" hidden="false" outlineLevel="0" max="21" min="21" style="1" width="16.46"/>
    <col collapsed="false" customWidth="true" hidden="false" outlineLevel="0" max="980" min="980" style="1" width="9.33"/>
    <col collapsed="false" customWidth="true" hidden="false" outlineLevel="0" max="16384" min="16338" style="1" width="10.58"/>
  </cols>
  <sheetData>
    <row r="1" customFormat="false" ht="15" hidden="false" customHeight="false" outlineLevel="0" collapsed="false">
      <c r="B1" s="2"/>
    </row>
    <row r="2" customFormat="false" ht="15" hidden="false" customHeight="false" outlineLevel="0" collapsed="false">
      <c r="A2" s="1" t="s">
        <v>0</v>
      </c>
      <c r="B2" s="2" t="s">
        <v>2</v>
      </c>
      <c r="C2" s="2" t="s">
        <v>85</v>
      </c>
      <c r="D2" s="2" t="s">
        <v>86</v>
      </c>
      <c r="E2" s="2" t="s">
        <v>87</v>
      </c>
      <c r="F2" s="2" t="s">
        <v>88</v>
      </c>
      <c r="G2" s="2" t="s">
        <v>89</v>
      </c>
      <c r="H2" s="2" t="s">
        <v>90</v>
      </c>
      <c r="I2" s="2" t="s">
        <v>89</v>
      </c>
      <c r="J2" s="2" t="s">
        <v>91</v>
      </c>
      <c r="K2" s="2" t="s">
        <v>89</v>
      </c>
      <c r="L2" s="2" t="s">
        <v>92</v>
      </c>
      <c r="M2" s="2" t="s">
        <v>93</v>
      </c>
      <c r="N2" s="2" t="s">
        <v>9</v>
      </c>
      <c r="O2" s="2" t="s">
        <v>94</v>
      </c>
      <c r="P2" s="2" t="s">
        <v>95</v>
      </c>
      <c r="Q2" s="2" t="s">
        <v>96</v>
      </c>
      <c r="R2" s="2" t="s">
        <v>97</v>
      </c>
      <c r="S2" s="2" t="s">
        <v>98</v>
      </c>
      <c r="T2" s="2" t="s">
        <v>99</v>
      </c>
      <c r="U2" s="2" t="s">
        <v>100</v>
      </c>
    </row>
    <row r="3" s="1" customFormat="true" ht="15" hidden="false" customHeight="false" outlineLevel="0" collapsed="false">
      <c r="A3" s="1" t="n">
        <v>1</v>
      </c>
      <c r="B3" s="2" t="s">
        <v>11</v>
      </c>
      <c r="C3" s="4" t="n">
        <v>10</v>
      </c>
      <c r="D3" s="4" t="n">
        <v>9</v>
      </c>
      <c r="E3" s="4"/>
      <c r="F3" s="4" t="n">
        <v>6</v>
      </c>
      <c r="G3" s="3" t="n">
        <v>46171</v>
      </c>
      <c r="H3" s="4" t="n">
        <v>4</v>
      </c>
      <c r="I3" s="3" t="n">
        <v>46171</v>
      </c>
      <c r="J3" s="4" t="n">
        <v>9</v>
      </c>
      <c r="K3" s="4"/>
      <c r="L3" s="4" t="n">
        <v>9</v>
      </c>
      <c r="M3" s="1" t="n">
        <v>9.02</v>
      </c>
      <c r="N3" s="4" t="n">
        <f aca="false">ROUND(AVERAGE(C3,D3,F3,H3,J3,L3,M2),0)</f>
        <v>8</v>
      </c>
      <c r="O3" s="4" t="str">
        <f aca="false">IF(N3&gt;6,"TEA",IF(N3&gt;3,"TEP","TED"))</f>
        <v>TEA</v>
      </c>
      <c r="Q3" s="1" t="n">
        <v>1</v>
      </c>
      <c r="S3" s="0" t="n">
        <v>1</v>
      </c>
      <c r="T3" s="0" t="n">
        <v>1</v>
      </c>
    </row>
    <row r="4" s="1" customFormat="true" ht="15" hidden="false" customHeight="false" outlineLevel="0" collapsed="false">
      <c r="A4" s="1" t="n">
        <v>2</v>
      </c>
      <c r="B4" s="2" t="s">
        <v>16</v>
      </c>
      <c r="C4" s="4" t="n">
        <v>10</v>
      </c>
      <c r="D4" s="4" t="n">
        <v>4</v>
      </c>
      <c r="E4" s="4"/>
      <c r="F4" s="4" t="n">
        <v>9</v>
      </c>
      <c r="G4" s="4"/>
      <c r="H4" s="4" t="n">
        <v>8</v>
      </c>
      <c r="I4" s="4"/>
      <c r="J4" s="4" t="n">
        <v>10</v>
      </c>
      <c r="K4" s="4"/>
      <c r="L4" s="4" t="n">
        <v>10</v>
      </c>
      <c r="M4" s="1" t="n">
        <v>9.22</v>
      </c>
      <c r="N4" s="4" t="n">
        <f aca="false">ROUND(AVERAGE(C4,D4,F4,H4,J4,L4,M3),0)</f>
        <v>9</v>
      </c>
      <c r="O4" s="4" t="str">
        <f aca="false">IF(N4&gt;6,"TEA",IF(N4&gt;3,"TEP","TED"))</f>
        <v>TEA</v>
      </c>
      <c r="S4" s="0" t="n">
        <v>9</v>
      </c>
      <c r="T4" s="0" t="n">
        <v>7</v>
      </c>
    </row>
    <row r="5" s="1" customFormat="true" ht="15" hidden="false" customHeight="false" outlineLevel="0" collapsed="false">
      <c r="A5" s="1" t="n">
        <v>3</v>
      </c>
      <c r="B5" s="2" t="s">
        <v>20</v>
      </c>
      <c r="C5" s="4" t="n">
        <v>1</v>
      </c>
      <c r="D5" s="4" t="n">
        <v>4</v>
      </c>
      <c r="E5" s="4"/>
      <c r="F5" s="4" t="n">
        <v>10</v>
      </c>
      <c r="G5" s="4"/>
      <c r="H5" s="4" t="n">
        <v>6</v>
      </c>
      <c r="I5" s="3" t="n">
        <v>46220</v>
      </c>
      <c r="J5" s="4" t="n">
        <v>8</v>
      </c>
      <c r="K5" s="4"/>
      <c r="L5" s="4" t="n">
        <v>9</v>
      </c>
      <c r="M5" s="1" t="n">
        <v>9.22</v>
      </c>
      <c r="N5" s="4" t="n">
        <f aca="false">ROUND(AVERAGE(C5,D5,F5,H5,J5,L5,M4),0)</f>
        <v>7</v>
      </c>
      <c r="O5" s="4" t="str">
        <f aca="false">IF(N5&gt;6,"TEA",IF(N5&gt;3,"TEP","TED"))</f>
        <v>TEA</v>
      </c>
      <c r="Q5" s="1" t="n">
        <v>1</v>
      </c>
      <c r="S5" s="0" t="n">
        <v>5</v>
      </c>
      <c r="T5" s="0" t="n">
        <v>1</v>
      </c>
    </row>
    <row r="6" s="1" customFormat="true" ht="15" hidden="false" customHeight="false" outlineLevel="0" collapsed="false">
      <c r="A6" s="1" t="n">
        <v>4</v>
      </c>
      <c r="B6" s="2" t="s">
        <v>23</v>
      </c>
      <c r="C6" s="4" t="n">
        <v>10</v>
      </c>
      <c r="D6" s="4" t="n">
        <v>7</v>
      </c>
      <c r="E6" s="4"/>
      <c r="F6" s="4" t="n">
        <v>9</v>
      </c>
      <c r="G6" s="4"/>
      <c r="H6" s="4" t="n">
        <v>8</v>
      </c>
      <c r="I6" s="4"/>
      <c r="J6" s="4" t="n">
        <v>10</v>
      </c>
      <c r="K6" s="4"/>
      <c r="L6" s="4" t="n">
        <v>10</v>
      </c>
      <c r="M6" s="1" t="n">
        <v>10</v>
      </c>
      <c r="N6" s="4" t="n">
        <f aca="false">ROUND(AVERAGE(C6,D6,F6,H6,J6,L6,M5),0)</f>
        <v>9</v>
      </c>
      <c r="O6" s="4" t="str">
        <f aca="false">IF(N6&gt;6,"TEA",IF(N6&gt;3,"TEP","TED"))</f>
        <v>TEA</v>
      </c>
      <c r="S6" s="0" t="n">
        <v>10</v>
      </c>
      <c r="T6" s="0" t="n">
        <v>4</v>
      </c>
      <c r="U6" s="1" t="n">
        <v>10</v>
      </c>
    </row>
    <row r="7" s="1" customFormat="true" ht="15" hidden="false" customHeight="false" outlineLevel="0" collapsed="false">
      <c r="A7" s="1" t="n">
        <v>5</v>
      </c>
      <c r="B7" s="2" t="s">
        <v>26</v>
      </c>
      <c r="C7" s="4" t="n">
        <v>10</v>
      </c>
      <c r="D7" s="2" t="n">
        <v>8</v>
      </c>
      <c r="E7" s="4"/>
      <c r="F7" s="4" t="n">
        <v>10</v>
      </c>
      <c r="G7" s="4"/>
      <c r="H7" s="4" t="n">
        <v>9</v>
      </c>
      <c r="I7" s="4"/>
      <c r="J7" s="4" t="n">
        <v>10</v>
      </c>
      <c r="K7" s="4"/>
      <c r="L7" s="4" t="n">
        <v>9</v>
      </c>
      <c r="M7" s="1" t="n">
        <v>9.22</v>
      </c>
      <c r="N7" s="4" t="n">
        <f aca="false">ROUND(AVERAGE(C7,D7,F7,H7,J7,L7,M6),0)</f>
        <v>9</v>
      </c>
      <c r="O7" s="4" t="str">
        <f aca="false">IF(N7&gt;6,"TEA",IF(N7&gt;3,"TEP","TED"))</f>
        <v>TEA</v>
      </c>
      <c r="S7" s="0" t="n">
        <v>9</v>
      </c>
      <c r="T7" s="0" t="n">
        <v>1</v>
      </c>
      <c r="XDM7" s="2"/>
      <c r="XDN7" s="2"/>
      <c r="XDO7" s="2"/>
      <c r="XDP7" s="2"/>
      <c r="XDQ7" s="2"/>
      <c r="XDR7" s="2"/>
      <c r="XDS7" s="2"/>
      <c r="XDT7" s="2"/>
      <c r="XDU7" s="2"/>
      <c r="XDV7" s="2"/>
      <c r="XDW7" s="2"/>
      <c r="XDX7" s="2"/>
      <c r="XDY7" s="2"/>
      <c r="XDZ7" s="2"/>
      <c r="XEA7" s="2"/>
      <c r="XEB7" s="2"/>
      <c r="XEC7" s="2"/>
      <c r="XED7" s="2"/>
      <c r="XEE7" s="2"/>
      <c r="XEF7" s="2"/>
      <c r="XEG7" s="2"/>
      <c r="XEH7" s="2"/>
      <c r="XEI7" s="2"/>
      <c r="XEJ7" s="2"/>
      <c r="XEK7" s="2"/>
      <c r="XEL7" s="2"/>
      <c r="XEM7" s="2"/>
      <c r="XEN7" s="2"/>
      <c r="XEO7" s="2"/>
      <c r="XEP7" s="2"/>
      <c r="XEQ7" s="2"/>
      <c r="XER7" s="2"/>
      <c r="XES7" s="2"/>
      <c r="XET7" s="2"/>
      <c r="XEU7" s="2"/>
      <c r="XEV7" s="2"/>
      <c r="XEW7" s="2"/>
      <c r="XEX7" s="2"/>
      <c r="XEY7" s="2"/>
      <c r="XEZ7" s="2"/>
      <c r="XFA7" s="2"/>
      <c r="XFB7" s="2"/>
      <c r="XFC7" s="2"/>
    </row>
    <row r="8" s="2" customFormat="true" ht="15" hidden="false" customHeight="false" outlineLevel="0" collapsed="false">
      <c r="A8" s="1" t="n">
        <v>6</v>
      </c>
      <c r="B8" s="2" t="s">
        <v>31</v>
      </c>
      <c r="C8" s="2" t="n">
        <v>5</v>
      </c>
      <c r="D8" s="7" t="n">
        <v>9</v>
      </c>
      <c r="E8" s="8" t="n">
        <v>46102</v>
      </c>
      <c r="F8" s="4" t="n">
        <v>10</v>
      </c>
      <c r="G8" s="4"/>
      <c r="H8" s="2" t="n">
        <v>9</v>
      </c>
      <c r="J8" s="4" t="n">
        <v>9</v>
      </c>
      <c r="K8" s="3" t="n">
        <v>46171</v>
      </c>
      <c r="L8" s="4" t="n">
        <v>9</v>
      </c>
      <c r="M8" s="1" t="n">
        <v>10</v>
      </c>
      <c r="N8" s="4" t="n">
        <f aca="false">ROUND(AVERAGE(C8,D8,F8,H8,J8,L8,M7),0)</f>
        <v>9</v>
      </c>
      <c r="O8" s="4" t="str">
        <f aca="false">IF(N8&gt;6,"TEA",IF(N8&gt;3,"TEP","TED"))</f>
        <v>TEA</v>
      </c>
      <c r="P8" s="1"/>
      <c r="Q8" s="1" t="n">
        <v>1</v>
      </c>
      <c r="R8" s="1"/>
      <c r="S8" s="0" t="n">
        <v>5</v>
      </c>
      <c r="T8" s="0" t="n">
        <v>7</v>
      </c>
      <c r="U8" s="2" t="n">
        <v>9</v>
      </c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XDJ8" s="1"/>
      <c r="XDK8" s="1"/>
      <c r="XDL8" s="1"/>
      <c r="XDM8" s="1"/>
      <c r="XDN8" s="1"/>
      <c r="XDO8" s="1"/>
      <c r="XDP8" s="1"/>
      <c r="XDQ8" s="1"/>
      <c r="XDR8" s="1"/>
      <c r="XDS8" s="1"/>
      <c r="XDT8" s="1"/>
      <c r="XDU8" s="1"/>
      <c r="XDV8" s="1"/>
      <c r="XDW8" s="1"/>
      <c r="XDX8" s="1"/>
      <c r="XDY8" s="1"/>
      <c r="XDZ8" s="1"/>
      <c r="XEA8" s="1"/>
      <c r="XEB8" s="1"/>
      <c r="XEC8" s="1"/>
      <c r="XED8" s="1"/>
      <c r="XEE8" s="1"/>
      <c r="XEF8" s="1"/>
      <c r="XEG8" s="1"/>
      <c r="XEH8" s="1"/>
      <c r="XEI8" s="1"/>
      <c r="XEJ8" s="1"/>
      <c r="XEK8" s="1"/>
      <c r="XEL8" s="1"/>
      <c r="XEM8" s="1"/>
      <c r="XEN8" s="1"/>
      <c r="XEO8" s="1"/>
      <c r="XEP8" s="1"/>
      <c r="XEQ8" s="1"/>
      <c r="XER8" s="1"/>
      <c r="XES8" s="1"/>
      <c r="XET8" s="1"/>
      <c r="XEU8" s="1"/>
      <c r="XEV8" s="1"/>
      <c r="XEW8" s="1"/>
      <c r="XEX8" s="1"/>
      <c r="XEY8" s="1"/>
      <c r="XEZ8" s="1"/>
      <c r="XFA8" s="1"/>
      <c r="XFB8" s="1"/>
      <c r="XFC8" s="1"/>
      <c r="XFD8" s="1"/>
    </row>
    <row r="9" s="1" customFormat="true" ht="15" hidden="false" customHeight="false" outlineLevel="0" collapsed="false">
      <c r="A9" s="1" t="n">
        <v>7</v>
      </c>
      <c r="B9" s="2" t="s">
        <v>34</v>
      </c>
      <c r="C9" s="4" t="n">
        <v>9</v>
      </c>
      <c r="D9" s="4" t="n">
        <v>6</v>
      </c>
      <c r="E9" s="4"/>
      <c r="F9" s="4" t="n">
        <v>10</v>
      </c>
      <c r="G9" s="4"/>
      <c r="H9" s="4" t="n">
        <v>8</v>
      </c>
      <c r="I9" s="4"/>
      <c r="J9" s="4" t="n">
        <v>7</v>
      </c>
      <c r="K9" s="3" t="n">
        <v>46171</v>
      </c>
      <c r="L9" s="4" t="n">
        <v>9</v>
      </c>
      <c r="M9" s="1" t="n">
        <v>8.04</v>
      </c>
      <c r="N9" s="4" t="n">
        <f aca="false">ROUND(AVERAGE(C9,D9,F9,H9,J9,L9,M8),0)</f>
        <v>8</v>
      </c>
      <c r="O9" s="4" t="str">
        <f aca="false">IF(N9&gt;6,"TEA",IF(N9&gt;3,"TEP","TED"))</f>
        <v>TEA</v>
      </c>
      <c r="S9" s="0" t="n">
        <v>5</v>
      </c>
      <c r="T9" s="0" t="n">
        <v>8</v>
      </c>
    </row>
    <row r="10" s="1" customFormat="true" ht="15" hidden="false" customHeight="false" outlineLevel="0" collapsed="false">
      <c r="A10" s="1" t="n">
        <v>8</v>
      </c>
      <c r="B10" s="2" t="s">
        <v>37</v>
      </c>
      <c r="C10" s="4" t="n">
        <v>10</v>
      </c>
      <c r="D10" s="4" t="n">
        <v>8</v>
      </c>
      <c r="E10" s="4"/>
      <c r="F10" s="4" t="n">
        <v>10</v>
      </c>
      <c r="G10" s="4"/>
      <c r="H10" s="4" t="n">
        <v>9</v>
      </c>
      <c r="I10" s="4"/>
      <c r="J10" s="2" t="n">
        <v>9</v>
      </c>
      <c r="K10" s="2"/>
      <c r="L10" s="2" t="n">
        <v>10</v>
      </c>
      <c r="M10" s="1" t="n">
        <v>9.22</v>
      </c>
      <c r="N10" s="4" t="n">
        <f aca="false">ROUND(AVERAGE(C10,D10,F10,H10,J10,L10,M9),0)</f>
        <v>9</v>
      </c>
      <c r="O10" s="4" t="str">
        <f aca="false">IF(N10&gt;6,"TEA",IF(N10&gt;3,"TEP","TED"))</f>
        <v>TEA</v>
      </c>
      <c r="S10" s="0" t="n">
        <v>9</v>
      </c>
      <c r="T10" s="0" t="n">
        <v>4</v>
      </c>
    </row>
    <row r="11" s="1" customFormat="true" ht="15" hidden="false" customHeight="false" outlineLevel="0" collapsed="false">
      <c r="A11" s="1" t="n">
        <v>9</v>
      </c>
      <c r="B11" s="2" t="s">
        <v>41</v>
      </c>
      <c r="C11" s="4" t="n">
        <v>10</v>
      </c>
      <c r="D11" s="4" t="n">
        <v>9</v>
      </c>
      <c r="E11" s="4"/>
      <c r="F11" s="4" t="n">
        <v>9</v>
      </c>
      <c r="G11" s="4"/>
      <c r="H11" s="4" t="n">
        <v>10</v>
      </c>
      <c r="I11" s="4"/>
      <c r="J11" s="4" t="n">
        <v>9</v>
      </c>
      <c r="K11" s="4"/>
      <c r="L11" s="4" t="n">
        <v>9</v>
      </c>
      <c r="M11" s="1" t="n">
        <v>9.02</v>
      </c>
      <c r="N11" s="4" t="n">
        <f aca="false">ROUND(AVERAGE(C11,D11,F11,H11,J11,L11,M10),0)</f>
        <v>9</v>
      </c>
      <c r="O11" s="4" t="str">
        <f aca="false">IF(N11&gt;6,"TEA",IF(N11&gt;3,"TEP","TED"))</f>
        <v>TEA</v>
      </c>
      <c r="S11" s="0" t="n">
        <v>10</v>
      </c>
      <c r="T11" s="0" t="n">
        <v>10</v>
      </c>
      <c r="U11" s="1" t="n">
        <v>8</v>
      </c>
      <c r="XDM11" s="2"/>
      <c r="XDN11" s="2"/>
      <c r="XDO11" s="2"/>
      <c r="XDP11" s="2"/>
      <c r="XDQ11" s="2"/>
      <c r="XDR11" s="2"/>
      <c r="XDS11" s="2"/>
      <c r="XDT11" s="2"/>
      <c r="XDU11" s="2"/>
      <c r="XDV11" s="2"/>
      <c r="XDW11" s="2"/>
      <c r="XDX11" s="2"/>
      <c r="XDY11" s="2"/>
      <c r="XDZ11" s="2"/>
      <c r="XEA11" s="2"/>
      <c r="XEB11" s="2"/>
      <c r="XEC11" s="2"/>
      <c r="XED11" s="2"/>
      <c r="XEE11" s="2"/>
      <c r="XEF11" s="2"/>
      <c r="XEG11" s="2"/>
      <c r="XEH11" s="2"/>
      <c r="XEI11" s="2"/>
      <c r="XEJ11" s="2"/>
      <c r="XEK11" s="2"/>
      <c r="XEL11" s="2"/>
      <c r="XEM11" s="2"/>
      <c r="XEN11" s="2"/>
      <c r="XEO11" s="2"/>
      <c r="XEP11" s="2"/>
      <c r="XEQ11" s="2"/>
      <c r="XER11" s="2"/>
      <c r="XES11" s="2"/>
      <c r="XET11" s="2"/>
      <c r="XEU11" s="2"/>
      <c r="XEV11" s="2"/>
      <c r="XEW11" s="2"/>
      <c r="XEX11" s="2"/>
      <c r="XEY11" s="2"/>
      <c r="XEZ11" s="2"/>
      <c r="XFA11" s="2"/>
      <c r="XFB11" s="2"/>
      <c r="XFC11" s="2"/>
    </row>
    <row r="12" s="2" customFormat="true" ht="15" hidden="false" customHeight="false" outlineLevel="0" collapsed="false">
      <c r="A12" s="1" t="n">
        <v>10</v>
      </c>
      <c r="B12" s="2" t="s">
        <v>44</v>
      </c>
      <c r="C12" s="2" t="n">
        <v>10</v>
      </c>
      <c r="D12" s="4" t="n">
        <v>10</v>
      </c>
      <c r="F12" s="4" t="n">
        <v>9</v>
      </c>
      <c r="G12" s="4"/>
      <c r="H12" s="2" t="n">
        <v>10</v>
      </c>
      <c r="J12" s="4" t="n">
        <v>8</v>
      </c>
      <c r="K12" s="4"/>
      <c r="L12" s="4" t="n">
        <v>10</v>
      </c>
      <c r="M12" s="1" t="n">
        <v>9.22</v>
      </c>
      <c r="N12" s="4" t="n">
        <f aca="false">ROUND(AVERAGE(C12,D12,F12,H12,J12,L12,M11),0)</f>
        <v>9</v>
      </c>
      <c r="O12" s="4" t="str">
        <f aca="false">IF(N12&gt;6,"TEA",IF(N12&gt;3,"TEP","TED"))</f>
        <v>TEA</v>
      </c>
      <c r="P12" s="1"/>
      <c r="Q12" s="1" t="n">
        <v>1</v>
      </c>
      <c r="R12" s="1"/>
      <c r="S12" s="0" t="n">
        <v>1</v>
      </c>
      <c r="T12" s="0" t="n">
        <v>1</v>
      </c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XDJ12" s="1"/>
      <c r="XDK12" s="1"/>
      <c r="XDL12" s="1"/>
      <c r="XDM12" s="1"/>
      <c r="XDN12" s="1"/>
      <c r="XDO12" s="1"/>
      <c r="XDP12" s="1"/>
      <c r="XDQ12" s="1"/>
      <c r="XDR12" s="1"/>
      <c r="XDS12" s="1"/>
      <c r="XDT12" s="1"/>
      <c r="XDU12" s="1"/>
      <c r="XDV12" s="1"/>
      <c r="XDW12" s="1"/>
      <c r="XDX12" s="1"/>
      <c r="XDY12" s="1"/>
      <c r="XDZ12" s="1"/>
      <c r="XEA12" s="1"/>
      <c r="XEB12" s="1"/>
      <c r="XEC12" s="1"/>
      <c r="XED12" s="1"/>
      <c r="XEE12" s="1"/>
      <c r="XEF12" s="1"/>
      <c r="XEG12" s="1"/>
      <c r="XEH12" s="1"/>
      <c r="XEI12" s="1"/>
      <c r="XEJ12" s="1"/>
      <c r="XEK12" s="1"/>
      <c r="XEL12" s="1"/>
      <c r="XEM12" s="1"/>
      <c r="XEN12" s="1"/>
      <c r="XEO12" s="1"/>
      <c r="XEP12" s="1"/>
      <c r="XEQ12" s="1"/>
      <c r="XER12" s="1"/>
      <c r="XES12" s="1"/>
      <c r="XET12" s="1"/>
      <c r="XEU12" s="1"/>
      <c r="XEV12" s="1"/>
      <c r="XEW12" s="1"/>
      <c r="XEX12" s="1"/>
      <c r="XEY12" s="1"/>
      <c r="XEZ12" s="1"/>
      <c r="XFA12" s="1"/>
      <c r="XFB12" s="1"/>
      <c r="XFC12" s="1"/>
      <c r="XFD12" s="1"/>
    </row>
    <row r="13" s="1" customFormat="true" ht="15" hidden="false" customHeight="false" outlineLevel="0" collapsed="false">
      <c r="A13" s="1" t="n">
        <v>11</v>
      </c>
      <c r="B13" s="2" t="s">
        <v>47</v>
      </c>
      <c r="C13" s="4" t="n">
        <v>10</v>
      </c>
      <c r="D13" s="4" t="n">
        <v>7</v>
      </c>
      <c r="E13" s="4"/>
      <c r="F13" s="4" t="n">
        <v>6</v>
      </c>
      <c r="G13" s="3" t="n">
        <v>46171</v>
      </c>
      <c r="H13" s="4" t="n">
        <v>9</v>
      </c>
      <c r="I13" s="4"/>
      <c r="J13" s="2" t="n">
        <v>10</v>
      </c>
      <c r="K13" s="2"/>
      <c r="L13" s="2" t="n">
        <v>9</v>
      </c>
      <c r="M13" s="1" t="n">
        <v>9.22</v>
      </c>
      <c r="N13" s="4" t="n">
        <f aca="false">ROUND(AVERAGE(C13,D13,F13,H13,J13,L13,M12),0)</f>
        <v>9</v>
      </c>
      <c r="O13" s="4" t="str">
        <f aca="false">IF(N13&gt;6,"TEA",IF(N13&gt;3,"TEP","TED"))</f>
        <v>TEA</v>
      </c>
      <c r="S13" s="0" t="n">
        <v>1</v>
      </c>
      <c r="T13" s="0" t="n">
        <v>10</v>
      </c>
    </row>
    <row r="14" s="1" customFormat="true" ht="15" hidden="false" customHeight="false" outlineLevel="0" collapsed="false">
      <c r="A14" s="1" t="n">
        <v>12</v>
      </c>
      <c r="B14" s="2" t="s">
        <v>50</v>
      </c>
      <c r="C14" s="4" t="n">
        <v>10</v>
      </c>
      <c r="D14" s="4" t="n">
        <v>9</v>
      </c>
      <c r="E14" s="4"/>
      <c r="F14" s="4" t="n">
        <v>10</v>
      </c>
      <c r="G14" s="4"/>
      <c r="H14" s="2" t="n">
        <v>9</v>
      </c>
      <c r="I14" s="2"/>
      <c r="J14" s="4" t="n">
        <v>10</v>
      </c>
      <c r="K14" s="4"/>
      <c r="L14" s="4" t="n">
        <v>10</v>
      </c>
      <c r="M14" s="1" t="n">
        <v>9.12</v>
      </c>
      <c r="N14" s="4" t="n">
        <f aca="false">ROUND(AVERAGE(C14,D14,F14,H14,J14,L14,M13),0)</f>
        <v>10</v>
      </c>
      <c r="O14" s="4" t="str">
        <f aca="false">IF(N14&gt;6,"TEA",IF(N14&gt;3,"TEP","TED"))</f>
        <v>TEA</v>
      </c>
      <c r="S14" s="0" t="n">
        <v>9</v>
      </c>
      <c r="T14" s="0" t="n">
        <v>8</v>
      </c>
    </row>
    <row r="15" s="2" customFormat="true" ht="15" hidden="false" customHeight="false" outlineLevel="0" collapsed="false">
      <c r="A15" s="1" t="n">
        <v>13</v>
      </c>
      <c r="B15" s="2" t="s">
        <v>53</v>
      </c>
      <c r="C15" s="2" t="n">
        <v>8</v>
      </c>
      <c r="D15" s="4" t="n">
        <v>10</v>
      </c>
      <c r="F15" s="4" t="n">
        <v>1</v>
      </c>
      <c r="G15" s="4"/>
      <c r="H15" s="2" t="n">
        <v>5</v>
      </c>
      <c r="J15" s="4" t="n">
        <v>8</v>
      </c>
      <c r="K15" s="4"/>
      <c r="L15" s="4" t="n">
        <v>10</v>
      </c>
      <c r="M15" s="1" t="n">
        <v>10</v>
      </c>
      <c r="N15" s="4" t="n">
        <f aca="false">ROUND(AVERAGE(C15,D15,F15,H15,J15,L15,M14),0)</f>
        <v>7</v>
      </c>
      <c r="O15" s="4" t="str">
        <f aca="false">IF(N15&gt;6,"TEA",IF(N15&gt;3,"TEP","TED"))</f>
        <v>TEA</v>
      </c>
      <c r="P15" s="1"/>
      <c r="Q15" s="1" t="n">
        <v>1</v>
      </c>
      <c r="R15" s="1"/>
      <c r="S15" s="0" t="n">
        <v>1</v>
      </c>
      <c r="T15" s="0" t="n">
        <v>3</v>
      </c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="1" customFormat="true" ht="15" hidden="false" customHeight="false" outlineLevel="0" collapsed="false">
      <c r="A16" s="1" t="n">
        <v>14</v>
      </c>
      <c r="B16" s="2" t="s">
        <v>56</v>
      </c>
      <c r="C16" s="4" t="n">
        <v>10</v>
      </c>
      <c r="D16" s="4" t="n">
        <v>5</v>
      </c>
      <c r="E16" s="4"/>
      <c r="F16" s="4" t="n">
        <v>6</v>
      </c>
      <c r="G16" s="4"/>
      <c r="H16" s="4" t="n">
        <v>8</v>
      </c>
      <c r="I16" s="4"/>
      <c r="J16" s="2" t="n">
        <v>10</v>
      </c>
      <c r="K16" s="2"/>
      <c r="L16" s="2" t="n">
        <v>10</v>
      </c>
      <c r="M16" s="1" t="n">
        <v>10</v>
      </c>
      <c r="N16" s="4" t="n">
        <f aca="false">ROUND(AVERAGE(C16,D16,F16,H16,J16,L16,M15),0)</f>
        <v>8</v>
      </c>
      <c r="O16" s="4" t="str">
        <f aca="false">IF(N16&gt;6,"TEA",IF(N16&gt;3,"TEP","TED"))</f>
        <v>TEA</v>
      </c>
      <c r="S16" s="0" t="n">
        <v>1</v>
      </c>
      <c r="T16" s="0" t="n">
        <v>8</v>
      </c>
      <c r="XDM16" s="2"/>
      <c r="XDN16" s="2"/>
      <c r="XDO16" s="2"/>
      <c r="XDP16" s="2"/>
      <c r="XDQ16" s="2"/>
      <c r="XDR16" s="2"/>
      <c r="XDS16" s="2"/>
      <c r="XDT16" s="2"/>
      <c r="XDU16" s="2"/>
      <c r="XDV16" s="2"/>
      <c r="XDW16" s="2"/>
      <c r="XDX16" s="2"/>
      <c r="XDY16" s="2"/>
      <c r="XDZ16" s="2"/>
      <c r="XEA16" s="2"/>
      <c r="XEB16" s="2"/>
      <c r="XEC16" s="2"/>
      <c r="XED16" s="2"/>
      <c r="XEE16" s="2"/>
      <c r="XEF16" s="2"/>
      <c r="XEG16" s="2"/>
      <c r="XEH16" s="2"/>
      <c r="XEI16" s="2"/>
      <c r="XEJ16" s="2"/>
      <c r="XEK16" s="2"/>
      <c r="XEL16" s="2"/>
      <c r="XEM16" s="2"/>
      <c r="XEN16" s="2"/>
      <c r="XEO16" s="2"/>
      <c r="XEP16" s="2"/>
      <c r="XEQ16" s="2"/>
      <c r="XER16" s="2"/>
      <c r="XES16" s="2"/>
      <c r="XET16" s="2"/>
      <c r="XEU16" s="2"/>
      <c r="XEV16" s="2"/>
      <c r="XEW16" s="2"/>
      <c r="XEX16" s="2"/>
      <c r="XEY16" s="2"/>
      <c r="XEZ16" s="2"/>
      <c r="XFA16" s="2"/>
      <c r="XFB16" s="2"/>
      <c r="XFC16" s="2"/>
    </row>
    <row r="17" s="1" customFormat="true" ht="15" hidden="false" customHeight="false" outlineLevel="0" collapsed="false">
      <c r="A17" s="1" t="n">
        <v>15</v>
      </c>
      <c r="B17" s="2" t="s">
        <v>60</v>
      </c>
      <c r="C17" s="4" t="n">
        <v>10</v>
      </c>
      <c r="D17" s="4" t="n">
        <v>7</v>
      </c>
      <c r="E17" s="4"/>
      <c r="F17" s="4" t="n">
        <v>10</v>
      </c>
      <c r="G17" s="4"/>
      <c r="H17" s="4" t="n">
        <v>9</v>
      </c>
      <c r="I17" s="4"/>
      <c r="J17" s="2" t="n">
        <v>9</v>
      </c>
      <c r="K17" s="2"/>
      <c r="L17" s="2" t="n">
        <v>9</v>
      </c>
      <c r="M17" s="1" t="n">
        <v>9.22</v>
      </c>
      <c r="N17" s="4" t="n">
        <f aca="false">ROUND(AVERAGE(C17,D17,F17,H17,J17,L17,M16),0)</f>
        <v>9</v>
      </c>
      <c r="O17" s="4" t="str">
        <f aca="false">IF(N17&gt;6,"TEA",IF(N17&gt;3,"TEP","TED"))</f>
        <v>TEA</v>
      </c>
      <c r="Q17" s="1" t="n">
        <v>1</v>
      </c>
      <c r="S17" s="0" t="n">
        <v>8</v>
      </c>
      <c r="T17" s="0" t="n">
        <v>9</v>
      </c>
      <c r="XDM17" s="2"/>
      <c r="XDN17" s="2"/>
      <c r="XDO17" s="2"/>
      <c r="XDP17" s="2"/>
      <c r="XDQ17" s="2"/>
      <c r="XDR17" s="2"/>
      <c r="XDS17" s="2"/>
      <c r="XDT17" s="2"/>
      <c r="XDU17" s="2"/>
      <c r="XDV17" s="2"/>
      <c r="XDW17" s="2"/>
      <c r="XDX17" s="2"/>
      <c r="XDY17" s="2"/>
      <c r="XDZ17" s="2"/>
      <c r="XEA17" s="2"/>
      <c r="XEB17" s="2"/>
      <c r="XEC17" s="2"/>
      <c r="XED17" s="2"/>
      <c r="XEE17" s="2"/>
      <c r="XEF17" s="2"/>
      <c r="XEG17" s="2"/>
      <c r="XEH17" s="2"/>
      <c r="XEI17" s="2"/>
      <c r="XEJ17" s="2"/>
      <c r="XEK17" s="2"/>
      <c r="XEL17" s="2"/>
      <c r="XEM17" s="2"/>
      <c r="XEN17" s="2"/>
      <c r="XEO17" s="2"/>
      <c r="XEP17" s="2"/>
      <c r="XEQ17" s="2"/>
      <c r="XER17" s="2"/>
      <c r="XES17" s="2"/>
      <c r="XET17" s="2"/>
      <c r="XEU17" s="2"/>
      <c r="XEV17" s="2"/>
      <c r="XEW17" s="2"/>
      <c r="XEX17" s="2"/>
      <c r="XEY17" s="2"/>
      <c r="XEZ17" s="2"/>
      <c r="XFA17" s="2"/>
      <c r="XFB17" s="2"/>
      <c r="XFC17" s="2"/>
    </row>
    <row r="18" s="2" customFormat="true" ht="15" hidden="false" customHeight="false" outlineLevel="0" collapsed="false">
      <c r="A18" s="1" t="n">
        <v>16</v>
      </c>
      <c r="B18" s="2" t="s">
        <v>63</v>
      </c>
      <c r="C18" s="2" t="n">
        <v>5</v>
      </c>
      <c r="D18" s="4" t="n">
        <v>8</v>
      </c>
      <c r="F18" s="4" t="n">
        <v>3</v>
      </c>
      <c r="G18" s="3" t="n">
        <v>46220</v>
      </c>
      <c r="H18" s="2" t="n">
        <v>8</v>
      </c>
      <c r="J18" s="4" t="n">
        <v>1</v>
      </c>
      <c r="K18" s="4"/>
      <c r="L18" s="4" t="n">
        <v>3</v>
      </c>
      <c r="M18" s="1" t="n">
        <v>1</v>
      </c>
      <c r="N18" s="4" t="n">
        <f aca="false">ROUND(AVERAGE(C18,D18,F18,H18,J18,L18,M17),0)</f>
        <v>5</v>
      </c>
      <c r="O18" s="4" t="str">
        <f aca="false">IF(N18&gt;6,"TEA",IF(N18&gt;3,"TEP","TED"))</f>
        <v>TEP</v>
      </c>
      <c r="P18" s="1"/>
      <c r="Q18" s="1" t="n">
        <v>1</v>
      </c>
      <c r="R18" s="1"/>
      <c r="S18" s="0" t="n">
        <v>1</v>
      </c>
      <c r="T18" s="0" t="n">
        <v>6</v>
      </c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XDJ18" s="1"/>
      <c r="XDK18" s="1"/>
      <c r="XDL18" s="1"/>
      <c r="XDM18" s="1"/>
      <c r="XDN18" s="1"/>
      <c r="XDO18" s="1"/>
      <c r="XDP18" s="1"/>
      <c r="XDQ18" s="1"/>
      <c r="XDR18" s="1"/>
      <c r="XDS18" s="1"/>
      <c r="XDT18" s="1"/>
      <c r="XDU18" s="1"/>
      <c r="XDV18" s="1"/>
      <c r="XDW18" s="1"/>
      <c r="XDX18" s="1"/>
      <c r="XDY18" s="1"/>
      <c r="XDZ18" s="1"/>
      <c r="XEA18" s="1"/>
      <c r="XEB18" s="1"/>
      <c r="XEC18" s="1"/>
      <c r="XED18" s="1"/>
      <c r="XEE18" s="1"/>
      <c r="XEF18" s="1"/>
      <c r="XEG18" s="1"/>
      <c r="XEH18" s="1"/>
      <c r="XEI18" s="1"/>
      <c r="XEJ18" s="1"/>
      <c r="XEK18" s="1"/>
      <c r="XEL18" s="1"/>
      <c r="XEM18" s="1"/>
      <c r="XEN18" s="1"/>
      <c r="XEO18" s="1"/>
      <c r="XEP18" s="1"/>
      <c r="XEQ18" s="1"/>
      <c r="XER18" s="1"/>
      <c r="XES18" s="1"/>
      <c r="XET18" s="1"/>
      <c r="XEU18" s="1"/>
      <c r="XEV18" s="1"/>
      <c r="XEW18" s="1"/>
      <c r="XEX18" s="1"/>
      <c r="XEY18" s="1"/>
      <c r="XEZ18" s="1"/>
      <c r="XFA18" s="1"/>
      <c r="XFB18" s="1"/>
      <c r="XFC18" s="1"/>
      <c r="XFD18" s="1"/>
    </row>
    <row r="19" s="2" customFormat="true" ht="15" hidden="false" customHeight="false" outlineLevel="0" collapsed="false">
      <c r="A19" s="1" t="n">
        <v>17</v>
      </c>
      <c r="B19" s="2" t="s">
        <v>66</v>
      </c>
      <c r="C19" s="2" t="n">
        <v>7</v>
      </c>
      <c r="D19" s="4" t="n">
        <v>8</v>
      </c>
      <c r="F19" s="4" t="n">
        <v>9</v>
      </c>
      <c r="G19" s="4"/>
      <c r="H19" s="4" t="n">
        <v>7</v>
      </c>
      <c r="I19" s="4"/>
      <c r="J19" s="4" t="n">
        <v>10</v>
      </c>
      <c r="K19" s="4"/>
      <c r="L19" s="4" t="n">
        <v>6</v>
      </c>
      <c r="M19" s="1" t="n">
        <v>9.22</v>
      </c>
      <c r="N19" s="4" t="n">
        <f aca="false">ROUND(AVERAGE(C19,D19,F19,H19,J19,L19,M18),0)</f>
        <v>7</v>
      </c>
      <c r="O19" s="4" t="str">
        <f aca="false">IF(N19&gt;6,"TEA",IF(N19&gt;3,"TEP","TED"))</f>
        <v>TEA</v>
      </c>
      <c r="P19" s="1"/>
      <c r="Q19" s="1" t="n">
        <v>1</v>
      </c>
      <c r="R19" s="1"/>
      <c r="S19" s="0" t="n">
        <v>6</v>
      </c>
      <c r="T19" s="0" t="n">
        <v>8</v>
      </c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XDJ19" s="1"/>
      <c r="XDK19" s="1"/>
      <c r="XDL19" s="1"/>
      <c r="XDM19" s="1"/>
      <c r="XDN19" s="1"/>
      <c r="XDO19" s="1"/>
      <c r="XDP19" s="1"/>
      <c r="XDQ19" s="1"/>
      <c r="XDR19" s="1"/>
      <c r="XDS19" s="1"/>
      <c r="XDT19" s="1"/>
      <c r="XDU19" s="1"/>
      <c r="XDV19" s="1"/>
      <c r="XDW19" s="1"/>
      <c r="XDX19" s="1"/>
      <c r="XDY19" s="1"/>
      <c r="XDZ19" s="1"/>
      <c r="XEA19" s="1"/>
      <c r="XEB19" s="1"/>
      <c r="XEC19" s="1"/>
      <c r="XED19" s="1"/>
      <c r="XEE19" s="1"/>
      <c r="XEF19" s="1"/>
      <c r="XEG19" s="1"/>
      <c r="XEH19" s="1"/>
      <c r="XEI19" s="1"/>
      <c r="XEJ19" s="1"/>
      <c r="XEK19" s="1"/>
      <c r="XEL19" s="1"/>
      <c r="XEM19" s="1"/>
      <c r="XEN19" s="1"/>
      <c r="XEO19" s="1"/>
      <c r="XEP19" s="1"/>
      <c r="XEQ19" s="1"/>
      <c r="XER19" s="1"/>
      <c r="XES19" s="1"/>
      <c r="XET19" s="1"/>
      <c r="XEU19" s="1"/>
      <c r="XEV19" s="1"/>
      <c r="XEW19" s="1"/>
      <c r="XEX19" s="1"/>
      <c r="XEY19" s="1"/>
      <c r="XEZ19" s="1"/>
      <c r="XFA19" s="1"/>
      <c r="XFB19" s="1"/>
      <c r="XFC19" s="1"/>
      <c r="XFD19" s="1"/>
    </row>
    <row r="20" s="1" customFormat="true" ht="15" hidden="false" customHeight="false" outlineLevel="0" collapsed="false">
      <c r="A20" s="1" t="n">
        <v>18</v>
      </c>
      <c r="B20" s="2" t="s">
        <v>70</v>
      </c>
      <c r="C20" s="4" t="n">
        <v>10</v>
      </c>
      <c r="D20" s="4" t="n">
        <v>8</v>
      </c>
      <c r="E20" s="4"/>
      <c r="F20" s="4" t="n">
        <v>1</v>
      </c>
      <c r="G20" s="4"/>
      <c r="H20" s="4" t="n">
        <v>9</v>
      </c>
      <c r="I20" s="4"/>
      <c r="J20" s="4" t="n">
        <v>9</v>
      </c>
      <c r="K20" s="4"/>
      <c r="L20" s="4" t="n">
        <v>8</v>
      </c>
      <c r="M20" s="1" t="n">
        <v>8.04</v>
      </c>
      <c r="N20" s="4" t="n">
        <f aca="false">ROUND(AVERAGE(C20,D20,F20,H20,J20,L20,M19),0)</f>
        <v>8</v>
      </c>
      <c r="O20" s="4" t="str">
        <f aca="false">IF(N20&gt;6,"TEA",IF(N20&gt;3,"TEP","TED"))</f>
        <v>TEA</v>
      </c>
      <c r="Q20" s="1" t="n">
        <v>1</v>
      </c>
      <c r="S20" s="0" t="n">
        <v>9</v>
      </c>
      <c r="T20" s="0" t="n">
        <v>6</v>
      </c>
      <c r="XDM20" s="2"/>
      <c r="XDN20" s="2"/>
      <c r="XDO20" s="2"/>
      <c r="XDP20" s="2"/>
      <c r="XDQ20" s="2"/>
      <c r="XDR20" s="2"/>
      <c r="XDS20" s="2"/>
      <c r="XDT20" s="2"/>
      <c r="XDU20" s="2"/>
      <c r="XDV20" s="2"/>
      <c r="XDW20" s="2"/>
      <c r="XDX20" s="2"/>
      <c r="XDY20" s="2"/>
      <c r="XDZ20" s="2"/>
      <c r="XEA20" s="2"/>
      <c r="XEB20" s="2"/>
      <c r="XEC20" s="2"/>
      <c r="XED20" s="2"/>
      <c r="XEE20" s="2"/>
      <c r="XEF20" s="2"/>
      <c r="XEG20" s="2"/>
      <c r="XEH20" s="2"/>
      <c r="XEI20" s="2"/>
      <c r="XEJ20" s="2"/>
      <c r="XEK20" s="2"/>
      <c r="XEL20" s="2"/>
      <c r="XEM20" s="2"/>
      <c r="XEN20" s="2"/>
      <c r="XEO20" s="2"/>
      <c r="XEP20" s="2"/>
      <c r="XEQ20" s="2"/>
      <c r="XER20" s="2"/>
      <c r="XES20" s="2"/>
      <c r="XET20" s="2"/>
      <c r="XEU20" s="2"/>
      <c r="XEV20" s="2"/>
      <c r="XEW20" s="2"/>
      <c r="XEX20" s="2"/>
      <c r="XEY20" s="2"/>
      <c r="XEZ20" s="2"/>
      <c r="XFA20" s="2"/>
      <c r="XFB20" s="2"/>
      <c r="XFC20" s="2"/>
    </row>
    <row r="21" s="1" customFormat="true" ht="15" hidden="false" customHeight="false" outlineLevel="0" collapsed="false">
      <c r="A21" s="1" t="n">
        <v>19</v>
      </c>
      <c r="B21" s="2" t="s">
        <v>73</v>
      </c>
      <c r="C21" s="4" t="n">
        <v>10</v>
      </c>
      <c r="D21" s="4" t="n">
        <v>10</v>
      </c>
      <c r="E21" s="4"/>
      <c r="F21" s="4" t="n">
        <v>5</v>
      </c>
      <c r="G21" s="3" t="n">
        <v>46171</v>
      </c>
      <c r="H21" s="4" t="n">
        <v>8</v>
      </c>
      <c r="I21" s="4"/>
      <c r="J21" s="2" t="n">
        <v>9</v>
      </c>
      <c r="K21" s="2"/>
      <c r="L21" s="2" t="n">
        <v>9</v>
      </c>
      <c r="M21" s="1" t="n">
        <v>8.43</v>
      </c>
      <c r="N21" s="4" t="n">
        <f aca="false">ROUND(AVERAGE(C21,D21,F21,H21,J21,L21,M20),0)</f>
        <v>8</v>
      </c>
      <c r="O21" s="4" t="str">
        <f aca="false">IF(N21&gt;6,"TEA",IF(N21&gt;3,"TEP","TED"))</f>
        <v>TEA</v>
      </c>
      <c r="Q21" s="1" t="n">
        <v>1</v>
      </c>
      <c r="S21" s="0" t="n">
        <v>1</v>
      </c>
      <c r="T21" s="0" t="n">
        <v>1</v>
      </c>
    </row>
    <row r="22" s="2" customFormat="true" ht="15" hidden="false" customHeight="false" outlineLevel="0" collapsed="false">
      <c r="A22" s="1" t="n">
        <v>20</v>
      </c>
      <c r="B22" s="2" t="s">
        <v>76</v>
      </c>
      <c r="C22" s="4" t="n">
        <v>10</v>
      </c>
      <c r="D22" s="4" t="n">
        <v>8</v>
      </c>
      <c r="E22" s="3" t="n">
        <v>46171</v>
      </c>
      <c r="F22" s="4" t="n">
        <v>10</v>
      </c>
      <c r="G22" s="4"/>
      <c r="H22" s="4" t="n">
        <v>9</v>
      </c>
      <c r="I22" s="4"/>
      <c r="J22" s="4" t="n">
        <v>9</v>
      </c>
      <c r="K22" s="4"/>
      <c r="L22" s="4" t="n">
        <v>9</v>
      </c>
      <c r="M22" s="1" t="n">
        <v>8.82</v>
      </c>
      <c r="N22" s="4" t="n">
        <f aca="false">ROUND(AVERAGE(C22,D22,F22,H22,J22,L22,M21),0)</f>
        <v>9</v>
      </c>
      <c r="O22" s="4" t="str">
        <f aca="false">IF(N22&gt;6,"TEA",IF(N22&gt;3,"TEP","TED"))</f>
        <v>TEA</v>
      </c>
      <c r="P22" s="1"/>
      <c r="Q22" s="1"/>
      <c r="R22" s="1"/>
      <c r="S22" s="0" t="n">
        <v>8</v>
      </c>
      <c r="T22" s="0" t="n">
        <v>6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  <c r="XEM22" s="1"/>
      <c r="XEN22" s="1"/>
      <c r="XEO22" s="1"/>
      <c r="XEP22" s="1"/>
      <c r="XEQ22" s="1"/>
      <c r="XER22" s="1"/>
      <c r="XES22" s="1"/>
      <c r="XET22" s="1"/>
      <c r="XEU22" s="1"/>
      <c r="XEV22" s="1"/>
      <c r="XEW22" s="1"/>
      <c r="XEX22" s="1"/>
      <c r="XEY22" s="1"/>
      <c r="XEZ22" s="1"/>
      <c r="XFA22" s="1"/>
      <c r="XFB22" s="1"/>
      <c r="XFC22" s="1"/>
      <c r="XFD22" s="1"/>
    </row>
    <row r="23" s="1" customFormat="true" ht="15" hidden="false" customHeight="false" outlineLevel="0" collapsed="false">
      <c r="A23" s="1" t="n">
        <v>21</v>
      </c>
      <c r="B23" s="2" t="s">
        <v>79</v>
      </c>
      <c r="C23" s="2" t="n">
        <v>5</v>
      </c>
      <c r="D23" s="4" t="n">
        <v>5</v>
      </c>
      <c r="E23" s="2"/>
      <c r="F23" s="4" t="n">
        <v>8</v>
      </c>
      <c r="G23" s="4"/>
      <c r="H23" s="4" t="n">
        <v>4</v>
      </c>
      <c r="I23" s="3" t="n">
        <v>46171</v>
      </c>
      <c r="J23" s="4" t="n">
        <v>8</v>
      </c>
      <c r="K23" s="4"/>
      <c r="L23" s="4" t="n">
        <v>10</v>
      </c>
      <c r="M23" s="1" t="n">
        <v>6.86</v>
      </c>
      <c r="N23" s="4" t="n">
        <f aca="false">ROUND(AVERAGE(C23,D23,F23,H23,J23,L23,M22),0)</f>
        <v>7</v>
      </c>
      <c r="O23" s="4" t="str">
        <f aca="false">IF(N23&gt;6,"TEA",IF(N23&gt;3,"TEP","TED"))</f>
        <v>TEA</v>
      </c>
      <c r="Q23" s="1" t="n">
        <v>1</v>
      </c>
      <c r="S23" s="0" t="n">
        <v>1</v>
      </c>
      <c r="T23" s="0" t="n">
        <v>7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  <c r="LK23" s="2"/>
      <c r="LL23" s="2"/>
      <c r="LM23" s="2"/>
      <c r="LN23" s="2"/>
      <c r="LO23" s="2"/>
      <c r="LP23" s="2"/>
      <c r="LQ23" s="2"/>
      <c r="LR23" s="2"/>
      <c r="LS23" s="2"/>
      <c r="LT23" s="2"/>
      <c r="LU23" s="2"/>
      <c r="LV23" s="2"/>
      <c r="LW23" s="2"/>
      <c r="LX23" s="2"/>
      <c r="LY23" s="2"/>
      <c r="LZ23" s="2"/>
      <c r="MA23" s="2"/>
      <c r="MB23" s="2"/>
      <c r="MC23" s="2"/>
      <c r="MD23" s="2"/>
      <c r="ME23" s="2"/>
      <c r="MF23" s="2"/>
      <c r="MG23" s="2"/>
      <c r="MH23" s="2"/>
      <c r="MI23" s="2"/>
      <c r="MJ23" s="2"/>
      <c r="MK23" s="2"/>
      <c r="ML23" s="2"/>
      <c r="MM23" s="2"/>
      <c r="MN23" s="2"/>
      <c r="MO23" s="2"/>
      <c r="MP23" s="2"/>
      <c r="MQ23" s="2"/>
      <c r="MR23" s="2"/>
      <c r="MS23" s="2"/>
      <c r="MT23" s="2"/>
      <c r="MU23" s="2"/>
      <c r="MV23" s="2"/>
      <c r="MW23" s="2"/>
      <c r="MX23" s="2"/>
      <c r="MY23" s="2"/>
      <c r="MZ23" s="2"/>
      <c r="NA23" s="2"/>
      <c r="NB23" s="2"/>
      <c r="NC23" s="2"/>
      <c r="ND23" s="2"/>
      <c r="NE23" s="2"/>
      <c r="NF23" s="2"/>
      <c r="NG23" s="2"/>
      <c r="NH23" s="2"/>
      <c r="NI23" s="2"/>
      <c r="NJ23" s="2"/>
      <c r="NK23" s="2"/>
      <c r="NL23" s="2"/>
      <c r="NM23" s="2"/>
      <c r="NN23" s="2"/>
      <c r="NO23" s="2"/>
      <c r="NP23" s="2"/>
      <c r="NQ23" s="2"/>
      <c r="NR23" s="2"/>
      <c r="NS23" s="2"/>
      <c r="NT23" s="2"/>
      <c r="NU23" s="2"/>
      <c r="NV23" s="2"/>
      <c r="NW23" s="2"/>
      <c r="NX23" s="2"/>
      <c r="NY23" s="2"/>
      <c r="NZ23" s="2"/>
      <c r="OA23" s="2"/>
      <c r="OB23" s="2"/>
      <c r="OC23" s="2"/>
      <c r="OD23" s="2"/>
      <c r="OE23" s="2"/>
      <c r="OF23" s="2"/>
      <c r="OG23" s="2"/>
      <c r="OH23" s="2"/>
      <c r="OI23" s="2"/>
      <c r="OJ23" s="2"/>
      <c r="OK23" s="2"/>
      <c r="OL23" s="2"/>
      <c r="OM23" s="2"/>
      <c r="ON23" s="2"/>
      <c r="OO23" s="2"/>
      <c r="OP23" s="2"/>
      <c r="OQ23" s="2"/>
      <c r="OR23" s="2"/>
      <c r="OS23" s="2"/>
      <c r="OT23" s="2"/>
      <c r="OU23" s="2"/>
      <c r="OV23" s="2"/>
      <c r="OW23" s="2"/>
      <c r="OX23" s="2"/>
      <c r="OY23" s="2"/>
      <c r="OZ23" s="2"/>
      <c r="PA23" s="2"/>
      <c r="PB23" s="2"/>
      <c r="PC23" s="2"/>
      <c r="PD23" s="2"/>
      <c r="PE23" s="2"/>
      <c r="PF23" s="2"/>
      <c r="PG23" s="2"/>
      <c r="PH23" s="2"/>
      <c r="PI23" s="2"/>
      <c r="PJ23" s="2"/>
      <c r="PK23" s="2"/>
      <c r="PL23" s="2"/>
      <c r="PM23" s="2"/>
      <c r="PN23" s="2"/>
      <c r="PO23" s="2"/>
      <c r="PP23" s="2"/>
      <c r="PQ23" s="2"/>
      <c r="PR23" s="2"/>
      <c r="PS23" s="2"/>
      <c r="PT23" s="2"/>
      <c r="PU23" s="2"/>
      <c r="PV23" s="2"/>
      <c r="PW23" s="2"/>
      <c r="PX23" s="2"/>
      <c r="PY23" s="2"/>
      <c r="PZ23" s="2"/>
      <c r="QA23" s="2"/>
      <c r="QB23" s="2"/>
      <c r="QC23" s="2"/>
      <c r="QD23" s="2"/>
      <c r="QE23" s="2"/>
      <c r="QF23" s="2"/>
      <c r="QG23" s="2"/>
      <c r="QH23" s="2"/>
      <c r="QI23" s="2"/>
      <c r="QJ23" s="2"/>
      <c r="QK23" s="2"/>
      <c r="QL23" s="2"/>
      <c r="QM23" s="2"/>
      <c r="QN23" s="2"/>
      <c r="QO23" s="2"/>
      <c r="QP23" s="2"/>
      <c r="QQ23" s="2"/>
      <c r="QR23" s="2"/>
      <c r="QS23" s="2"/>
      <c r="QT23" s="2"/>
      <c r="QU23" s="2"/>
      <c r="QV23" s="2"/>
      <c r="QW23" s="2"/>
      <c r="QX23" s="2"/>
      <c r="QY23" s="2"/>
      <c r="QZ23" s="2"/>
      <c r="RA23" s="2"/>
      <c r="RB23" s="2"/>
      <c r="RC23" s="2"/>
      <c r="RD23" s="2"/>
      <c r="RE23" s="2"/>
      <c r="RF23" s="2"/>
      <c r="RG23" s="2"/>
      <c r="RH23" s="2"/>
      <c r="RI23" s="2"/>
      <c r="RJ23" s="2"/>
      <c r="RK23" s="2"/>
      <c r="RL23" s="2"/>
      <c r="RM23" s="2"/>
      <c r="RN23" s="2"/>
      <c r="RO23" s="2"/>
      <c r="RP23" s="2"/>
      <c r="RQ23" s="2"/>
      <c r="RR23" s="2"/>
      <c r="RS23" s="2"/>
      <c r="RT23" s="2"/>
      <c r="RU23" s="2"/>
      <c r="RV23" s="2"/>
      <c r="RW23" s="2"/>
      <c r="RX23" s="2"/>
      <c r="RY23" s="2"/>
      <c r="RZ23" s="2"/>
      <c r="SA23" s="2"/>
      <c r="SB23" s="2"/>
      <c r="SC23" s="2"/>
      <c r="SD23" s="2"/>
      <c r="SE23" s="2"/>
      <c r="SF23" s="2"/>
      <c r="SG23" s="2"/>
      <c r="SH23" s="2"/>
      <c r="SI23" s="2"/>
      <c r="SJ23" s="2"/>
      <c r="SK23" s="2"/>
      <c r="SL23" s="2"/>
      <c r="SM23" s="2"/>
      <c r="SN23" s="2"/>
      <c r="SO23" s="2"/>
      <c r="SP23" s="2"/>
      <c r="SQ23" s="2"/>
      <c r="SR23" s="2"/>
      <c r="SS23" s="2"/>
      <c r="ST23" s="2"/>
      <c r="SU23" s="2"/>
      <c r="SV23" s="2"/>
      <c r="SW23" s="2"/>
      <c r="SX23" s="2"/>
      <c r="SY23" s="2"/>
      <c r="SZ23" s="2"/>
      <c r="TA23" s="2"/>
      <c r="TB23" s="2"/>
      <c r="TC23" s="2"/>
      <c r="TD23" s="2"/>
      <c r="TE23" s="2"/>
      <c r="TF23" s="2"/>
      <c r="TG23" s="2"/>
      <c r="TH23" s="2"/>
      <c r="TI23" s="2"/>
      <c r="TJ23" s="2"/>
      <c r="TK23" s="2"/>
      <c r="TL23" s="2"/>
      <c r="TM23" s="2"/>
      <c r="TN23" s="2"/>
      <c r="TO23" s="2"/>
      <c r="TP23" s="2"/>
      <c r="TQ23" s="2"/>
      <c r="TR23" s="2"/>
      <c r="TS23" s="2"/>
      <c r="TT23" s="2"/>
      <c r="TU23" s="2"/>
      <c r="TV23" s="2"/>
      <c r="TW23" s="2"/>
      <c r="TX23" s="2"/>
      <c r="TY23" s="2"/>
      <c r="TZ23" s="2"/>
      <c r="UA23" s="2"/>
      <c r="UB23" s="2"/>
      <c r="UC23" s="2"/>
      <c r="UD23" s="2"/>
      <c r="UE23" s="2"/>
      <c r="UF23" s="2"/>
      <c r="UG23" s="2"/>
      <c r="UH23" s="2"/>
      <c r="UI23" s="2"/>
      <c r="UJ23" s="2"/>
      <c r="UK23" s="2"/>
      <c r="UL23" s="2"/>
      <c r="UM23" s="2"/>
      <c r="UN23" s="2"/>
      <c r="UO23" s="2"/>
      <c r="UP23" s="2"/>
      <c r="UQ23" s="2"/>
      <c r="UR23" s="2"/>
      <c r="US23" s="2"/>
      <c r="UT23" s="2"/>
      <c r="UU23" s="2"/>
      <c r="UV23" s="2"/>
      <c r="UW23" s="2"/>
      <c r="UX23" s="2"/>
      <c r="UY23" s="2"/>
      <c r="UZ23" s="2"/>
      <c r="VA23" s="2"/>
      <c r="VB23" s="2"/>
      <c r="VC23" s="2"/>
      <c r="VD23" s="2"/>
      <c r="VE23" s="2"/>
      <c r="VF23" s="2"/>
      <c r="VG23" s="2"/>
      <c r="VH23" s="2"/>
      <c r="VI23" s="2"/>
      <c r="VJ23" s="2"/>
      <c r="VK23" s="2"/>
      <c r="VL23" s="2"/>
      <c r="VM23" s="2"/>
      <c r="VN23" s="2"/>
      <c r="VO23" s="2"/>
      <c r="VP23" s="2"/>
      <c r="VQ23" s="2"/>
      <c r="VR23" s="2"/>
      <c r="VS23" s="2"/>
      <c r="VT23" s="2"/>
      <c r="VU23" s="2"/>
      <c r="VV23" s="2"/>
      <c r="VW23" s="2"/>
      <c r="VX23" s="2"/>
      <c r="VY23" s="2"/>
      <c r="VZ23" s="2"/>
      <c r="WA23" s="2"/>
      <c r="WB23" s="2"/>
      <c r="WC23" s="2"/>
      <c r="WD23" s="2"/>
      <c r="WE23" s="2"/>
      <c r="WF23" s="2"/>
      <c r="WG23" s="2"/>
      <c r="WH23" s="2"/>
      <c r="WI23" s="2"/>
      <c r="WJ23" s="2"/>
      <c r="WK23" s="2"/>
      <c r="WL23" s="2"/>
      <c r="WM23" s="2"/>
      <c r="WN23" s="2"/>
      <c r="WO23" s="2"/>
      <c r="WP23" s="2"/>
      <c r="WQ23" s="2"/>
      <c r="WR23" s="2"/>
      <c r="WS23" s="2"/>
      <c r="WT23" s="2"/>
      <c r="WU23" s="2"/>
      <c r="WV23" s="2"/>
      <c r="WW23" s="2"/>
      <c r="WX23" s="2"/>
      <c r="WY23" s="2"/>
      <c r="WZ23" s="2"/>
      <c r="XA23" s="2"/>
      <c r="XB23" s="2"/>
      <c r="XC23" s="2"/>
      <c r="XD23" s="2"/>
      <c r="XE23" s="2"/>
      <c r="XF23" s="2"/>
      <c r="XG23" s="2"/>
      <c r="XH23" s="2"/>
      <c r="XI23" s="2"/>
      <c r="XJ23" s="2"/>
      <c r="XK23" s="2"/>
      <c r="XL23" s="2"/>
      <c r="XM23" s="2"/>
      <c r="XN23" s="2"/>
      <c r="XO23" s="2"/>
      <c r="XP23" s="2"/>
      <c r="XQ23" s="2"/>
      <c r="XR23" s="2"/>
      <c r="XS23" s="2"/>
      <c r="XT23" s="2"/>
      <c r="XU23" s="2"/>
      <c r="XV23" s="2"/>
      <c r="XW23" s="2"/>
      <c r="XX23" s="2"/>
      <c r="XY23" s="2"/>
      <c r="XZ23" s="2"/>
      <c r="YA23" s="2"/>
      <c r="YB23" s="2"/>
      <c r="YC23" s="2"/>
      <c r="YD23" s="2"/>
      <c r="YE23" s="2"/>
      <c r="YF23" s="2"/>
      <c r="YG23" s="2"/>
      <c r="YH23" s="2"/>
      <c r="YI23" s="2"/>
      <c r="YJ23" s="2"/>
      <c r="YK23" s="2"/>
      <c r="YL23" s="2"/>
      <c r="YM23" s="2"/>
      <c r="YN23" s="2"/>
      <c r="YO23" s="2"/>
      <c r="YP23" s="2"/>
      <c r="YQ23" s="2"/>
      <c r="YR23" s="2"/>
      <c r="YS23" s="2"/>
      <c r="YT23" s="2"/>
      <c r="YU23" s="2"/>
      <c r="YV23" s="2"/>
      <c r="YW23" s="2"/>
      <c r="YX23" s="2"/>
      <c r="YY23" s="2"/>
      <c r="YZ23" s="2"/>
      <c r="ZA23" s="2"/>
      <c r="ZB23" s="2"/>
      <c r="ZC23" s="2"/>
      <c r="ZD23" s="2"/>
      <c r="ZE23" s="2"/>
      <c r="ZF23" s="2"/>
      <c r="ZG23" s="2"/>
      <c r="ZH23" s="2"/>
      <c r="ZI23" s="2"/>
      <c r="ZJ23" s="2"/>
      <c r="ZK23" s="2"/>
      <c r="ZL23" s="2"/>
      <c r="ZM23" s="2"/>
      <c r="ZN23" s="2"/>
      <c r="ZO23" s="2"/>
      <c r="ZP23" s="2"/>
      <c r="ZQ23" s="2"/>
      <c r="ZR23" s="2"/>
      <c r="ZS23" s="2"/>
      <c r="ZT23" s="2"/>
      <c r="ZU23" s="2"/>
      <c r="ZV23" s="2"/>
      <c r="ZW23" s="2"/>
      <c r="ZX23" s="2"/>
      <c r="ZY23" s="2"/>
      <c r="ZZ23" s="2"/>
      <c r="AAA23" s="2"/>
      <c r="AAB23" s="2"/>
      <c r="AAC23" s="2"/>
      <c r="AAD23" s="2"/>
      <c r="AAE23" s="2"/>
      <c r="AAF23" s="2"/>
      <c r="AAG23" s="2"/>
      <c r="AAH23" s="2"/>
      <c r="AAI23" s="2"/>
      <c r="AAJ23" s="2"/>
      <c r="AAK23" s="2"/>
      <c r="AAL23" s="2"/>
      <c r="AAM23" s="2"/>
      <c r="AAN23" s="2"/>
      <c r="AAO23" s="2"/>
      <c r="AAP23" s="2"/>
      <c r="AAQ23" s="2"/>
      <c r="AAR23" s="2"/>
      <c r="AAS23" s="2"/>
      <c r="AAT23" s="2"/>
      <c r="AAU23" s="2"/>
      <c r="AAV23" s="2"/>
      <c r="AAW23" s="2"/>
      <c r="AAX23" s="2"/>
      <c r="AAY23" s="2"/>
      <c r="AAZ23" s="2"/>
      <c r="ABA23" s="2"/>
      <c r="ABB23" s="2"/>
      <c r="ABC23" s="2"/>
      <c r="ABD23" s="2"/>
      <c r="ABE23" s="2"/>
      <c r="ABF23" s="2"/>
      <c r="ABG23" s="2"/>
      <c r="ABH23" s="2"/>
      <c r="ABI23" s="2"/>
      <c r="ABJ23" s="2"/>
      <c r="ABK23" s="2"/>
      <c r="ABL23" s="2"/>
      <c r="ABM23" s="2"/>
      <c r="ABN23" s="2"/>
      <c r="ABO23" s="2"/>
      <c r="ABP23" s="2"/>
      <c r="ABQ23" s="2"/>
      <c r="ABR23" s="2"/>
      <c r="ABS23" s="2"/>
      <c r="ABT23" s="2"/>
      <c r="ABU23" s="2"/>
      <c r="ABV23" s="2"/>
      <c r="ABW23" s="2"/>
      <c r="ABX23" s="2"/>
      <c r="ABY23" s="2"/>
      <c r="ABZ23" s="2"/>
      <c r="ACA23" s="2"/>
      <c r="ACB23" s="2"/>
      <c r="ACC23" s="2"/>
      <c r="ACD23" s="2"/>
      <c r="ACE23" s="2"/>
      <c r="ACF23" s="2"/>
      <c r="ACG23" s="2"/>
      <c r="ACH23" s="2"/>
      <c r="ACI23" s="2"/>
      <c r="ACJ23" s="2"/>
      <c r="ACK23" s="2"/>
      <c r="ACL23" s="2"/>
      <c r="ACM23" s="2"/>
      <c r="ACN23" s="2"/>
      <c r="ACO23" s="2"/>
      <c r="ACP23" s="2"/>
      <c r="ACQ23" s="2"/>
      <c r="ACR23" s="2"/>
      <c r="ACS23" s="2"/>
      <c r="ACT23" s="2"/>
      <c r="ACU23" s="2"/>
      <c r="ACV23" s="2"/>
      <c r="ACW23" s="2"/>
      <c r="ACX23" s="2"/>
      <c r="ACY23" s="2"/>
      <c r="ACZ23" s="2"/>
      <c r="ADA23" s="2"/>
      <c r="ADB23" s="2"/>
      <c r="ADC23" s="2"/>
      <c r="ADD23" s="2"/>
      <c r="ADE23" s="2"/>
      <c r="ADF23" s="2"/>
      <c r="ADG23" s="2"/>
      <c r="ADH23" s="2"/>
      <c r="ADI23" s="2"/>
      <c r="ADJ23" s="2"/>
      <c r="ADK23" s="2"/>
      <c r="ADL23" s="2"/>
      <c r="ADM23" s="2"/>
      <c r="ADN23" s="2"/>
      <c r="ADO23" s="2"/>
      <c r="ADP23" s="2"/>
      <c r="ADQ23" s="2"/>
      <c r="ADR23" s="2"/>
      <c r="ADS23" s="2"/>
      <c r="ADT23" s="2"/>
      <c r="ADU23" s="2"/>
      <c r="ADV23" s="2"/>
      <c r="ADW23" s="2"/>
      <c r="ADX23" s="2"/>
      <c r="ADY23" s="2"/>
      <c r="ADZ23" s="2"/>
      <c r="AEA23" s="2"/>
      <c r="AEB23" s="2"/>
      <c r="AEC23" s="2"/>
      <c r="AED23" s="2"/>
      <c r="AEE23" s="2"/>
      <c r="AEF23" s="2"/>
      <c r="AEG23" s="2"/>
      <c r="AEH23" s="2"/>
      <c r="AEI23" s="2"/>
      <c r="AEJ23" s="2"/>
      <c r="AEK23" s="2"/>
      <c r="AEL23" s="2"/>
      <c r="AEM23" s="2"/>
      <c r="AEN23" s="2"/>
      <c r="AEO23" s="2"/>
      <c r="AEP23" s="2"/>
      <c r="AEQ23" s="2"/>
      <c r="AER23" s="2"/>
      <c r="AES23" s="2"/>
      <c r="AET23" s="2"/>
      <c r="AEU23" s="2"/>
      <c r="AEV23" s="2"/>
      <c r="AEW23" s="2"/>
      <c r="AEX23" s="2"/>
      <c r="AEY23" s="2"/>
      <c r="AEZ23" s="2"/>
      <c r="AFA23" s="2"/>
      <c r="AFB23" s="2"/>
      <c r="AFC23" s="2"/>
      <c r="AFD23" s="2"/>
      <c r="AFE23" s="2"/>
      <c r="AFF23" s="2"/>
      <c r="AFG23" s="2"/>
      <c r="AFH23" s="2"/>
      <c r="AFI23" s="2"/>
      <c r="AFJ23" s="2"/>
      <c r="AFK23" s="2"/>
      <c r="AFL23" s="2"/>
      <c r="AFM23" s="2"/>
      <c r="AFN23" s="2"/>
      <c r="AFO23" s="2"/>
      <c r="AFP23" s="2"/>
      <c r="AFQ23" s="2"/>
      <c r="AFR23" s="2"/>
      <c r="AFS23" s="2"/>
      <c r="AFT23" s="2"/>
      <c r="AFU23" s="2"/>
      <c r="AFV23" s="2"/>
      <c r="AFW23" s="2"/>
      <c r="AFX23" s="2"/>
      <c r="AFY23" s="2"/>
      <c r="AFZ23" s="2"/>
      <c r="AGA23" s="2"/>
      <c r="AGB23" s="2"/>
      <c r="AGC23" s="2"/>
      <c r="AGD23" s="2"/>
      <c r="AGE23" s="2"/>
      <c r="AGF23" s="2"/>
      <c r="AGG23" s="2"/>
      <c r="AGH23" s="2"/>
      <c r="AGI23" s="2"/>
      <c r="AGJ23" s="2"/>
      <c r="AGK23" s="2"/>
      <c r="AGL23" s="2"/>
      <c r="AGM23" s="2"/>
      <c r="AGN23" s="2"/>
      <c r="AGO23" s="2"/>
      <c r="AGP23" s="2"/>
      <c r="AGQ23" s="2"/>
      <c r="AGR23" s="2"/>
      <c r="AGS23" s="2"/>
      <c r="AGT23" s="2"/>
      <c r="AGU23" s="2"/>
      <c r="AGV23" s="2"/>
      <c r="AGW23" s="2"/>
      <c r="AGX23" s="2"/>
      <c r="AGY23" s="2"/>
      <c r="AGZ23" s="2"/>
      <c r="AHA23" s="2"/>
      <c r="AHB23" s="2"/>
      <c r="AHC23" s="2"/>
      <c r="AHD23" s="2"/>
      <c r="AHE23" s="2"/>
      <c r="AHF23" s="2"/>
      <c r="AHG23" s="2"/>
      <c r="AHH23" s="2"/>
      <c r="AHI23" s="2"/>
      <c r="AHJ23" s="2"/>
      <c r="AHK23" s="2"/>
      <c r="AHL23" s="2"/>
      <c r="AHM23" s="2"/>
      <c r="AHN23" s="2"/>
      <c r="AHO23" s="2"/>
      <c r="AHP23" s="2"/>
      <c r="AHQ23" s="2"/>
      <c r="AHR23" s="2"/>
      <c r="AHS23" s="2"/>
      <c r="AHT23" s="2"/>
      <c r="AHU23" s="2"/>
      <c r="AHV23" s="2"/>
      <c r="AHW23" s="2"/>
      <c r="AHX23" s="2"/>
      <c r="AHY23" s="2"/>
      <c r="AHZ23" s="2"/>
      <c r="AIA23" s="2"/>
      <c r="AIB23" s="2"/>
      <c r="AIC23" s="2"/>
      <c r="AID23" s="2"/>
      <c r="AIE23" s="2"/>
      <c r="AIF23" s="2"/>
      <c r="AIG23" s="2"/>
      <c r="AIH23" s="2"/>
      <c r="AII23" s="2"/>
      <c r="AIJ23" s="2"/>
      <c r="AIK23" s="2"/>
      <c r="AIL23" s="2"/>
      <c r="AIM23" s="2"/>
      <c r="AIN23" s="2"/>
      <c r="AIO23" s="2"/>
      <c r="AIP23" s="2"/>
      <c r="AIQ23" s="2"/>
      <c r="AIR23" s="2"/>
      <c r="AIS23" s="2"/>
      <c r="AIT23" s="2"/>
      <c r="AIU23" s="2"/>
      <c r="AIV23" s="2"/>
      <c r="AIW23" s="2"/>
      <c r="AIX23" s="2"/>
      <c r="AIY23" s="2"/>
      <c r="AIZ23" s="2"/>
      <c r="AJA23" s="2"/>
      <c r="AJB23" s="2"/>
      <c r="AJC23" s="2"/>
      <c r="AJD23" s="2"/>
      <c r="AJE23" s="2"/>
      <c r="AJF23" s="2"/>
      <c r="AJG23" s="2"/>
      <c r="AJH23" s="2"/>
      <c r="AJI23" s="2"/>
      <c r="AJJ23" s="2"/>
      <c r="AJK23" s="2"/>
      <c r="AJL23" s="2"/>
      <c r="AJM23" s="2"/>
      <c r="AJN23" s="2"/>
      <c r="AJO23" s="2"/>
      <c r="AJP23" s="2"/>
      <c r="AJQ23" s="2"/>
      <c r="AJR23" s="2"/>
      <c r="AJS23" s="2"/>
      <c r="AJT23" s="2"/>
      <c r="AJU23" s="2"/>
      <c r="AJV23" s="2"/>
      <c r="AJW23" s="2"/>
      <c r="AJX23" s="2"/>
      <c r="AJY23" s="2"/>
      <c r="AJZ23" s="2"/>
      <c r="AKA23" s="2"/>
      <c r="AKB23" s="2"/>
      <c r="AKC23" s="2"/>
      <c r="AKD23" s="2"/>
      <c r="AKE23" s="2"/>
      <c r="AKF23" s="2"/>
      <c r="AKG23" s="2"/>
      <c r="AKH23" s="2"/>
      <c r="AKI23" s="2"/>
      <c r="AKJ23" s="2"/>
      <c r="AKK23" s="2"/>
      <c r="AKL23" s="2"/>
      <c r="AKM23" s="2"/>
      <c r="AKN23" s="2"/>
      <c r="AKO23" s="2"/>
      <c r="AKP23" s="2"/>
      <c r="AKQ23" s="2"/>
    </row>
  </sheetData>
  <conditionalFormatting sqref="N3:O23 C3:L23">
    <cfRule type="cellIs" priority="2" operator="greaterThan" aboveAverage="0" equalAverage="0" bottom="0" percent="0" rank="0" text="" dxfId="0">
      <formula>6</formula>
    </cfRule>
    <cfRule type="cellIs" priority="3" operator="between" aboveAverage="0" equalAverage="0" bottom="0" percent="0" rank="0" text="" dxfId="1">
      <formula>4</formula>
      <formula>6</formula>
    </cfRule>
    <cfRule type="cellIs" priority="4" operator="lessThan" aboveAverage="0" equalAverage="0" bottom="0" percent="0" rank="0" text="" dxfId="2">
      <formula>4</formula>
    </cfRule>
    <cfRule type="cellIs" priority="5" operator="equal" aboveAverage="0" equalAverage="0" bottom="0" percent="0" rank="0" text="" dxfId="0">
      <formula>"TEA"</formula>
    </cfRule>
    <cfRule type="cellIs" priority="6" operator="equal" aboveAverage="0" equalAverage="0" bottom="0" percent="0" rank="0" text="" dxfId="1">
      <formula>"TEP"</formula>
    </cfRule>
    <cfRule type="cellIs" priority="7" operator="equal" aboveAverage="0" equalAverage="0" bottom="0" percent="0" rank="0" text="" dxfId="2">
      <formula>"TED"</formula>
    </cfRule>
  </conditionalFormatting>
  <conditionalFormatting sqref="M3:M23">
    <cfRule type="cellIs" priority="8" operator="greaterThan" aboveAverage="0" equalAverage="0" bottom="0" percent="0" rank="0" text="" dxfId="0">
      <formula>6</formula>
    </cfRule>
    <cfRule type="cellIs" priority="9" operator="between" aboveAverage="0" equalAverage="0" bottom="0" percent="0" rank="0" text="" dxfId="1">
      <formula>4</formula>
      <formula>6</formula>
    </cfRule>
    <cfRule type="cellIs" priority="10" operator="lessThan" aboveAverage="0" equalAverage="0" bottom="0" percent="0" rank="0" text="" dxfId="2">
      <formula>4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58203125" defaultRowHeight="15" zeroHeight="false" outlineLevelRow="0" outlineLevelCol="0"/>
  <cols>
    <col collapsed="false" customWidth="true" hidden="false" outlineLevel="0" max="1" min="1" style="1" width="4.2"/>
    <col collapsed="false" customWidth="true" hidden="false" outlineLevel="0" max="2" min="2" style="1" width="20.07"/>
    <col collapsed="false" customWidth="true" hidden="false" outlineLevel="0" max="16384" min="16360" style="1" width="10.58"/>
  </cols>
  <sheetData>
    <row r="1" customFormat="false" ht="15" hidden="false" customHeight="false" outlineLevel="0" collapsed="false">
      <c r="A1" s="1" t="s">
        <v>0</v>
      </c>
      <c r="B1" s="2" t="s">
        <v>2</v>
      </c>
      <c r="C1" s="3" t="n">
        <v>46097</v>
      </c>
      <c r="D1" s="3" t="n">
        <v>46108</v>
      </c>
      <c r="E1" s="3" t="n">
        <v>46111</v>
      </c>
      <c r="F1" s="3" t="n">
        <v>46118</v>
      </c>
      <c r="G1" s="3" t="n">
        <v>46122</v>
      </c>
      <c r="H1" s="3" t="n">
        <v>46125</v>
      </c>
      <c r="I1" s="3" t="n">
        <v>46129</v>
      </c>
      <c r="J1" s="3" t="n">
        <v>46132</v>
      </c>
      <c r="K1" s="3" t="n">
        <v>46136</v>
      </c>
      <c r="L1" s="3" t="n">
        <v>46139</v>
      </c>
      <c r="M1" s="3" t="n">
        <v>46146</v>
      </c>
      <c r="N1" s="3" t="n">
        <v>46150</v>
      </c>
      <c r="O1" s="3" t="n">
        <v>46157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</row>
    <row r="2" customFormat="false" ht="15" hidden="false" customHeight="false" outlineLevel="0" collapsed="false">
      <c r="A2" s="1" t="n">
        <v>1</v>
      </c>
      <c r="B2" s="2" t="s">
        <v>11</v>
      </c>
      <c r="C2" s="2" t="s">
        <v>101</v>
      </c>
      <c r="D2" s="2" t="s">
        <v>101</v>
      </c>
      <c r="E2" s="1" t="s">
        <v>101</v>
      </c>
      <c r="F2" s="2" t="s">
        <v>101</v>
      </c>
      <c r="G2" s="2" t="s">
        <v>101</v>
      </c>
      <c r="H2" s="2" t="s">
        <v>101</v>
      </c>
      <c r="I2" s="2" t="s">
        <v>101</v>
      </c>
      <c r="J2" s="2" t="s">
        <v>101</v>
      </c>
      <c r="K2" s="2" t="s">
        <v>101</v>
      </c>
      <c r="L2" s="2" t="s">
        <v>101</v>
      </c>
      <c r="M2" s="2" t="s">
        <v>101</v>
      </c>
      <c r="N2" s="2" t="s">
        <v>101</v>
      </c>
      <c r="O2" s="2" t="s">
        <v>101</v>
      </c>
    </row>
    <row r="3" customFormat="false" ht="15" hidden="false" customHeight="false" outlineLevel="0" collapsed="false">
      <c r="A3" s="1" t="n">
        <v>2</v>
      </c>
      <c r="B3" s="2" t="s">
        <v>16</v>
      </c>
      <c r="C3" s="1"/>
      <c r="E3" s="1"/>
      <c r="F3" s="2"/>
    </row>
    <row r="4" customFormat="false" ht="15" hidden="false" customHeight="false" outlineLevel="0" collapsed="false">
      <c r="A4" s="1" t="n">
        <v>3</v>
      </c>
      <c r="B4" s="2" t="s">
        <v>20</v>
      </c>
      <c r="F4" s="2"/>
    </row>
    <row r="5" customFormat="false" ht="15" hidden="false" customHeight="false" outlineLevel="0" collapsed="false">
      <c r="A5" s="1" t="n">
        <v>4</v>
      </c>
      <c r="B5" s="2" t="s">
        <v>23</v>
      </c>
      <c r="E5" s="1"/>
      <c r="F5" s="2"/>
    </row>
    <row r="6" customFormat="false" ht="15" hidden="false" customHeight="false" outlineLevel="0" collapsed="false">
      <c r="A6" s="1" t="n">
        <v>5</v>
      </c>
      <c r="B6" s="2" t="s">
        <v>26</v>
      </c>
      <c r="C6" s="1"/>
      <c r="F6" s="2"/>
    </row>
    <row r="7" customFormat="false" ht="15" hidden="false" customHeight="false" outlineLevel="0" collapsed="false">
      <c r="A7" s="1" t="n">
        <v>6</v>
      </c>
      <c r="B7" s="2" t="s">
        <v>31</v>
      </c>
      <c r="C7" s="1"/>
      <c r="F7" s="2"/>
    </row>
    <row r="8" customFormat="false" ht="15" hidden="false" customHeight="false" outlineLevel="0" collapsed="false">
      <c r="A8" s="1" t="n">
        <v>7</v>
      </c>
      <c r="B8" s="2" t="s">
        <v>34</v>
      </c>
      <c r="C8" s="1"/>
      <c r="F8" s="2"/>
    </row>
    <row r="9" customFormat="false" ht="15" hidden="false" customHeight="false" outlineLevel="0" collapsed="false">
      <c r="A9" s="1" t="n">
        <v>8</v>
      </c>
      <c r="B9" s="2" t="s">
        <v>37</v>
      </c>
      <c r="C9" s="1"/>
      <c r="E9" s="1"/>
      <c r="F9" s="2"/>
    </row>
    <row r="10" customFormat="false" ht="15" hidden="false" customHeight="false" outlineLevel="0" collapsed="false">
      <c r="A10" s="1" t="n">
        <v>9</v>
      </c>
      <c r="B10" s="2" t="s">
        <v>41</v>
      </c>
      <c r="F10" s="2"/>
    </row>
    <row r="11" customFormat="false" ht="15" hidden="false" customHeight="false" outlineLevel="0" collapsed="false">
      <c r="A11" s="1" t="n">
        <v>10</v>
      </c>
      <c r="B11" s="2" t="s">
        <v>44</v>
      </c>
      <c r="F11" s="2"/>
    </row>
    <row r="12" customFormat="false" ht="15" hidden="false" customHeight="false" outlineLevel="0" collapsed="false">
      <c r="A12" s="1" t="n">
        <v>11</v>
      </c>
      <c r="B12" s="2" t="s">
        <v>47</v>
      </c>
      <c r="C12" s="1"/>
      <c r="E12" s="1"/>
      <c r="F12" s="2"/>
    </row>
    <row r="13" customFormat="false" ht="15" hidden="false" customHeight="false" outlineLevel="0" collapsed="false">
      <c r="A13" s="1" t="n">
        <v>12</v>
      </c>
      <c r="B13" s="2" t="s">
        <v>50</v>
      </c>
      <c r="F13" s="2"/>
    </row>
    <row r="14" customFormat="false" ht="15" hidden="false" customHeight="false" outlineLevel="0" collapsed="false">
      <c r="A14" s="1" t="n">
        <v>13</v>
      </c>
      <c r="B14" s="2" t="s">
        <v>53</v>
      </c>
      <c r="C14" s="1"/>
      <c r="E14" s="1"/>
      <c r="F14" s="2"/>
    </row>
    <row r="15" customFormat="false" ht="15" hidden="false" customHeight="false" outlineLevel="0" collapsed="false">
      <c r="A15" s="1" t="n">
        <v>14</v>
      </c>
      <c r="B15" s="2" t="s">
        <v>56</v>
      </c>
      <c r="C15" s="1"/>
      <c r="E15" s="1"/>
      <c r="F15" s="2"/>
    </row>
    <row r="16" customFormat="false" ht="15" hidden="false" customHeight="false" outlineLevel="0" collapsed="false">
      <c r="A16" s="1" t="n">
        <v>15</v>
      </c>
      <c r="B16" s="2" t="s">
        <v>60</v>
      </c>
      <c r="C16" s="1"/>
      <c r="F16" s="2"/>
    </row>
    <row r="17" customFormat="false" ht="15" hidden="false" customHeight="false" outlineLevel="0" collapsed="false">
      <c r="A17" s="1" t="n">
        <v>16</v>
      </c>
      <c r="B17" s="2" t="s">
        <v>63</v>
      </c>
      <c r="F17" s="2"/>
    </row>
    <row r="18" customFormat="false" ht="15" hidden="false" customHeight="false" outlineLevel="0" collapsed="false">
      <c r="A18" s="1" t="n">
        <v>17</v>
      </c>
      <c r="B18" s="2" t="s">
        <v>66</v>
      </c>
      <c r="E18" s="1"/>
      <c r="F18" s="2"/>
    </row>
    <row r="19" customFormat="false" ht="15" hidden="false" customHeight="false" outlineLevel="0" collapsed="false">
      <c r="A19" s="1" t="n">
        <v>18</v>
      </c>
      <c r="B19" s="2" t="s">
        <v>70</v>
      </c>
      <c r="E19" s="1"/>
      <c r="F19" s="2"/>
    </row>
    <row r="20" customFormat="false" ht="15" hidden="false" customHeight="false" outlineLevel="0" collapsed="false">
      <c r="A20" s="1" t="n">
        <v>19</v>
      </c>
      <c r="B20" s="2" t="s">
        <v>73</v>
      </c>
      <c r="F20" s="2"/>
    </row>
    <row r="21" customFormat="false" ht="15" hidden="false" customHeight="false" outlineLevel="0" collapsed="false">
      <c r="A21" s="1" t="n">
        <v>20</v>
      </c>
      <c r="B21" s="2" t="s">
        <v>76</v>
      </c>
      <c r="E21" s="1"/>
      <c r="F21" s="2"/>
    </row>
    <row r="22" customFormat="false" ht="15" hidden="false" customHeight="false" outlineLevel="0" collapsed="false">
      <c r="A22" s="1" t="n">
        <v>21</v>
      </c>
      <c r="B22" s="2" t="s">
        <v>79</v>
      </c>
      <c r="E22" s="1"/>
      <c r="F22" s="2"/>
    </row>
    <row r="23" customFormat="false" ht="15" hidden="false" customHeight="false" outlineLevel="0" collapsed="false">
      <c r="A23" s="1" t="n">
        <v>22</v>
      </c>
      <c r="B23" s="2" t="s">
        <v>79</v>
      </c>
      <c r="F23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34" colorId="64" zoomScale="100" zoomScaleNormal="100" zoomScalePageLayoutView="100" workbookViewId="0">
      <selection pane="topLeft" activeCell="G45" activeCellId="0" sqref="G45"/>
    </sheetView>
  </sheetViews>
  <sheetFormatPr defaultColWidth="10.58203125" defaultRowHeight="12.8" zeroHeight="false" outlineLevelRow="0" outlineLevelCol="0"/>
  <cols>
    <col collapsed="false" customWidth="true" hidden="false" outlineLevel="0" max="3" min="2" style="1" width="19.94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102</v>
      </c>
      <c r="E1" s="1" t="s">
        <v>103</v>
      </c>
      <c r="F1" s="1" t="s">
        <v>104</v>
      </c>
      <c r="G1" s="1" t="s">
        <v>105</v>
      </c>
    </row>
    <row r="2" customFormat="false" ht="15" hidden="false" customHeight="false" outlineLevel="0" collapsed="false">
      <c r="A2" s="1" t="n">
        <v>1</v>
      </c>
      <c r="B2" s="2" t="s">
        <v>11</v>
      </c>
      <c r="C2" s="1" t="s">
        <v>11</v>
      </c>
      <c r="D2" s="1" t="n">
        <v>9</v>
      </c>
      <c r="G2" s="1" t="n">
        <v>9</v>
      </c>
    </row>
    <row r="3" customFormat="false" ht="15" hidden="false" customHeight="false" outlineLevel="0" collapsed="false">
      <c r="A3" s="1" t="n">
        <v>2</v>
      </c>
      <c r="B3" s="2" t="s">
        <v>16</v>
      </c>
      <c r="C3" s="1" t="s">
        <v>16</v>
      </c>
      <c r="D3" s="1" t="n">
        <v>6</v>
      </c>
      <c r="E3" s="1" t="n">
        <f aca="false">ROUND(AVERAGE(D3:D5),0)</f>
        <v>4</v>
      </c>
      <c r="F3" s="1" t="n">
        <v>3</v>
      </c>
      <c r="G3" s="1" t="n">
        <f aca="false">MAX(F3,E3)</f>
        <v>4</v>
      </c>
    </row>
    <row r="4" customFormat="false" ht="15" hidden="false" customHeight="false" outlineLevel="0" collapsed="false">
      <c r="C4" s="1" t="s">
        <v>16</v>
      </c>
      <c r="D4" s="1" t="n">
        <v>3</v>
      </c>
    </row>
    <row r="5" customFormat="false" ht="15" hidden="false" customHeight="false" outlineLevel="0" collapsed="false">
      <c r="C5" s="1" t="s">
        <v>16</v>
      </c>
      <c r="D5" s="1" t="n">
        <v>2</v>
      </c>
    </row>
    <row r="6" customFormat="false" ht="15" hidden="false" customHeight="false" outlineLevel="0" collapsed="false">
      <c r="A6" s="1" t="n">
        <v>3</v>
      </c>
      <c r="B6" s="2" t="s">
        <v>20</v>
      </c>
      <c r="C6" s="1" t="s">
        <v>20</v>
      </c>
      <c r="D6" s="1" t="n">
        <v>7</v>
      </c>
      <c r="E6" s="1" t="n">
        <f aca="false">ROUND(AVERAGE(D6:D8),0)</f>
        <v>4</v>
      </c>
      <c r="F6" s="1" t="n">
        <v>4</v>
      </c>
      <c r="G6" s="1" t="n">
        <f aca="false">MAX(F6,E6)</f>
        <v>4</v>
      </c>
    </row>
    <row r="7" customFormat="false" ht="15" hidden="false" customHeight="false" outlineLevel="0" collapsed="false">
      <c r="C7" s="1" t="s">
        <v>20</v>
      </c>
      <c r="D7" s="1" t="n">
        <v>4</v>
      </c>
    </row>
    <row r="8" customFormat="false" ht="15" hidden="false" customHeight="false" outlineLevel="0" collapsed="false">
      <c r="C8" s="1" t="s">
        <v>20</v>
      </c>
      <c r="D8" s="1" t="n">
        <v>2</v>
      </c>
    </row>
    <row r="9" customFormat="false" ht="15" hidden="false" customHeight="false" outlineLevel="0" collapsed="false">
      <c r="A9" s="1" t="n">
        <v>4</v>
      </c>
      <c r="B9" s="2" t="s">
        <v>23</v>
      </c>
      <c r="C9" s="1" t="s">
        <v>23</v>
      </c>
      <c r="D9" s="1" t="n">
        <v>9</v>
      </c>
      <c r="E9" s="1" t="n">
        <f aca="false">ROUND(AVERAGE(D9:D10),0)</f>
        <v>7</v>
      </c>
      <c r="F9" s="1" t="n">
        <v>5</v>
      </c>
      <c r="G9" s="1" t="n">
        <f aca="false">MAX(F9,E9)</f>
        <v>7</v>
      </c>
    </row>
    <row r="10" customFormat="false" ht="15" hidden="false" customHeight="false" outlineLevel="0" collapsed="false">
      <c r="C10" s="1" t="s">
        <v>23</v>
      </c>
      <c r="D10" s="1" t="n">
        <v>5</v>
      </c>
    </row>
    <row r="11" customFormat="false" ht="15" hidden="false" customHeight="false" outlineLevel="0" collapsed="false">
      <c r="A11" s="1" t="n">
        <v>5</v>
      </c>
      <c r="B11" s="2" t="s">
        <v>26</v>
      </c>
      <c r="C11" s="1" t="s">
        <v>26</v>
      </c>
      <c r="D11" s="1" t="n">
        <v>8</v>
      </c>
      <c r="G11" s="1" t="n">
        <v>8</v>
      </c>
    </row>
    <row r="12" customFormat="false" ht="15" hidden="false" customHeight="false" outlineLevel="0" collapsed="false">
      <c r="A12" s="1" t="n">
        <v>6</v>
      </c>
      <c r="B12" s="2" t="s">
        <v>31</v>
      </c>
      <c r="D12" s="1" t="n">
        <v>1</v>
      </c>
      <c r="G12" s="1" t="n">
        <v>1</v>
      </c>
    </row>
    <row r="13" customFormat="false" ht="15" hidden="false" customHeight="false" outlineLevel="0" collapsed="false">
      <c r="A13" s="1" t="n">
        <v>7</v>
      </c>
      <c r="B13" s="2" t="s">
        <v>34</v>
      </c>
      <c r="C13" s="1" t="s">
        <v>34</v>
      </c>
      <c r="D13" s="1" t="n">
        <v>7</v>
      </c>
      <c r="E13" s="1" t="n">
        <f aca="false">ROUND(AVERAGE(D13:D15),0)</f>
        <v>6</v>
      </c>
      <c r="F13" s="1" t="n">
        <v>6</v>
      </c>
      <c r="G13" s="1" t="n">
        <f aca="false">MAX(F13,E13)</f>
        <v>6</v>
      </c>
    </row>
    <row r="14" customFormat="false" ht="15" hidden="false" customHeight="false" outlineLevel="0" collapsed="false">
      <c r="C14" s="1" t="s">
        <v>34</v>
      </c>
      <c r="D14" s="1" t="n">
        <v>6</v>
      </c>
    </row>
    <row r="15" customFormat="false" ht="15" hidden="false" customHeight="false" outlineLevel="0" collapsed="false">
      <c r="C15" s="1" t="s">
        <v>34</v>
      </c>
      <c r="D15" s="1" t="n">
        <v>5</v>
      </c>
    </row>
    <row r="16" customFormat="false" ht="15" hidden="false" customHeight="false" outlineLevel="0" collapsed="false">
      <c r="A16" s="1" t="n">
        <v>8</v>
      </c>
      <c r="B16" s="2" t="s">
        <v>37</v>
      </c>
      <c r="C16" s="1" t="s">
        <v>37</v>
      </c>
      <c r="D16" s="1" t="n">
        <v>10</v>
      </c>
      <c r="E16" s="1" t="n">
        <f aca="false">ROUND(AVERAGE(D16:D18),0)</f>
        <v>8</v>
      </c>
      <c r="F16" s="1" t="n">
        <v>7</v>
      </c>
      <c r="G16" s="1" t="n">
        <f aca="false">MAX(F16,E16)</f>
        <v>8</v>
      </c>
    </row>
    <row r="17" customFormat="false" ht="15" hidden="false" customHeight="false" outlineLevel="0" collapsed="false">
      <c r="C17" s="1" t="s">
        <v>37</v>
      </c>
      <c r="D17" s="1" t="n">
        <v>7</v>
      </c>
    </row>
    <row r="18" customFormat="false" ht="15" hidden="false" customHeight="false" outlineLevel="0" collapsed="false">
      <c r="C18" s="1" t="s">
        <v>37</v>
      </c>
      <c r="D18" s="1" t="n">
        <v>7</v>
      </c>
    </row>
    <row r="19" customFormat="false" ht="15" hidden="false" customHeight="false" outlineLevel="0" collapsed="false">
      <c r="A19" s="1" t="n">
        <v>9</v>
      </c>
      <c r="B19" s="2" t="s">
        <v>41</v>
      </c>
      <c r="C19" s="1" t="s">
        <v>41</v>
      </c>
      <c r="D19" s="1" t="n">
        <v>9</v>
      </c>
      <c r="G19" s="1" t="n">
        <v>9</v>
      </c>
    </row>
    <row r="20" customFormat="false" ht="15" hidden="false" customHeight="false" outlineLevel="0" collapsed="false">
      <c r="A20" s="1" t="n">
        <v>10</v>
      </c>
      <c r="B20" s="2" t="s">
        <v>44</v>
      </c>
      <c r="C20" s="1" t="s">
        <v>44</v>
      </c>
      <c r="D20" s="1" t="n">
        <v>10</v>
      </c>
      <c r="G20" s="1" t="n">
        <v>10</v>
      </c>
    </row>
    <row r="21" customFormat="false" ht="15" hidden="false" customHeight="false" outlineLevel="0" collapsed="false">
      <c r="A21" s="1" t="n">
        <v>11</v>
      </c>
      <c r="B21" s="2" t="s">
        <v>47</v>
      </c>
      <c r="C21" s="1" t="s">
        <v>47</v>
      </c>
      <c r="D21" s="1" t="n">
        <v>9</v>
      </c>
      <c r="E21" s="1" t="n">
        <f aca="false">ROUND(AVERAGE(D21:D24),0)</f>
        <v>7</v>
      </c>
      <c r="F21" s="1" t="n">
        <v>7</v>
      </c>
      <c r="G21" s="1" t="n">
        <f aca="false">MAX(F21,E21)</f>
        <v>7</v>
      </c>
    </row>
    <row r="22" customFormat="false" ht="15" hidden="false" customHeight="false" outlineLevel="0" collapsed="false">
      <c r="C22" s="1" t="s">
        <v>47</v>
      </c>
      <c r="D22" s="1" t="n">
        <v>7</v>
      </c>
    </row>
    <row r="23" customFormat="false" ht="15" hidden="false" customHeight="false" outlineLevel="0" collapsed="false">
      <c r="C23" s="1" t="s">
        <v>47</v>
      </c>
      <c r="D23" s="1" t="n">
        <v>7</v>
      </c>
    </row>
    <row r="24" customFormat="false" ht="15" hidden="false" customHeight="false" outlineLevel="0" collapsed="false">
      <c r="C24" s="1" t="s">
        <v>47</v>
      </c>
      <c r="D24" s="1" t="n">
        <v>5</v>
      </c>
    </row>
    <row r="25" customFormat="false" ht="15" hidden="false" customHeight="false" outlineLevel="0" collapsed="false">
      <c r="A25" s="1" t="n">
        <v>12</v>
      </c>
      <c r="B25" s="2" t="s">
        <v>50</v>
      </c>
      <c r="C25" s="1" t="s">
        <v>50</v>
      </c>
      <c r="D25" s="1" t="n">
        <v>9</v>
      </c>
      <c r="G25" s="1" t="n">
        <v>9</v>
      </c>
    </row>
    <row r="26" customFormat="false" ht="15" hidden="false" customHeight="false" outlineLevel="0" collapsed="false">
      <c r="A26" s="1" t="n">
        <v>13</v>
      </c>
      <c r="B26" s="2" t="s">
        <v>53</v>
      </c>
      <c r="C26" s="1" t="s">
        <v>53</v>
      </c>
      <c r="D26" s="1" t="n">
        <v>10</v>
      </c>
      <c r="G26" s="1" t="n">
        <v>10</v>
      </c>
    </row>
    <row r="27" customFormat="false" ht="15" hidden="false" customHeight="false" outlineLevel="0" collapsed="false">
      <c r="A27" s="1" t="n">
        <v>14</v>
      </c>
      <c r="B27" s="2" t="s">
        <v>56</v>
      </c>
      <c r="C27" s="1" t="s">
        <v>56</v>
      </c>
      <c r="D27" s="1" t="n">
        <v>6</v>
      </c>
      <c r="E27" s="1" t="n">
        <f aca="false">ROUND(AVERAGE(D27:D30),0)</f>
        <v>4</v>
      </c>
      <c r="F27" s="1" t="n">
        <v>5</v>
      </c>
      <c r="G27" s="1" t="n">
        <f aca="false">MAX(F27,E27)</f>
        <v>5</v>
      </c>
    </row>
    <row r="28" customFormat="false" ht="15" hidden="false" customHeight="false" outlineLevel="0" collapsed="false">
      <c r="C28" s="1" t="s">
        <v>56</v>
      </c>
      <c r="D28" s="1" t="n">
        <v>5</v>
      </c>
    </row>
    <row r="29" customFormat="false" ht="15" hidden="false" customHeight="false" outlineLevel="0" collapsed="false">
      <c r="C29" s="1" t="s">
        <v>56</v>
      </c>
      <c r="D29" s="1" t="n">
        <v>3</v>
      </c>
    </row>
    <row r="30" customFormat="false" ht="15" hidden="false" customHeight="false" outlineLevel="0" collapsed="false">
      <c r="C30" s="1" t="s">
        <v>56</v>
      </c>
      <c r="D30" s="1" t="n">
        <v>2</v>
      </c>
    </row>
    <row r="31" customFormat="false" ht="15" hidden="false" customHeight="false" outlineLevel="0" collapsed="false">
      <c r="A31" s="1" t="n">
        <v>15</v>
      </c>
      <c r="B31" s="2" t="s">
        <v>60</v>
      </c>
      <c r="C31" s="1" t="s">
        <v>60</v>
      </c>
      <c r="D31" s="1" t="n">
        <v>9</v>
      </c>
      <c r="E31" s="1" t="n">
        <f aca="false">ROUND(AVERAGE(D31:D33),0)</f>
        <v>7</v>
      </c>
      <c r="F31" s="1" t="n">
        <v>7</v>
      </c>
      <c r="G31" s="1" t="n">
        <f aca="false">MAX(F31,E31)</f>
        <v>7</v>
      </c>
    </row>
    <row r="32" customFormat="false" ht="15" hidden="false" customHeight="false" outlineLevel="0" collapsed="false">
      <c r="C32" s="1" t="s">
        <v>60</v>
      </c>
      <c r="D32" s="1" t="n">
        <v>7</v>
      </c>
    </row>
    <row r="33" customFormat="false" ht="15" hidden="false" customHeight="false" outlineLevel="0" collapsed="false">
      <c r="C33" s="1" t="s">
        <v>60</v>
      </c>
      <c r="D33" s="1" t="n">
        <v>5</v>
      </c>
    </row>
    <row r="34" customFormat="false" ht="15" hidden="false" customHeight="false" outlineLevel="0" collapsed="false">
      <c r="A34" s="1" t="n">
        <v>16</v>
      </c>
      <c r="B34" s="2" t="s">
        <v>63</v>
      </c>
      <c r="C34" s="1" t="s">
        <v>63</v>
      </c>
      <c r="D34" s="1" t="n">
        <v>10</v>
      </c>
      <c r="E34" s="1" t="n">
        <f aca="false">ROUND(AVERAGE(D34:D36),0)</f>
        <v>8</v>
      </c>
      <c r="F34" s="1" t="n">
        <v>3</v>
      </c>
      <c r="G34" s="1" t="n">
        <f aca="false">MAX(F34,E34)</f>
        <v>8</v>
      </c>
    </row>
    <row r="35" customFormat="false" ht="15" hidden="false" customHeight="false" outlineLevel="0" collapsed="false">
      <c r="C35" s="1" t="s">
        <v>63</v>
      </c>
      <c r="D35" s="1" t="n">
        <v>10</v>
      </c>
    </row>
    <row r="36" customFormat="false" ht="15" hidden="false" customHeight="false" outlineLevel="0" collapsed="false">
      <c r="C36" s="1" t="s">
        <v>63</v>
      </c>
      <c r="D36" s="1" t="n">
        <v>3</v>
      </c>
    </row>
    <row r="37" customFormat="false" ht="15" hidden="false" customHeight="false" outlineLevel="0" collapsed="false">
      <c r="A37" s="1" t="n">
        <v>17</v>
      </c>
      <c r="B37" s="2" t="s">
        <v>66</v>
      </c>
      <c r="C37" s="1" t="s">
        <v>66</v>
      </c>
      <c r="D37" s="1" t="n">
        <v>9</v>
      </c>
      <c r="E37" s="1" t="n">
        <f aca="false">ROUND(AVERAGE(D37:D39),0)</f>
        <v>7</v>
      </c>
      <c r="F37" s="1" t="n">
        <v>8</v>
      </c>
      <c r="G37" s="1" t="n">
        <f aca="false">MAX(F37,E37)</f>
        <v>8</v>
      </c>
    </row>
    <row r="38" customFormat="false" ht="15" hidden="false" customHeight="false" outlineLevel="0" collapsed="false">
      <c r="C38" s="1" t="s">
        <v>66</v>
      </c>
      <c r="D38" s="1" t="n">
        <v>8</v>
      </c>
    </row>
    <row r="39" customFormat="false" ht="15" hidden="false" customHeight="false" outlineLevel="0" collapsed="false">
      <c r="C39" s="1" t="s">
        <v>66</v>
      </c>
      <c r="D39" s="1" t="n">
        <v>3</v>
      </c>
    </row>
    <row r="40" customFormat="false" ht="15" hidden="false" customHeight="false" outlineLevel="0" collapsed="false">
      <c r="A40" s="1" t="n">
        <v>18</v>
      </c>
      <c r="B40" s="2" t="s">
        <v>70</v>
      </c>
      <c r="C40" s="1" t="s">
        <v>70</v>
      </c>
      <c r="D40" s="1" t="n">
        <v>8</v>
      </c>
      <c r="G40" s="1" t="n">
        <v>8</v>
      </c>
    </row>
    <row r="41" customFormat="false" ht="15" hidden="false" customHeight="false" outlineLevel="0" collapsed="false">
      <c r="A41" s="1" t="n">
        <v>19</v>
      </c>
      <c r="B41" s="2" t="s">
        <v>73</v>
      </c>
      <c r="C41" s="1" t="s">
        <v>73</v>
      </c>
      <c r="D41" s="1" t="n">
        <v>10</v>
      </c>
      <c r="G41" s="1" t="n">
        <v>10</v>
      </c>
    </row>
    <row r="42" customFormat="false" ht="15" hidden="false" customHeight="false" outlineLevel="0" collapsed="false">
      <c r="A42" s="1" t="n">
        <v>20</v>
      </c>
      <c r="B42" s="2" t="s">
        <v>76</v>
      </c>
      <c r="D42" s="1" t="n">
        <v>1</v>
      </c>
      <c r="G42" s="1" t="n">
        <v>1</v>
      </c>
    </row>
    <row r="43" customFormat="false" ht="15" hidden="false" customHeight="false" outlineLevel="0" collapsed="false">
      <c r="A43" s="1" t="n">
        <v>21</v>
      </c>
      <c r="B43" s="2" t="s">
        <v>79</v>
      </c>
      <c r="C43" s="1" t="s">
        <v>79</v>
      </c>
      <c r="D43" s="1" t="n">
        <v>9</v>
      </c>
      <c r="E43" s="1" t="n">
        <f aca="false">ROUND(AVERAGE(D43:D49),0)</f>
        <v>4</v>
      </c>
      <c r="F43" s="1" t="n">
        <v>5</v>
      </c>
      <c r="G43" s="1" t="n">
        <f aca="false">MAX(F43,E43)</f>
        <v>5</v>
      </c>
    </row>
    <row r="44" customFormat="false" ht="15" hidden="false" customHeight="false" outlineLevel="0" collapsed="false">
      <c r="C44" s="1" t="s">
        <v>79</v>
      </c>
      <c r="D44" s="1" t="n">
        <v>5</v>
      </c>
    </row>
    <row r="45" customFormat="false" ht="15" hidden="false" customHeight="false" outlineLevel="0" collapsed="false">
      <c r="C45" s="1" t="s">
        <v>79</v>
      </c>
      <c r="D45" s="1" t="n">
        <v>4</v>
      </c>
    </row>
    <row r="46" customFormat="false" ht="15" hidden="false" customHeight="false" outlineLevel="0" collapsed="false">
      <c r="C46" s="1" t="s">
        <v>79</v>
      </c>
      <c r="D46" s="1" t="n">
        <v>4</v>
      </c>
    </row>
    <row r="47" customFormat="false" ht="15" hidden="false" customHeight="false" outlineLevel="0" collapsed="false">
      <c r="C47" s="1" t="s">
        <v>79</v>
      </c>
      <c r="D47" s="1" t="n">
        <v>3</v>
      </c>
    </row>
    <row r="48" customFormat="false" ht="15" hidden="false" customHeight="false" outlineLevel="0" collapsed="false">
      <c r="C48" s="1" t="s">
        <v>79</v>
      </c>
      <c r="D48" s="1" t="n">
        <v>3</v>
      </c>
    </row>
    <row r="49" customFormat="false" ht="15" hidden="false" customHeight="false" outlineLevel="0" collapsed="false">
      <c r="C49" s="1" t="s">
        <v>79</v>
      </c>
      <c r="D49" s="1" t="n">
        <v>2</v>
      </c>
    </row>
    <row r="50" customFormat="false" ht="15" hidden="false" customHeight="false" outlineLevel="0" collapsed="false">
      <c r="F50" s="1" t="s">
        <v>8</v>
      </c>
      <c r="G50" s="1" t="n">
        <f aca="false">COUNTIF(G2:G48,"&gt;0")</f>
        <v>21</v>
      </c>
    </row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10.58203125" defaultRowHeight="12.8" zeroHeight="false" outlineLevelRow="0" outlineLevelCol="0"/>
  <cols>
    <col collapsed="false" customWidth="true" hidden="false" outlineLevel="0" max="2" min="2" style="1" width="19.94"/>
    <col collapsed="false" customWidth="true" hidden="false" outlineLevel="0" max="3" min="3" style="1" width="18.16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2</v>
      </c>
      <c r="D1" s="1" t="s">
        <v>102</v>
      </c>
    </row>
    <row r="2" customFormat="false" ht="15" hidden="false" customHeight="false" outlineLevel="0" collapsed="false">
      <c r="A2" s="1" t="n">
        <v>1</v>
      </c>
      <c r="B2" s="2" t="s">
        <v>11</v>
      </c>
      <c r="D2" s="1" t="n">
        <v>1</v>
      </c>
    </row>
    <row r="3" customFormat="false" ht="15" hidden="false" customHeight="false" outlineLevel="0" collapsed="false">
      <c r="A3" s="1" t="n">
        <v>2</v>
      </c>
      <c r="B3" s="2" t="s">
        <v>16</v>
      </c>
      <c r="C3" s="1" t="s">
        <v>16</v>
      </c>
      <c r="D3" s="1" t="n">
        <v>9</v>
      </c>
    </row>
    <row r="4" customFormat="false" ht="15" hidden="false" customHeight="false" outlineLevel="0" collapsed="false">
      <c r="A4" s="1" t="n">
        <v>3</v>
      </c>
      <c r="B4" s="2" t="s">
        <v>20</v>
      </c>
      <c r="C4" s="1" t="s">
        <v>20</v>
      </c>
      <c r="D4" s="1" t="n">
        <v>10</v>
      </c>
    </row>
    <row r="5" customFormat="false" ht="15" hidden="false" customHeight="false" outlineLevel="0" collapsed="false">
      <c r="A5" s="1" t="n">
        <v>4</v>
      </c>
      <c r="B5" s="2" t="s">
        <v>23</v>
      </c>
      <c r="C5" s="1" t="s">
        <v>23</v>
      </c>
      <c r="D5" s="1" t="n">
        <v>9</v>
      </c>
    </row>
    <row r="6" customFormat="false" ht="15" hidden="false" customHeight="false" outlineLevel="0" collapsed="false">
      <c r="A6" s="1" t="n">
        <v>5</v>
      </c>
      <c r="B6" s="2" t="s">
        <v>26</v>
      </c>
      <c r="C6" s="1" t="s">
        <v>26</v>
      </c>
      <c r="D6" s="1" t="n">
        <v>10</v>
      </c>
    </row>
    <row r="7" customFormat="false" ht="15" hidden="false" customHeight="false" outlineLevel="0" collapsed="false">
      <c r="A7" s="1" t="n">
        <v>6</v>
      </c>
      <c r="B7" s="2" t="s">
        <v>31</v>
      </c>
      <c r="C7" s="1" t="s">
        <v>31</v>
      </c>
      <c r="D7" s="1" t="n">
        <v>10</v>
      </c>
    </row>
    <row r="8" customFormat="false" ht="15" hidden="false" customHeight="false" outlineLevel="0" collapsed="false">
      <c r="A8" s="1" t="n">
        <v>7</v>
      </c>
      <c r="B8" s="2" t="s">
        <v>34</v>
      </c>
      <c r="C8" s="1" t="s">
        <v>34</v>
      </c>
      <c r="D8" s="1" t="n">
        <v>10</v>
      </c>
    </row>
    <row r="9" customFormat="false" ht="15" hidden="false" customHeight="false" outlineLevel="0" collapsed="false">
      <c r="A9" s="1" t="n">
        <v>8</v>
      </c>
      <c r="B9" s="2" t="s">
        <v>37</v>
      </c>
      <c r="C9" s="1" t="s">
        <v>37</v>
      </c>
      <c r="D9" s="1" t="n">
        <v>10</v>
      </c>
    </row>
    <row r="10" customFormat="false" ht="15" hidden="false" customHeight="false" outlineLevel="0" collapsed="false">
      <c r="A10" s="1" t="n">
        <v>9</v>
      </c>
      <c r="B10" s="2" t="s">
        <v>41</v>
      </c>
      <c r="C10" s="1" t="s">
        <v>41</v>
      </c>
      <c r="D10" s="1" t="n">
        <v>9</v>
      </c>
    </row>
    <row r="11" customFormat="false" ht="15" hidden="false" customHeight="false" outlineLevel="0" collapsed="false">
      <c r="A11" s="1" t="n">
        <v>10</v>
      </c>
      <c r="B11" s="2" t="s">
        <v>44</v>
      </c>
      <c r="C11" s="1" t="s">
        <v>44</v>
      </c>
      <c r="D11" s="1" t="n">
        <v>9</v>
      </c>
    </row>
    <row r="12" customFormat="false" ht="15" hidden="false" customHeight="false" outlineLevel="0" collapsed="false">
      <c r="A12" s="1" t="n">
        <v>11</v>
      </c>
      <c r="B12" s="2" t="s">
        <v>47</v>
      </c>
      <c r="D12" s="1" t="n">
        <v>1</v>
      </c>
    </row>
    <row r="13" customFormat="false" ht="15" hidden="false" customHeight="false" outlineLevel="0" collapsed="false">
      <c r="A13" s="1" t="n">
        <v>12</v>
      </c>
      <c r="B13" s="2" t="s">
        <v>50</v>
      </c>
      <c r="C13" s="1" t="s">
        <v>50</v>
      </c>
      <c r="D13" s="1" t="n">
        <v>10</v>
      </c>
    </row>
    <row r="14" customFormat="false" ht="15" hidden="false" customHeight="false" outlineLevel="0" collapsed="false">
      <c r="A14" s="1" t="n">
        <v>13</v>
      </c>
      <c r="B14" s="2" t="s">
        <v>53</v>
      </c>
      <c r="C14" s="1" t="s">
        <v>53</v>
      </c>
      <c r="D14" s="1" t="n">
        <v>1</v>
      </c>
    </row>
    <row r="15" customFormat="false" ht="15" hidden="false" customHeight="false" outlineLevel="0" collapsed="false">
      <c r="A15" s="1" t="n">
        <v>14</v>
      </c>
      <c r="B15" s="2" t="s">
        <v>56</v>
      </c>
      <c r="C15" s="1" t="s">
        <v>56</v>
      </c>
      <c r="D15" s="1" t="n">
        <v>6</v>
      </c>
    </row>
    <row r="16" customFormat="false" ht="15" hidden="false" customHeight="false" outlineLevel="0" collapsed="false">
      <c r="A16" s="1" t="n">
        <v>15</v>
      </c>
      <c r="B16" s="2" t="s">
        <v>60</v>
      </c>
      <c r="C16" s="1" t="s">
        <v>60</v>
      </c>
      <c r="D16" s="1" t="n">
        <v>10</v>
      </c>
    </row>
    <row r="17" customFormat="false" ht="15" hidden="false" customHeight="false" outlineLevel="0" collapsed="false">
      <c r="A17" s="1" t="n">
        <v>16</v>
      </c>
      <c r="B17" s="2" t="s">
        <v>63</v>
      </c>
      <c r="D17" s="1" t="n">
        <v>1</v>
      </c>
    </row>
    <row r="18" customFormat="false" ht="15" hidden="false" customHeight="false" outlineLevel="0" collapsed="false">
      <c r="A18" s="1" t="n">
        <v>17</v>
      </c>
      <c r="B18" s="2" t="s">
        <v>66</v>
      </c>
      <c r="C18" s="1" t="s">
        <v>66</v>
      </c>
      <c r="D18" s="1" t="n">
        <v>9</v>
      </c>
    </row>
    <row r="19" customFormat="false" ht="15" hidden="false" customHeight="false" outlineLevel="0" collapsed="false">
      <c r="A19" s="1" t="n">
        <v>18</v>
      </c>
      <c r="B19" s="2" t="s">
        <v>70</v>
      </c>
      <c r="D19" s="1" t="n">
        <v>1</v>
      </c>
    </row>
    <row r="20" customFormat="false" ht="15" hidden="false" customHeight="false" outlineLevel="0" collapsed="false">
      <c r="A20" s="1" t="n">
        <v>19</v>
      </c>
      <c r="B20" s="2" t="s">
        <v>73</v>
      </c>
      <c r="D20" s="1" t="n">
        <v>1</v>
      </c>
    </row>
    <row r="21" customFormat="false" ht="15" hidden="false" customHeight="false" outlineLevel="0" collapsed="false">
      <c r="A21" s="1" t="n">
        <v>20</v>
      </c>
      <c r="B21" s="2" t="s">
        <v>76</v>
      </c>
      <c r="C21" s="1" t="s">
        <v>76</v>
      </c>
      <c r="D21" s="1" t="n">
        <v>10</v>
      </c>
    </row>
    <row r="22" customFormat="false" ht="15" hidden="false" customHeight="false" outlineLevel="0" collapsed="false">
      <c r="A22" s="1" t="n">
        <v>21</v>
      </c>
      <c r="B22" s="2" t="s">
        <v>79</v>
      </c>
      <c r="C22" s="1" t="s">
        <v>79</v>
      </c>
      <c r="D22" s="1" t="n">
        <v>8</v>
      </c>
    </row>
    <row r="23" customFormat="false" ht="15" hidden="false" customHeight="false" outlineLevel="0" collapsed="false"/>
    <row r="24" customFormat="false" ht="15" hidden="false" customHeight="false" outlineLevel="0" collapsed="false">
      <c r="C24" s="1" t="s">
        <v>8</v>
      </c>
      <c r="D24" s="1" t="n">
        <f aca="false">COUNTIF(D2:D22,"&gt;0")</f>
        <v>21</v>
      </c>
    </row>
    <row r="25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G2" activeCellId="0" sqref="G2"/>
    </sheetView>
  </sheetViews>
  <sheetFormatPr defaultColWidth="10.58203125" defaultRowHeight="12.8" zeroHeight="false" outlineLevelRow="0" outlineLevelCol="0"/>
  <cols>
    <col collapsed="false" customWidth="true" hidden="false" outlineLevel="0" max="1" min="1" style="1" width="4.25"/>
    <col collapsed="false" customWidth="true" hidden="false" outlineLevel="0" max="3" min="2" style="1" width="19.94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102</v>
      </c>
      <c r="E1" s="1" t="s">
        <v>103</v>
      </c>
      <c r="F1" s="1" t="s">
        <v>104</v>
      </c>
      <c r="G1" s="1" t="s">
        <v>106</v>
      </c>
    </row>
    <row r="2" customFormat="false" ht="15" hidden="false" customHeight="false" outlineLevel="0" collapsed="false">
      <c r="A2" s="1" t="n">
        <v>1</v>
      </c>
      <c r="B2" s="2" t="s">
        <v>11</v>
      </c>
      <c r="D2" s="1" t="n">
        <v>1</v>
      </c>
      <c r="G2" s="1" t="n">
        <v>1</v>
      </c>
    </row>
    <row r="3" customFormat="false" ht="15" hidden="false" customHeight="false" outlineLevel="0" collapsed="false">
      <c r="A3" s="1" t="n">
        <v>2</v>
      </c>
      <c r="B3" s="2" t="s">
        <v>16</v>
      </c>
      <c r="C3" s="1" t="s">
        <v>16</v>
      </c>
      <c r="D3" s="1" t="n">
        <v>8</v>
      </c>
      <c r="G3" s="1" t="n">
        <v>8</v>
      </c>
    </row>
    <row r="4" customFormat="false" ht="15" hidden="false" customHeight="false" outlineLevel="0" collapsed="false">
      <c r="A4" s="1" t="n">
        <v>3</v>
      </c>
      <c r="B4" s="2" t="s">
        <v>20</v>
      </c>
      <c r="D4" s="1" t="n">
        <v>1</v>
      </c>
      <c r="G4" s="1" t="n">
        <v>1</v>
      </c>
    </row>
    <row r="5" customFormat="false" ht="15" hidden="false" customHeight="false" outlineLevel="0" collapsed="false">
      <c r="A5" s="1" t="n">
        <v>4</v>
      </c>
      <c r="B5" s="2" t="s">
        <v>23</v>
      </c>
      <c r="C5" s="1" t="s">
        <v>23</v>
      </c>
      <c r="D5" s="1" t="n">
        <v>8</v>
      </c>
      <c r="G5" s="1" t="n">
        <v>8</v>
      </c>
    </row>
    <row r="6" customFormat="false" ht="15" hidden="false" customHeight="false" outlineLevel="0" collapsed="false">
      <c r="A6" s="1" t="n">
        <v>5</v>
      </c>
      <c r="B6" s="2" t="s">
        <v>26</v>
      </c>
      <c r="C6" s="1" t="s">
        <v>26</v>
      </c>
      <c r="D6" s="1" t="n">
        <v>9</v>
      </c>
      <c r="G6" s="1" t="n">
        <v>9</v>
      </c>
    </row>
    <row r="7" customFormat="false" ht="15" hidden="false" customHeight="false" outlineLevel="0" collapsed="false">
      <c r="A7" s="1" t="n">
        <v>6</v>
      </c>
      <c r="B7" s="2" t="s">
        <v>31</v>
      </c>
      <c r="C7" s="1" t="s">
        <v>31</v>
      </c>
      <c r="D7" s="1" t="n">
        <v>9</v>
      </c>
      <c r="G7" s="1" t="n">
        <v>9</v>
      </c>
    </row>
    <row r="8" customFormat="false" ht="15" hidden="false" customHeight="false" outlineLevel="0" collapsed="false">
      <c r="A8" s="1" t="n">
        <v>7</v>
      </c>
      <c r="B8" s="2" t="s">
        <v>34</v>
      </c>
      <c r="C8" s="1" t="s">
        <v>34</v>
      </c>
      <c r="D8" s="1" t="n">
        <v>8</v>
      </c>
      <c r="G8" s="1" t="n">
        <v>8</v>
      </c>
    </row>
    <row r="9" customFormat="false" ht="15" hidden="false" customHeight="false" outlineLevel="0" collapsed="false">
      <c r="A9" s="1" t="n">
        <v>8</v>
      </c>
      <c r="B9" s="2" t="s">
        <v>37</v>
      </c>
      <c r="C9" s="1" t="s">
        <v>37</v>
      </c>
      <c r="D9" s="1" t="n">
        <v>9</v>
      </c>
      <c r="G9" s="1" t="n">
        <v>9</v>
      </c>
    </row>
    <row r="10" customFormat="false" ht="15" hidden="false" customHeight="false" outlineLevel="0" collapsed="false">
      <c r="A10" s="1" t="n">
        <v>9</v>
      </c>
      <c r="B10" s="2" t="s">
        <v>41</v>
      </c>
      <c r="C10" s="1" t="s">
        <v>41</v>
      </c>
      <c r="D10" s="1" t="n">
        <v>10</v>
      </c>
      <c r="G10" s="1" t="n">
        <v>10</v>
      </c>
    </row>
    <row r="11" customFormat="false" ht="15" hidden="false" customHeight="false" outlineLevel="0" collapsed="false">
      <c r="A11" s="1" t="n">
        <v>10</v>
      </c>
      <c r="B11" s="2" t="s">
        <v>44</v>
      </c>
      <c r="C11" s="1" t="s">
        <v>44</v>
      </c>
      <c r="D11" s="1" t="n">
        <v>10</v>
      </c>
      <c r="G11" s="1" t="n">
        <v>10</v>
      </c>
    </row>
    <row r="12" customFormat="false" ht="15" hidden="false" customHeight="false" outlineLevel="0" collapsed="false">
      <c r="A12" s="1" t="n">
        <v>11</v>
      </c>
      <c r="B12" s="2" t="s">
        <v>47</v>
      </c>
      <c r="C12" s="1" t="s">
        <v>47</v>
      </c>
      <c r="D12" s="1" t="n">
        <v>10</v>
      </c>
      <c r="E12" s="1" t="n">
        <f aca="false">ROUND(AVERAGE(D12:D16),0)</f>
        <v>7</v>
      </c>
      <c r="F12" s="1" t="n">
        <v>9</v>
      </c>
      <c r="G12" s="1" t="n">
        <f aca="false">MAX(F12,E12)</f>
        <v>9</v>
      </c>
    </row>
    <row r="13" customFormat="false" ht="15" hidden="false" customHeight="false" outlineLevel="0" collapsed="false">
      <c r="C13" s="1" t="s">
        <v>47</v>
      </c>
      <c r="D13" s="1" t="n">
        <v>9</v>
      </c>
    </row>
    <row r="14" customFormat="false" ht="15" hidden="false" customHeight="false" outlineLevel="0" collapsed="false">
      <c r="C14" s="1" t="s">
        <v>47</v>
      </c>
      <c r="D14" s="1" t="n">
        <v>7</v>
      </c>
    </row>
    <row r="15" customFormat="false" ht="15" hidden="false" customHeight="false" outlineLevel="0" collapsed="false">
      <c r="C15" s="1" t="s">
        <v>47</v>
      </c>
      <c r="D15" s="1" t="n">
        <v>6</v>
      </c>
    </row>
    <row r="16" customFormat="false" ht="15" hidden="false" customHeight="false" outlineLevel="0" collapsed="false">
      <c r="C16" s="1" t="s">
        <v>47</v>
      </c>
      <c r="D16" s="1" t="n">
        <v>5</v>
      </c>
    </row>
    <row r="17" customFormat="false" ht="15" hidden="false" customHeight="false" outlineLevel="0" collapsed="false">
      <c r="A17" s="1" t="n">
        <v>12</v>
      </c>
      <c r="B17" s="2" t="s">
        <v>50</v>
      </c>
      <c r="C17" s="1" t="s">
        <v>50</v>
      </c>
      <c r="D17" s="1" t="n">
        <v>9</v>
      </c>
      <c r="G17" s="1" t="n">
        <v>9</v>
      </c>
    </row>
    <row r="18" customFormat="false" ht="15" hidden="false" customHeight="false" outlineLevel="0" collapsed="false">
      <c r="A18" s="1" t="n">
        <v>13</v>
      </c>
      <c r="B18" s="2" t="s">
        <v>53</v>
      </c>
      <c r="C18" s="1" t="s">
        <v>53</v>
      </c>
      <c r="D18" s="1" t="n">
        <v>5</v>
      </c>
      <c r="E18" s="1" t="n">
        <f aca="false">ROUND(AVERAGE(D18:D19),0)</f>
        <v>5</v>
      </c>
      <c r="F18" s="1" t="n">
        <v>4</v>
      </c>
      <c r="G18" s="1" t="n">
        <f aca="false">MAX(F18,E18)</f>
        <v>5</v>
      </c>
    </row>
    <row r="19" customFormat="false" ht="15" hidden="false" customHeight="false" outlineLevel="0" collapsed="false">
      <c r="C19" s="1" t="s">
        <v>53</v>
      </c>
      <c r="D19" s="1" t="n">
        <v>4</v>
      </c>
    </row>
    <row r="20" customFormat="false" ht="15" hidden="false" customHeight="false" outlineLevel="0" collapsed="false">
      <c r="A20" s="1" t="n">
        <v>14</v>
      </c>
      <c r="B20" s="2" t="s">
        <v>56</v>
      </c>
      <c r="C20" s="1" t="s">
        <v>56</v>
      </c>
      <c r="D20" s="1" t="n">
        <v>8</v>
      </c>
      <c r="G20" s="1" t="n">
        <v>8</v>
      </c>
    </row>
    <row r="21" customFormat="false" ht="15" hidden="false" customHeight="false" outlineLevel="0" collapsed="false">
      <c r="A21" s="1" t="n">
        <v>15</v>
      </c>
      <c r="B21" s="2" t="s">
        <v>60</v>
      </c>
      <c r="C21" s="1" t="s">
        <v>60</v>
      </c>
      <c r="D21" s="1" t="n">
        <v>9</v>
      </c>
      <c r="G21" s="1" t="n">
        <v>9</v>
      </c>
    </row>
    <row r="22" customFormat="false" ht="15" hidden="false" customHeight="false" outlineLevel="0" collapsed="false">
      <c r="A22" s="1" t="n">
        <v>16</v>
      </c>
      <c r="B22" s="2" t="s">
        <v>63</v>
      </c>
      <c r="C22" s="1" t="s">
        <v>70</v>
      </c>
      <c r="D22" s="1" t="n">
        <v>8</v>
      </c>
      <c r="G22" s="1" t="n">
        <v>8</v>
      </c>
    </row>
    <row r="23" customFormat="false" ht="15" hidden="false" customHeight="false" outlineLevel="0" collapsed="false">
      <c r="A23" s="1" t="n">
        <v>17</v>
      </c>
      <c r="B23" s="2" t="s">
        <v>66</v>
      </c>
      <c r="C23" s="1" t="s">
        <v>73</v>
      </c>
      <c r="D23" s="1" t="n">
        <v>7</v>
      </c>
      <c r="G23" s="1" t="n">
        <v>7</v>
      </c>
    </row>
    <row r="24" customFormat="false" ht="15" hidden="false" customHeight="false" outlineLevel="0" collapsed="false">
      <c r="A24" s="1" t="n">
        <v>18</v>
      </c>
      <c r="B24" s="2" t="s">
        <v>70</v>
      </c>
      <c r="C24" s="1" t="s">
        <v>76</v>
      </c>
      <c r="D24" s="1" t="n">
        <v>9</v>
      </c>
      <c r="G24" s="1" t="n">
        <v>9</v>
      </c>
    </row>
    <row r="25" customFormat="false" ht="15" hidden="false" customHeight="false" outlineLevel="0" collapsed="false">
      <c r="A25" s="1" t="n">
        <v>19</v>
      </c>
      <c r="B25" s="2" t="s">
        <v>73</v>
      </c>
      <c r="C25" s="1" t="s">
        <v>79</v>
      </c>
      <c r="D25" s="1" t="n">
        <v>8</v>
      </c>
      <c r="G25" s="1" t="n">
        <v>8</v>
      </c>
    </row>
    <row r="26" customFormat="false" ht="15" hidden="false" customHeight="false" outlineLevel="0" collapsed="false">
      <c r="A26" s="1" t="n">
        <v>20</v>
      </c>
      <c r="B26" s="2" t="s">
        <v>76</v>
      </c>
      <c r="D26" s="1" t="n">
        <v>1</v>
      </c>
      <c r="G26" s="1" t="n">
        <v>1</v>
      </c>
    </row>
    <row r="27" customFormat="false" ht="15" hidden="false" customHeight="false" outlineLevel="0" collapsed="false">
      <c r="A27" s="1" t="n">
        <v>21</v>
      </c>
      <c r="B27" s="2" t="s">
        <v>79</v>
      </c>
      <c r="D27" s="1" t="n">
        <v>1</v>
      </c>
      <c r="G27" s="1" t="n">
        <v>1</v>
      </c>
    </row>
    <row r="28" customFormat="false" ht="15" hidden="false" customHeight="false" outlineLevel="0" collapsed="false">
      <c r="F28" s="1" t="s">
        <v>8</v>
      </c>
      <c r="G28" s="1" t="n">
        <f aca="false">COUNTIF(G2:G27,"&gt;0")</f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G2" activeCellId="0" sqref="G2"/>
    </sheetView>
  </sheetViews>
  <sheetFormatPr defaultColWidth="10.58203125" defaultRowHeight="12.8" zeroHeight="false" outlineLevelRow="0" outlineLevelCol="0"/>
  <cols>
    <col collapsed="false" customWidth="true" hidden="false" outlineLevel="0" max="3" min="2" style="1" width="19.94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102</v>
      </c>
      <c r="E1" s="1" t="s">
        <v>103</v>
      </c>
      <c r="F1" s="1" t="s">
        <v>104</v>
      </c>
      <c r="G1" s="1" t="s">
        <v>106</v>
      </c>
    </row>
    <row r="2" customFormat="false" ht="15" hidden="false" customHeight="false" outlineLevel="0" collapsed="false">
      <c r="A2" s="1" t="n">
        <v>1</v>
      </c>
      <c r="B2" s="2" t="s">
        <v>11</v>
      </c>
      <c r="C2" s="1" t="s">
        <v>11</v>
      </c>
      <c r="D2" s="1" t="n">
        <v>9</v>
      </c>
      <c r="G2" s="1" t="n">
        <v>9</v>
      </c>
    </row>
    <row r="3" customFormat="false" ht="15" hidden="false" customHeight="false" outlineLevel="0" collapsed="false">
      <c r="A3" s="1" t="n">
        <v>2</v>
      </c>
      <c r="B3" s="2" t="s">
        <v>16</v>
      </c>
      <c r="C3" s="1" t="s">
        <v>16</v>
      </c>
      <c r="D3" s="1" t="n">
        <v>10</v>
      </c>
      <c r="G3" s="1" t="n">
        <v>10</v>
      </c>
    </row>
    <row r="4" customFormat="false" ht="15" hidden="false" customHeight="false" outlineLevel="0" collapsed="false">
      <c r="A4" s="1" t="n">
        <v>3</v>
      </c>
      <c r="B4" s="2" t="s">
        <v>20</v>
      </c>
      <c r="C4" s="1" t="s">
        <v>20</v>
      </c>
      <c r="D4" s="1" t="n">
        <v>8</v>
      </c>
      <c r="G4" s="1" t="n">
        <v>8</v>
      </c>
    </row>
    <row r="5" customFormat="false" ht="15" hidden="false" customHeight="false" outlineLevel="0" collapsed="false">
      <c r="A5" s="1" t="n">
        <v>4</v>
      </c>
      <c r="B5" s="2" t="s">
        <v>23</v>
      </c>
      <c r="C5" s="1" t="s">
        <v>23</v>
      </c>
      <c r="D5" s="1" t="n">
        <v>10</v>
      </c>
      <c r="E5" s="1" t="n">
        <f aca="false">ROUND(AVERAGE(D5:D7),0)</f>
        <v>10</v>
      </c>
      <c r="F5" s="1" t="n">
        <v>9</v>
      </c>
      <c r="G5" s="1" t="n">
        <f aca="false">MAX(F5,E5)</f>
        <v>10</v>
      </c>
    </row>
    <row r="6" customFormat="false" ht="15" hidden="false" customHeight="false" outlineLevel="0" collapsed="false">
      <c r="C6" s="1" t="s">
        <v>23</v>
      </c>
      <c r="D6" s="1" t="n">
        <v>10</v>
      </c>
    </row>
    <row r="7" customFormat="false" ht="15" hidden="false" customHeight="false" outlineLevel="0" collapsed="false">
      <c r="C7" s="1" t="s">
        <v>23</v>
      </c>
      <c r="D7" s="1" t="n">
        <v>9</v>
      </c>
    </row>
    <row r="8" customFormat="false" ht="15" hidden="false" customHeight="false" outlineLevel="0" collapsed="false">
      <c r="A8" s="1" t="n">
        <v>5</v>
      </c>
      <c r="B8" s="2" t="s">
        <v>26</v>
      </c>
      <c r="C8" s="1" t="s">
        <v>26</v>
      </c>
      <c r="D8" s="1" t="n">
        <v>10</v>
      </c>
      <c r="G8" s="1" t="n">
        <v>10</v>
      </c>
    </row>
    <row r="9" customFormat="false" ht="15" hidden="false" customHeight="false" outlineLevel="0" collapsed="false">
      <c r="A9" s="1" t="n">
        <v>6</v>
      </c>
      <c r="B9" s="2" t="s">
        <v>31</v>
      </c>
      <c r="C9" s="1" t="s">
        <v>31</v>
      </c>
      <c r="D9" s="1" t="n">
        <v>6</v>
      </c>
      <c r="G9" s="1" t="n">
        <v>6</v>
      </c>
    </row>
    <row r="10" customFormat="false" ht="15" hidden="false" customHeight="false" outlineLevel="0" collapsed="false">
      <c r="A10" s="1" t="n">
        <v>7</v>
      </c>
      <c r="B10" s="2" t="s">
        <v>34</v>
      </c>
      <c r="D10" s="1" t="n">
        <v>1</v>
      </c>
      <c r="G10" s="1" t="n">
        <v>1</v>
      </c>
    </row>
    <row r="11" customFormat="false" ht="15" hidden="false" customHeight="false" outlineLevel="0" collapsed="false">
      <c r="A11" s="1" t="n">
        <v>8</v>
      </c>
      <c r="B11" s="2" t="s">
        <v>37</v>
      </c>
      <c r="C11" s="1" t="s">
        <v>37</v>
      </c>
      <c r="D11" s="1" t="n">
        <v>9</v>
      </c>
      <c r="G11" s="1" t="n">
        <v>9</v>
      </c>
    </row>
    <row r="12" customFormat="false" ht="15" hidden="false" customHeight="false" outlineLevel="0" collapsed="false">
      <c r="A12" s="1" t="n">
        <v>9</v>
      </c>
      <c r="B12" s="2" t="s">
        <v>41</v>
      </c>
      <c r="C12" s="1" t="s">
        <v>41</v>
      </c>
      <c r="D12" s="1" t="n">
        <v>9</v>
      </c>
      <c r="G12" s="1" t="n">
        <v>9</v>
      </c>
    </row>
    <row r="13" customFormat="false" ht="15" hidden="false" customHeight="false" outlineLevel="0" collapsed="false">
      <c r="A13" s="1" t="n">
        <v>10</v>
      </c>
      <c r="B13" s="2" t="s">
        <v>44</v>
      </c>
      <c r="C13" s="1" t="s">
        <v>44</v>
      </c>
      <c r="D13" s="1" t="n">
        <v>8</v>
      </c>
      <c r="G13" s="1" t="n">
        <v>8</v>
      </c>
    </row>
    <row r="14" customFormat="false" ht="15" hidden="false" customHeight="false" outlineLevel="0" collapsed="false">
      <c r="A14" s="1" t="n">
        <v>11</v>
      </c>
      <c r="B14" s="2" t="s">
        <v>47</v>
      </c>
      <c r="C14" s="1" t="s">
        <v>47</v>
      </c>
      <c r="D14" s="1" t="n">
        <v>10</v>
      </c>
      <c r="G14" s="1" t="n">
        <v>10</v>
      </c>
    </row>
    <row r="15" customFormat="false" ht="15" hidden="false" customHeight="false" outlineLevel="0" collapsed="false">
      <c r="A15" s="1" t="n">
        <v>12</v>
      </c>
      <c r="B15" s="2" t="s">
        <v>50</v>
      </c>
      <c r="C15" s="1" t="s">
        <v>50</v>
      </c>
      <c r="D15" s="1" t="n">
        <v>10</v>
      </c>
      <c r="G15" s="1" t="n">
        <v>10</v>
      </c>
    </row>
    <row r="16" customFormat="false" ht="15" hidden="false" customHeight="false" outlineLevel="0" collapsed="false">
      <c r="A16" s="1" t="n">
        <v>13</v>
      </c>
      <c r="B16" s="2" t="s">
        <v>53</v>
      </c>
      <c r="C16" s="1" t="s">
        <v>53</v>
      </c>
      <c r="D16" s="1" t="n">
        <v>8</v>
      </c>
      <c r="G16" s="1" t="n">
        <v>8</v>
      </c>
    </row>
    <row r="17" customFormat="false" ht="15" hidden="false" customHeight="false" outlineLevel="0" collapsed="false">
      <c r="A17" s="1" t="n">
        <v>14</v>
      </c>
      <c r="B17" s="2" t="s">
        <v>56</v>
      </c>
      <c r="C17" s="1" t="s">
        <v>56</v>
      </c>
      <c r="D17" s="1" t="n">
        <v>10</v>
      </c>
      <c r="G17" s="1" t="n">
        <v>10</v>
      </c>
    </row>
    <row r="18" customFormat="false" ht="15" hidden="false" customHeight="false" outlineLevel="0" collapsed="false">
      <c r="A18" s="1" t="n">
        <v>15</v>
      </c>
      <c r="B18" s="2" t="s">
        <v>60</v>
      </c>
      <c r="C18" s="1" t="s">
        <v>60</v>
      </c>
      <c r="D18" s="1" t="n">
        <v>9</v>
      </c>
      <c r="G18" s="1" t="n">
        <v>9</v>
      </c>
    </row>
    <row r="19" customFormat="false" ht="15" hidden="false" customHeight="false" outlineLevel="0" collapsed="false">
      <c r="A19" s="1" t="n">
        <v>16</v>
      </c>
      <c r="B19" s="2" t="s">
        <v>63</v>
      </c>
      <c r="D19" s="1" t="n">
        <v>1</v>
      </c>
      <c r="G19" s="1" t="n">
        <v>1</v>
      </c>
    </row>
    <row r="20" customFormat="false" ht="15" hidden="false" customHeight="false" outlineLevel="0" collapsed="false">
      <c r="A20" s="1" t="n">
        <v>17</v>
      </c>
      <c r="B20" s="2" t="s">
        <v>66</v>
      </c>
      <c r="C20" s="1" t="s">
        <v>66</v>
      </c>
      <c r="D20" s="1" t="n">
        <v>10</v>
      </c>
      <c r="G20" s="1" t="n">
        <v>10</v>
      </c>
    </row>
    <row r="21" customFormat="false" ht="15" hidden="false" customHeight="false" outlineLevel="0" collapsed="false">
      <c r="A21" s="1" t="n">
        <v>18</v>
      </c>
      <c r="B21" s="2" t="s">
        <v>70</v>
      </c>
      <c r="C21" s="1" t="s">
        <v>70</v>
      </c>
      <c r="D21" s="1" t="n">
        <v>9</v>
      </c>
      <c r="G21" s="1" t="n">
        <v>9</v>
      </c>
    </row>
    <row r="22" customFormat="false" ht="15" hidden="false" customHeight="false" outlineLevel="0" collapsed="false">
      <c r="A22" s="1" t="n">
        <v>19</v>
      </c>
      <c r="B22" s="2" t="s">
        <v>73</v>
      </c>
      <c r="C22" s="1" t="s">
        <v>73</v>
      </c>
      <c r="D22" s="1" t="n">
        <v>9</v>
      </c>
      <c r="G22" s="1" t="n">
        <v>9</v>
      </c>
    </row>
    <row r="23" customFormat="false" ht="15" hidden="false" customHeight="false" outlineLevel="0" collapsed="false">
      <c r="A23" s="1" t="n">
        <v>20</v>
      </c>
      <c r="B23" s="2" t="s">
        <v>76</v>
      </c>
      <c r="C23" s="1" t="s">
        <v>76</v>
      </c>
      <c r="D23" s="1" t="n">
        <v>9</v>
      </c>
      <c r="G23" s="1" t="n">
        <v>9</v>
      </c>
    </row>
    <row r="24" customFormat="false" ht="15" hidden="false" customHeight="false" outlineLevel="0" collapsed="false">
      <c r="A24" s="1" t="n">
        <v>21</v>
      </c>
      <c r="B24" s="2" t="s">
        <v>79</v>
      </c>
      <c r="C24" s="1" t="s">
        <v>79</v>
      </c>
      <c r="D24" s="1" t="n">
        <v>8</v>
      </c>
      <c r="G24" s="1" t="n">
        <v>8</v>
      </c>
    </row>
    <row r="25" customFormat="false" ht="15" hidden="false" customHeight="false" outlineLevel="0" collapsed="false">
      <c r="F25" s="1" t="s">
        <v>8</v>
      </c>
      <c r="G25" s="1" t="n">
        <f aca="false">COUNTIF(G2:G24,"&gt;0")</f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0.58203125" defaultRowHeight="15" zeroHeight="false" outlineLevelRow="0" outlineLevelCol="0"/>
  <cols>
    <col collapsed="false" customWidth="true" hidden="false" outlineLevel="0" max="3" min="3" style="1" width="19.94"/>
    <col collapsed="false" customWidth="true" hidden="false" outlineLevel="0" max="4" min="4" style="1" width="16.37"/>
  </cols>
  <sheetData>
    <row r="1" customFormat="false" ht="15" hidden="false" customHeight="false" outlineLevel="0" collapsed="false">
      <c r="A1" s="1" t="s">
        <v>0</v>
      </c>
      <c r="B1" s="2" t="s">
        <v>2</v>
      </c>
      <c r="C1" s="1" t="s">
        <v>2</v>
      </c>
      <c r="D1" s="1" t="s">
        <v>102</v>
      </c>
    </row>
    <row r="2" customFormat="false" ht="15" hidden="false" customHeight="false" outlineLevel="0" collapsed="false">
      <c r="A2" s="1" t="n">
        <v>1</v>
      </c>
      <c r="B2" s="2" t="s">
        <v>11</v>
      </c>
      <c r="C2" s="1" t="s">
        <v>11</v>
      </c>
      <c r="D2" s="1" t="n">
        <v>9.02</v>
      </c>
    </row>
    <row r="3" customFormat="false" ht="15" hidden="false" customHeight="false" outlineLevel="0" collapsed="false">
      <c r="A3" s="1" t="n">
        <v>2</v>
      </c>
      <c r="B3" s="2" t="s">
        <v>16</v>
      </c>
      <c r="C3" s="1" t="s">
        <v>16</v>
      </c>
      <c r="D3" s="1" t="n">
        <v>9.22</v>
      </c>
    </row>
    <row r="4" customFormat="false" ht="15" hidden="false" customHeight="false" outlineLevel="0" collapsed="false">
      <c r="A4" s="1" t="n">
        <v>3</v>
      </c>
      <c r="B4" s="2" t="s">
        <v>20</v>
      </c>
      <c r="C4" s="1" t="s">
        <v>20</v>
      </c>
      <c r="D4" s="1" t="n">
        <v>9.22</v>
      </c>
    </row>
    <row r="5" customFormat="false" ht="15" hidden="false" customHeight="false" outlineLevel="0" collapsed="false">
      <c r="A5" s="1" t="n">
        <v>4</v>
      </c>
      <c r="B5" s="2" t="s">
        <v>23</v>
      </c>
      <c r="C5" s="1" t="s">
        <v>23</v>
      </c>
      <c r="D5" s="1" t="n">
        <v>10</v>
      </c>
    </row>
    <row r="6" customFormat="false" ht="15" hidden="false" customHeight="false" outlineLevel="0" collapsed="false">
      <c r="A6" s="1" t="n">
        <v>5</v>
      </c>
      <c r="B6" s="2" t="s">
        <v>26</v>
      </c>
      <c r="C6" s="1" t="s">
        <v>26</v>
      </c>
      <c r="D6" s="1" t="n">
        <v>9.22</v>
      </c>
    </row>
    <row r="7" customFormat="false" ht="15" hidden="false" customHeight="false" outlineLevel="0" collapsed="false">
      <c r="A7" s="1" t="n">
        <v>6</v>
      </c>
      <c r="B7" s="2" t="s">
        <v>31</v>
      </c>
      <c r="C7" s="1" t="s">
        <v>31</v>
      </c>
      <c r="D7" s="1" t="n">
        <v>10</v>
      </c>
    </row>
    <row r="8" customFormat="false" ht="15" hidden="false" customHeight="false" outlineLevel="0" collapsed="false">
      <c r="A8" s="1" t="n">
        <v>7</v>
      </c>
      <c r="B8" s="2" t="s">
        <v>34</v>
      </c>
      <c r="C8" s="1" t="s">
        <v>34</v>
      </c>
      <c r="D8" s="1" t="n">
        <v>8.04</v>
      </c>
    </row>
    <row r="9" customFormat="false" ht="15" hidden="false" customHeight="false" outlineLevel="0" collapsed="false">
      <c r="A9" s="1" t="n">
        <v>8</v>
      </c>
      <c r="B9" s="2" t="s">
        <v>37</v>
      </c>
      <c r="C9" s="1" t="s">
        <v>37</v>
      </c>
      <c r="D9" s="1" t="n">
        <v>9.22</v>
      </c>
    </row>
    <row r="10" customFormat="false" ht="15" hidden="false" customHeight="false" outlineLevel="0" collapsed="false">
      <c r="A10" s="1" t="n">
        <v>9</v>
      </c>
      <c r="B10" s="2" t="s">
        <v>41</v>
      </c>
      <c r="C10" s="1" t="s">
        <v>41</v>
      </c>
      <c r="D10" s="1" t="n">
        <v>9.02</v>
      </c>
    </row>
    <row r="11" customFormat="false" ht="15" hidden="false" customHeight="false" outlineLevel="0" collapsed="false">
      <c r="A11" s="1" t="n">
        <v>10</v>
      </c>
      <c r="B11" s="2" t="s">
        <v>44</v>
      </c>
      <c r="C11" s="1" t="s">
        <v>44</v>
      </c>
      <c r="D11" s="1" t="n">
        <v>9.22</v>
      </c>
    </row>
    <row r="12" customFormat="false" ht="15" hidden="false" customHeight="false" outlineLevel="0" collapsed="false">
      <c r="A12" s="1" t="n">
        <v>11</v>
      </c>
      <c r="B12" s="2" t="s">
        <v>47</v>
      </c>
      <c r="C12" s="1" t="s">
        <v>47</v>
      </c>
      <c r="D12" s="1" t="n">
        <v>9.22</v>
      </c>
    </row>
    <row r="13" customFormat="false" ht="15" hidden="false" customHeight="false" outlineLevel="0" collapsed="false">
      <c r="A13" s="1" t="n">
        <v>12</v>
      </c>
      <c r="B13" s="2" t="s">
        <v>50</v>
      </c>
      <c r="C13" s="1" t="s">
        <v>50</v>
      </c>
      <c r="D13" s="1" t="n">
        <v>9.12</v>
      </c>
    </row>
    <row r="14" customFormat="false" ht="15" hidden="false" customHeight="false" outlineLevel="0" collapsed="false">
      <c r="A14" s="1" t="n">
        <v>13</v>
      </c>
      <c r="B14" s="2" t="s">
        <v>53</v>
      </c>
      <c r="C14" s="1" t="s">
        <v>53</v>
      </c>
      <c r="D14" s="1" t="n">
        <v>10</v>
      </c>
    </row>
    <row r="15" customFormat="false" ht="15" hidden="false" customHeight="false" outlineLevel="0" collapsed="false">
      <c r="A15" s="1" t="n">
        <v>14</v>
      </c>
      <c r="B15" s="2" t="s">
        <v>56</v>
      </c>
      <c r="C15" s="1" t="s">
        <v>56</v>
      </c>
      <c r="D15" s="1" t="n">
        <v>10</v>
      </c>
    </row>
    <row r="16" customFormat="false" ht="15" hidden="false" customHeight="false" outlineLevel="0" collapsed="false">
      <c r="A16" s="1" t="n">
        <v>15</v>
      </c>
      <c r="B16" s="2" t="s">
        <v>60</v>
      </c>
      <c r="C16" s="1" t="s">
        <v>60</v>
      </c>
      <c r="D16" s="1" t="n">
        <v>9.22</v>
      </c>
    </row>
    <row r="17" customFormat="false" ht="15" hidden="false" customHeight="false" outlineLevel="0" collapsed="false">
      <c r="A17" s="1" t="n">
        <v>16</v>
      </c>
      <c r="B17" s="2" t="s">
        <v>63</v>
      </c>
      <c r="D17" s="1" t="n">
        <v>1</v>
      </c>
    </row>
    <row r="18" customFormat="false" ht="15" hidden="false" customHeight="false" outlineLevel="0" collapsed="false">
      <c r="A18" s="1" t="n">
        <v>17</v>
      </c>
      <c r="B18" s="2" t="s">
        <v>66</v>
      </c>
      <c r="C18" s="1" t="s">
        <v>66</v>
      </c>
      <c r="D18" s="1" t="n">
        <v>9.22</v>
      </c>
    </row>
    <row r="19" customFormat="false" ht="15" hidden="false" customHeight="false" outlineLevel="0" collapsed="false">
      <c r="A19" s="1" t="n">
        <v>18</v>
      </c>
      <c r="B19" s="2" t="s">
        <v>70</v>
      </c>
      <c r="C19" s="1" t="s">
        <v>70</v>
      </c>
      <c r="D19" s="1" t="n">
        <v>8.04</v>
      </c>
    </row>
    <row r="20" customFormat="false" ht="15" hidden="false" customHeight="false" outlineLevel="0" collapsed="false">
      <c r="A20" s="1" t="n">
        <v>19</v>
      </c>
      <c r="B20" s="2" t="s">
        <v>73</v>
      </c>
      <c r="C20" s="1" t="s">
        <v>73</v>
      </c>
      <c r="D20" s="1" t="n">
        <v>8.43</v>
      </c>
    </row>
    <row r="21" customFormat="false" ht="15" hidden="false" customHeight="false" outlineLevel="0" collapsed="false">
      <c r="A21" s="1" t="n">
        <v>20</v>
      </c>
      <c r="B21" s="2" t="s">
        <v>76</v>
      </c>
      <c r="C21" s="1" t="s">
        <v>76</v>
      </c>
      <c r="D21" s="1" t="n">
        <v>8.82</v>
      </c>
    </row>
    <row r="22" customFormat="false" ht="15" hidden="false" customHeight="false" outlineLevel="0" collapsed="false">
      <c r="A22" s="1" t="n">
        <v>21</v>
      </c>
      <c r="B22" s="2" t="s">
        <v>79</v>
      </c>
      <c r="C22" s="1" t="s">
        <v>79</v>
      </c>
      <c r="D22" s="1" t="n">
        <v>6.86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0.58203125" defaultRowHeight="15" zeroHeight="false" outlineLevelRow="0" outlineLevelCol="0"/>
  <cols>
    <col collapsed="false" customWidth="true" hidden="false" outlineLevel="0" max="1" min="1" style="0" width="4.25"/>
    <col collapsed="false" customWidth="true" hidden="false" outlineLevel="0" max="3" min="2" style="0" width="19.94"/>
  </cols>
  <sheetData>
    <row r="1" customFormat="false" ht="15" hidden="false" customHeight="false" outlineLevel="0" collapsed="false">
      <c r="A1" s="1" t="s">
        <v>0</v>
      </c>
      <c r="B1" s="2" t="s">
        <v>2</v>
      </c>
      <c r="C1" s="0" t="s">
        <v>2</v>
      </c>
      <c r="D1" s="0" t="s">
        <v>102</v>
      </c>
    </row>
    <row r="2" customFormat="false" ht="15" hidden="false" customHeight="false" outlineLevel="0" collapsed="false">
      <c r="A2" s="1" t="n">
        <v>1</v>
      </c>
      <c r="B2" s="2" t="s">
        <v>11</v>
      </c>
      <c r="D2" s="0" t="n">
        <v>1</v>
      </c>
    </row>
    <row r="3" customFormat="false" ht="15" hidden="false" customHeight="false" outlineLevel="0" collapsed="false">
      <c r="A3" s="1" t="n">
        <v>2</v>
      </c>
      <c r="B3" s="2" t="s">
        <v>16</v>
      </c>
      <c r="C3" s="0" t="s">
        <v>16</v>
      </c>
      <c r="D3" s="0" t="n">
        <v>9</v>
      </c>
    </row>
    <row r="4" customFormat="false" ht="15" hidden="false" customHeight="false" outlineLevel="0" collapsed="false">
      <c r="A4" s="1" t="n">
        <v>3</v>
      </c>
      <c r="B4" s="2" t="s">
        <v>20</v>
      </c>
      <c r="C4" s="0" t="s">
        <v>20</v>
      </c>
      <c r="D4" s="0" t="n">
        <v>5</v>
      </c>
    </row>
    <row r="5" customFormat="false" ht="15" hidden="false" customHeight="false" outlineLevel="0" collapsed="false">
      <c r="A5" s="1" t="n">
        <v>4</v>
      </c>
      <c r="B5" s="2" t="s">
        <v>23</v>
      </c>
      <c r="C5" s="0" t="s">
        <v>23</v>
      </c>
      <c r="D5" s="0" t="n">
        <v>10</v>
      </c>
    </row>
    <row r="6" customFormat="false" ht="15" hidden="false" customHeight="false" outlineLevel="0" collapsed="false">
      <c r="A6" s="1" t="n">
        <v>5</v>
      </c>
      <c r="B6" s="2" t="s">
        <v>26</v>
      </c>
      <c r="C6" s="0" t="s">
        <v>26</v>
      </c>
      <c r="D6" s="0" t="n">
        <v>9</v>
      </c>
    </row>
    <row r="7" customFormat="false" ht="15" hidden="false" customHeight="false" outlineLevel="0" collapsed="false">
      <c r="A7" s="1" t="n">
        <v>6</v>
      </c>
      <c r="B7" s="2" t="s">
        <v>31</v>
      </c>
      <c r="C7" s="0" t="s">
        <v>31</v>
      </c>
      <c r="D7" s="0" t="n">
        <v>5</v>
      </c>
    </row>
    <row r="8" customFormat="false" ht="15" hidden="false" customHeight="false" outlineLevel="0" collapsed="false">
      <c r="A8" s="1" t="n">
        <v>7</v>
      </c>
      <c r="B8" s="2" t="s">
        <v>34</v>
      </c>
      <c r="C8" s="0" t="s">
        <v>34</v>
      </c>
      <c r="D8" s="0" t="n">
        <v>5</v>
      </c>
    </row>
    <row r="9" customFormat="false" ht="15" hidden="false" customHeight="false" outlineLevel="0" collapsed="false">
      <c r="A9" s="1" t="n">
        <v>8</v>
      </c>
      <c r="B9" s="2" t="s">
        <v>37</v>
      </c>
      <c r="C9" s="0" t="s">
        <v>37</v>
      </c>
      <c r="D9" s="0" t="n">
        <v>9</v>
      </c>
    </row>
    <row r="10" customFormat="false" ht="15" hidden="false" customHeight="false" outlineLevel="0" collapsed="false">
      <c r="A10" s="1" t="n">
        <v>9</v>
      </c>
      <c r="B10" s="2" t="s">
        <v>41</v>
      </c>
      <c r="C10" s="0" t="s">
        <v>41</v>
      </c>
      <c r="D10" s="0" t="n">
        <v>10</v>
      </c>
    </row>
    <row r="11" customFormat="false" ht="15" hidden="false" customHeight="false" outlineLevel="0" collapsed="false">
      <c r="A11" s="1" t="n">
        <v>10</v>
      </c>
      <c r="B11" s="2" t="s">
        <v>44</v>
      </c>
      <c r="C11" s="0" t="s">
        <v>44</v>
      </c>
      <c r="D11" s="0" t="n">
        <v>1</v>
      </c>
    </row>
    <row r="12" customFormat="false" ht="15" hidden="false" customHeight="false" outlineLevel="0" collapsed="false">
      <c r="A12" s="1" t="n">
        <v>11</v>
      </c>
      <c r="B12" s="2" t="s">
        <v>47</v>
      </c>
      <c r="C12" s="0" t="s">
        <v>47</v>
      </c>
      <c r="D12" s="0" t="n">
        <v>1</v>
      </c>
    </row>
    <row r="13" customFormat="false" ht="15" hidden="false" customHeight="false" outlineLevel="0" collapsed="false">
      <c r="A13" s="1" t="n">
        <v>12</v>
      </c>
      <c r="B13" s="2" t="s">
        <v>50</v>
      </c>
      <c r="C13" s="0" t="s">
        <v>50</v>
      </c>
      <c r="D13" s="0" t="n">
        <v>9</v>
      </c>
    </row>
    <row r="14" customFormat="false" ht="15" hidden="false" customHeight="false" outlineLevel="0" collapsed="false">
      <c r="A14" s="1" t="n">
        <v>13</v>
      </c>
      <c r="B14" s="2" t="s">
        <v>53</v>
      </c>
      <c r="D14" s="0" t="n">
        <v>1</v>
      </c>
    </row>
    <row r="15" customFormat="false" ht="15" hidden="false" customHeight="false" outlineLevel="0" collapsed="false">
      <c r="A15" s="1" t="n">
        <v>14</v>
      </c>
      <c r="B15" s="2" t="s">
        <v>56</v>
      </c>
      <c r="C15" s="0" t="s">
        <v>56</v>
      </c>
      <c r="D15" s="0" t="n">
        <v>1</v>
      </c>
    </row>
    <row r="16" customFormat="false" ht="15" hidden="false" customHeight="false" outlineLevel="0" collapsed="false">
      <c r="A16" s="1" t="n">
        <v>15</v>
      </c>
      <c r="B16" s="2" t="s">
        <v>60</v>
      </c>
      <c r="C16" s="0" t="s">
        <v>60</v>
      </c>
      <c r="D16" s="0" t="n">
        <v>8</v>
      </c>
    </row>
    <row r="17" customFormat="false" ht="15" hidden="false" customHeight="false" outlineLevel="0" collapsed="false">
      <c r="A17" s="1" t="n">
        <v>16</v>
      </c>
      <c r="B17" s="2" t="s">
        <v>63</v>
      </c>
      <c r="D17" s="0" t="n">
        <v>1</v>
      </c>
    </row>
    <row r="18" customFormat="false" ht="15" hidden="false" customHeight="false" outlineLevel="0" collapsed="false">
      <c r="A18" s="1" t="n">
        <v>17</v>
      </c>
      <c r="B18" s="2" t="s">
        <v>66</v>
      </c>
      <c r="C18" s="0" t="s">
        <v>66</v>
      </c>
      <c r="D18" s="0" t="n">
        <v>6</v>
      </c>
    </row>
    <row r="19" customFormat="false" ht="15" hidden="false" customHeight="false" outlineLevel="0" collapsed="false">
      <c r="A19" s="1" t="n">
        <v>18</v>
      </c>
      <c r="B19" s="2" t="s">
        <v>70</v>
      </c>
      <c r="C19" s="0" t="s">
        <v>70</v>
      </c>
      <c r="D19" s="0" t="n">
        <v>9</v>
      </c>
    </row>
    <row r="20" customFormat="false" ht="15" hidden="false" customHeight="false" outlineLevel="0" collapsed="false">
      <c r="A20" s="1" t="n">
        <v>19</v>
      </c>
      <c r="B20" s="2" t="s">
        <v>73</v>
      </c>
      <c r="D20" s="0" t="n">
        <v>1</v>
      </c>
    </row>
    <row r="21" customFormat="false" ht="15" hidden="false" customHeight="false" outlineLevel="0" collapsed="false">
      <c r="A21" s="1" t="n">
        <v>20</v>
      </c>
      <c r="B21" s="2" t="s">
        <v>76</v>
      </c>
      <c r="C21" s="0" t="s">
        <v>76</v>
      </c>
      <c r="D21" s="0" t="n">
        <v>8</v>
      </c>
    </row>
    <row r="22" customFormat="false" ht="15" hidden="false" customHeight="false" outlineLevel="0" collapsed="false">
      <c r="A22" s="1" t="n">
        <v>21</v>
      </c>
      <c r="B22" s="2" t="s">
        <v>79</v>
      </c>
      <c r="D22" s="0" t="n">
        <v>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D2" activeCellId="0" sqref="D2"/>
    </sheetView>
  </sheetViews>
  <sheetFormatPr defaultColWidth="10.58203125" defaultRowHeight="15" zeroHeight="false" outlineLevelRow="0" outlineLevelCol="0"/>
  <cols>
    <col collapsed="false" customWidth="true" hidden="false" outlineLevel="0" max="1" min="1" style="0" width="4.25"/>
    <col collapsed="false" customWidth="true" hidden="false" outlineLevel="0" max="3" min="2" style="0" width="19.94"/>
  </cols>
  <sheetData>
    <row r="1" customFormat="false" ht="15" hidden="false" customHeight="false" outlineLevel="0" collapsed="false">
      <c r="A1" s="1" t="s">
        <v>0</v>
      </c>
      <c r="B1" s="2" t="s">
        <v>2</v>
      </c>
      <c r="C1" s="0" t="s">
        <v>2</v>
      </c>
      <c r="D1" s="0" t="s">
        <v>102</v>
      </c>
    </row>
    <row r="2" customFormat="false" ht="15" hidden="false" customHeight="false" outlineLevel="0" collapsed="false">
      <c r="A2" s="1" t="n">
        <v>1</v>
      </c>
      <c r="B2" s="2" t="s">
        <v>11</v>
      </c>
      <c r="C2" s="0" t="s">
        <v>11</v>
      </c>
      <c r="D2" s="0" t="n">
        <v>1</v>
      </c>
    </row>
    <row r="3" customFormat="false" ht="15" hidden="false" customHeight="false" outlineLevel="0" collapsed="false">
      <c r="A3" s="1" t="n">
        <v>2</v>
      </c>
      <c r="B3" s="2" t="s">
        <v>16</v>
      </c>
      <c r="C3" s="0" t="s">
        <v>16</v>
      </c>
      <c r="D3" s="0" t="n">
        <v>7</v>
      </c>
    </row>
    <row r="4" customFormat="false" ht="15" hidden="false" customHeight="false" outlineLevel="0" collapsed="false">
      <c r="A4" s="1" t="n">
        <v>3</v>
      </c>
      <c r="B4" s="2" t="s">
        <v>20</v>
      </c>
      <c r="D4" s="0" t="n">
        <v>1</v>
      </c>
    </row>
    <row r="5" customFormat="false" ht="15" hidden="false" customHeight="false" outlineLevel="0" collapsed="false">
      <c r="A5" s="1" t="n">
        <v>4</v>
      </c>
      <c r="B5" s="2" t="s">
        <v>23</v>
      </c>
      <c r="C5" s="0" t="s">
        <v>23</v>
      </c>
      <c r="D5" s="0" t="n">
        <v>4</v>
      </c>
    </row>
    <row r="6" customFormat="false" ht="15" hidden="false" customHeight="false" outlineLevel="0" collapsed="false">
      <c r="A6" s="1" t="n">
        <v>5</v>
      </c>
      <c r="B6" s="2" t="s">
        <v>26</v>
      </c>
      <c r="D6" s="0" t="n">
        <v>1</v>
      </c>
    </row>
    <row r="7" customFormat="false" ht="15" hidden="false" customHeight="false" outlineLevel="0" collapsed="false">
      <c r="A7" s="1" t="n">
        <v>6</v>
      </c>
      <c r="B7" s="2" t="s">
        <v>31</v>
      </c>
      <c r="C7" s="0" t="s">
        <v>31</v>
      </c>
      <c r="D7" s="0" t="n">
        <v>7</v>
      </c>
    </row>
    <row r="8" customFormat="false" ht="15" hidden="false" customHeight="false" outlineLevel="0" collapsed="false">
      <c r="A8" s="1" t="n">
        <v>7</v>
      </c>
      <c r="B8" s="2" t="s">
        <v>34</v>
      </c>
      <c r="C8" s="0" t="s">
        <v>34</v>
      </c>
      <c r="D8" s="0" t="n">
        <v>8</v>
      </c>
    </row>
    <row r="9" customFormat="false" ht="15" hidden="false" customHeight="false" outlineLevel="0" collapsed="false">
      <c r="A9" s="1" t="n">
        <v>8</v>
      </c>
      <c r="B9" s="2" t="s">
        <v>37</v>
      </c>
      <c r="C9" s="0" t="s">
        <v>37</v>
      </c>
      <c r="D9" s="0" t="n">
        <v>4</v>
      </c>
    </row>
    <row r="10" customFormat="false" ht="15" hidden="false" customHeight="false" outlineLevel="0" collapsed="false">
      <c r="A10" s="1" t="n">
        <v>9</v>
      </c>
      <c r="B10" s="2" t="s">
        <v>41</v>
      </c>
      <c r="C10" s="0" t="s">
        <v>41</v>
      </c>
      <c r="D10" s="0" t="n">
        <v>10</v>
      </c>
    </row>
    <row r="11" customFormat="false" ht="15" hidden="false" customHeight="false" outlineLevel="0" collapsed="false">
      <c r="A11" s="1" t="n">
        <v>10</v>
      </c>
      <c r="B11" s="2" t="s">
        <v>44</v>
      </c>
      <c r="C11" s="0" t="s">
        <v>44</v>
      </c>
      <c r="D11" s="0" t="n">
        <v>1</v>
      </c>
    </row>
    <row r="12" customFormat="false" ht="15" hidden="false" customHeight="false" outlineLevel="0" collapsed="false">
      <c r="A12" s="1" t="n">
        <v>11</v>
      </c>
      <c r="B12" s="2" t="s">
        <v>47</v>
      </c>
      <c r="C12" s="0" t="s">
        <v>47</v>
      </c>
      <c r="D12" s="0" t="n">
        <v>10</v>
      </c>
    </row>
    <row r="13" customFormat="false" ht="15" hidden="false" customHeight="false" outlineLevel="0" collapsed="false">
      <c r="A13" s="1" t="n">
        <v>12</v>
      </c>
      <c r="B13" s="2" t="s">
        <v>50</v>
      </c>
      <c r="C13" s="0" t="s">
        <v>50</v>
      </c>
      <c r="D13" s="0" t="n">
        <v>8</v>
      </c>
    </row>
    <row r="14" customFormat="false" ht="15" hidden="false" customHeight="false" outlineLevel="0" collapsed="false">
      <c r="A14" s="1" t="n">
        <v>13</v>
      </c>
      <c r="B14" s="2" t="s">
        <v>53</v>
      </c>
      <c r="C14" s="0" t="s">
        <v>53</v>
      </c>
      <c r="D14" s="0" t="n">
        <v>3</v>
      </c>
    </row>
    <row r="15" customFormat="false" ht="15" hidden="false" customHeight="false" outlineLevel="0" collapsed="false">
      <c r="A15" s="1" t="n">
        <v>14</v>
      </c>
      <c r="B15" s="2" t="s">
        <v>56</v>
      </c>
      <c r="C15" s="0" t="s">
        <v>56</v>
      </c>
      <c r="D15" s="0" t="n">
        <v>8</v>
      </c>
    </row>
    <row r="16" customFormat="false" ht="15" hidden="false" customHeight="false" outlineLevel="0" collapsed="false">
      <c r="A16" s="1" t="n">
        <v>15</v>
      </c>
      <c r="B16" s="2" t="s">
        <v>60</v>
      </c>
      <c r="C16" s="0" t="s">
        <v>60</v>
      </c>
      <c r="D16" s="0" t="n">
        <v>9</v>
      </c>
    </row>
    <row r="17" customFormat="false" ht="15" hidden="false" customHeight="false" outlineLevel="0" collapsed="false">
      <c r="A17" s="1" t="n">
        <v>16</v>
      </c>
      <c r="B17" s="2" t="s">
        <v>63</v>
      </c>
      <c r="C17" s="0" t="s">
        <v>63</v>
      </c>
      <c r="D17" s="0" t="n">
        <v>6</v>
      </c>
    </row>
    <row r="18" customFormat="false" ht="15" hidden="false" customHeight="false" outlineLevel="0" collapsed="false">
      <c r="A18" s="1" t="n">
        <v>17</v>
      </c>
      <c r="B18" s="2" t="s">
        <v>66</v>
      </c>
      <c r="C18" s="0" t="s">
        <v>66</v>
      </c>
      <c r="D18" s="0" t="n">
        <v>8</v>
      </c>
    </row>
    <row r="19" customFormat="false" ht="15" hidden="false" customHeight="false" outlineLevel="0" collapsed="false">
      <c r="A19" s="1" t="n">
        <v>18</v>
      </c>
      <c r="B19" s="2" t="s">
        <v>70</v>
      </c>
      <c r="C19" s="0" t="s">
        <v>70</v>
      </c>
      <c r="D19" s="0" t="n">
        <v>6</v>
      </c>
    </row>
    <row r="20" customFormat="false" ht="15" hidden="false" customHeight="false" outlineLevel="0" collapsed="false">
      <c r="A20" s="1" t="n">
        <v>19</v>
      </c>
      <c r="B20" s="2" t="s">
        <v>73</v>
      </c>
      <c r="C20" s="0" t="s">
        <v>73</v>
      </c>
      <c r="D20" s="0" t="n">
        <v>1</v>
      </c>
    </row>
    <row r="21" customFormat="false" ht="15" hidden="false" customHeight="false" outlineLevel="0" collapsed="false">
      <c r="A21" s="1" t="n">
        <v>20</v>
      </c>
      <c r="B21" s="2" t="s">
        <v>76</v>
      </c>
      <c r="C21" s="0" t="s">
        <v>76</v>
      </c>
      <c r="D21" s="0" t="n">
        <v>6</v>
      </c>
    </row>
    <row r="22" customFormat="false" ht="15" hidden="false" customHeight="false" outlineLevel="0" collapsed="false">
      <c r="A22" s="1" t="n">
        <v>21</v>
      </c>
      <c r="B22" s="2" t="s">
        <v>79</v>
      </c>
      <c r="C22" s="0" t="s">
        <v>79</v>
      </c>
      <c r="D22" s="0" t="n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11681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2025-05-05T16:17:36Z</dcterms:created>
  <dc:creator/>
  <dc:description/>
  <dc:language>es-AR</dc:language>
  <cp:lastModifiedBy/>
  <dcterms:modified xsi:type="dcterms:W3CDTF">2026-08-07T21:22:30Z</dcterms:modified>
  <cp:revision>119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