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rl serie" sheetId="4" state="visible" r:id="rId6"/>
    <sheet name="2-rl-Serie" sheetId="5" state="visible" r:id="rId7"/>
    <sheet name="3-Rl paralelo" sheetId="6" state="visible" r:id="rId8"/>
    <sheet name="4-RC paralelo" sheetId="7" state="visible" r:id="rId9"/>
    <sheet name="evaluacion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<sst xmlns="http://schemas.openxmlformats.org/spreadsheetml/2006/main" count="882" uniqueCount="102">
  <si>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</si>
  <si>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</si>
  <si>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</si>
  <si>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</si>
  <si>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</si>
  <si>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</si>
  <si>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</si>
  <si>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ausente</t>
  </si>
  <si>
    <t xml:space="preserve">total</t>
  </si>
  <si>
    <t xml:space="preserve">nota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</si>
  <si>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</si>
  <si>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</si>
  <si>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</si>
  <si>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</si>
  <si>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</si>
  <si>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</si>
  <si>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</si>
  <si>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</si>
  <si>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p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</si>
  <si>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</si>
  <si>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</si>
  <si>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</si>
  <si>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</si>
  <si>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</si>
  <si>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</si>
  <si>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</si>
  <si>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</si>
  <si>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</si>
  <si>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</si>
  <si>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</si>
  <si>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</si>
  <si>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</si>
  <si>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</si>
  <si>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</si>
  <si>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</si>
  <si>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</si>
  <si>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</si>
  <si>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</si>
  <si>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O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</si>
  <si>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</si>
  <si>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</si>
  <si>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</si>
  <si>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</si>
  <si>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</si>
  <si>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</si>
  <si>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</si>
  <si>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</si>
  <si>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</si>
  <si>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</si>
  <si>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</si>
  <si>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</si>
  <si>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</si>
  <si>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</si>
  <si>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</si>
  <si>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</si>
  <si>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</si>
  <si>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</si>
  <si>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traumatologo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</si>
  <si>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</si>
  <si>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</si>
  <si>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</si>
  <si>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</si>
  <si>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</si>
  <si>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</si>
  <si>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</si>
  <si>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</si>
  <si>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</si>
  <si>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Se retiro 19:30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</si>
  <si>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</si>
  <si>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</si>
  <si>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</si>
  <si>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</si>
  <si>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</si>
  <si>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</si>
  <si>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</si>
  <si>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</si>
  <si>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</si>
  <si>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</si>
  <si>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</si>
  <si>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</si>
  <si>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media falta</t>
  </si>
  <si>
    <t xml:space="preserve">tarde</t>
  </si>
  <si>
    <t xml:space="preserve">olimpiadas</t>
  </si>
  <si>
    <t xml:space="preserve">toal</t>
  </si>
  <si>
    <t xml:space="preserve">Carpeta</t>
  </si>
  <si>
    <t xml:space="preserve">1-RL Serie</t>
  </si>
  <si>
    <t xml:space="preserve">recupero</t>
  </si>
  <si>
    <t xml:space="preserve">2-Rl serie</t>
  </si>
  <si>
    <t xml:space="preserve">Recup</t>
  </si>
  <si>
    <t xml:space="preserve">3-rl paralelo</t>
  </si>
  <si>
    <t xml:space="preserve">4-RC paralelo</t>
  </si>
  <si>
    <t xml:space="preserve">asistencia</t>
  </si>
  <si>
    <t xml:space="preserve">Evaluacion</t>
  </si>
  <si>
    <t xml:space="preserve">valoracion</t>
  </si>
  <si>
    <t xml:space="preserve">1A-2A</t>
  </si>
  <si>
    <t xml:space="preserve">cañon de Gauss</t>
  </si>
  <si>
    <t xml:space="preserve">-</t>
  </si>
  <si>
    <t xml:space="preserve">Calificación/10,00</t>
  </si>
  <si>
    <t xml:space="preserve">promedio</t>
  </si>
  <si>
    <t xml:space="preserve">segundo</t>
  </si>
  <si>
    <t xml:space="preserve">maximo</t>
  </si>
  <si>
    <t xml:space="preserve">final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</si>
</sst>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true" showOutlineSymbols="true" defaultGridColor="true" view="normal" topLeftCell="A9" colorId="64" zoomScale="100" zoomScaleNormal="100" zoomScalePageLayoutView="100" workbookViewId="0">
      <selection pane="topLeft" activeCell="AH24" activeCellId="0" sqref="AH24:AH28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true" outlineLevel="0" max="5" min="5" style="1" width="8.68"/>
    <col collapsed="false" customWidth="false" hidden="true" outlineLevel="0" max="19" min="6" style="1" width="8.75"/>
    <col collapsed="false" customWidth="true" hidden="true" outlineLevel="0" max="20" min="20" style="1" width="13.25"/>
    <col collapsed="false" customWidth="false" hidden="true" outlineLevel="0" max="23" min="21" style="1" width="8.75"/>
    <col collapsed="false" customWidth="true" hidden="false" outlineLevel="0" max="16384" min="16200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F2" s="3" t="n">
        <v>46097</v>
      </c>
      <c r="G2" s="3" t="n">
        <v>46108</v>
      </c>
      <c r="H2" s="3" t="n">
        <v>46111</v>
      </c>
      <c r="I2" s="3" t="s">
        <v>4</v>
      </c>
      <c r="J2" s="3" t="n">
        <v>46118</v>
      </c>
      <c r="K2" s="3" t="n">
        <v>46122</v>
      </c>
      <c r="L2" s="3" t="n">
        <v>46125</v>
      </c>
      <c r="M2" s="3" t="n">
        <v>46129</v>
      </c>
      <c r="N2" s="3" t="n">
        <v>46132</v>
      </c>
      <c r="O2" s="3" t="n">
        <v>46136</v>
      </c>
      <c r="P2" s="3" t="n">
        <v>46139</v>
      </c>
      <c r="Q2" s="3" t="n">
        <v>46146</v>
      </c>
      <c r="R2" s="3" t="n">
        <v>46150</v>
      </c>
      <c r="S2" s="3" t="n">
        <v>46157</v>
      </c>
      <c r="T2" s="3" t="s">
        <v>4</v>
      </c>
      <c r="U2" s="3" t="n">
        <v>46160</v>
      </c>
      <c r="V2" s="3"/>
      <c r="W2" s="3" t="n">
        <v>46164</v>
      </c>
      <c r="X2" s="3" t="n">
        <v>46171</v>
      </c>
      <c r="Y2" s="3" t="s">
        <v>5</v>
      </c>
      <c r="Z2" s="3" t="s">
        <v>6</v>
      </c>
      <c r="AA2" s="3" t="s">
        <v>7</v>
      </c>
      <c r="AB2" s="3" t="s">
        <v>8</v>
      </c>
      <c r="AC2" s="3" t="s">
        <v>9</v>
      </c>
      <c r="AD2" s="3" t="n">
        <v>46174</v>
      </c>
      <c r="AE2" s="3" t="n">
        <v>46178</v>
      </c>
      <c r="AF2" s="3" t="n">
        <v>46181</v>
      </c>
      <c r="AG2" s="3" t="n">
        <v>46185</v>
      </c>
      <c r="AH2" s="3" t="n">
        <v>46192</v>
      </c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</row>
    <row r="3" customFormat="false" ht="15" hidden="false" customHeight="false" outlineLevel="0" collapsed="false">
      <c r="A3" s="1" t="n">
        <v>1</v>
      </c>
      <c r="B3" s="2" t="s">
        <v>10</v>
      </c>
      <c r="C3" s="2" t="s">
        <v>11</v>
      </c>
      <c r="D3" s="2" t="s">
        <v>12</v>
      </c>
      <c r="E3" s="1" t="s">
        <v>13</v>
      </c>
      <c r="F3" s="2" t="s">
        <v>13</v>
      </c>
      <c r="G3" s="2" t="s">
        <v>13</v>
      </c>
      <c r="H3" s="2" t="s">
        <v>13</v>
      </c>
      <c r="J3" s="2" t="s">
        <v>13</v>
      </c>
      <c r="K3" s="2" t="s">
        <v>14</v>
      </c>
      <c r="L3" s="2" t="s">
        <v>13</v>
      </c>
      <c r="M3" s="2" t="s">
        <v>13</v>
      </c>
      <c r="N3" s="2" t="s">
        <v>13</v>
      </c>
      <c r="O3" s="2" t="s">
        <v>13</v>
      </c>
      <c r="P3" s="2" t="s">
        <v>13</v>
      </c>
      <c r="Q3" s="2" t="s">
        <v>13</v>
      </c>
      <c r="R3" s="2" t="s">
        <v>13</v>
      </c>
      <c r="S3" s="2" t="s">
        <v>13</v>
      </c>
      <c r="U3" s="2" t="s">
        <v>13</v>
      </c>
      <c r="V3" s="2"/>
      <c r="W3" s="2" t="s">
        <v>13</v>
      </c>
      <c r="X3" s="2" t="s">
        <v>13</v>
      </c>
      <c r="Y3" s="2" t="n">
        <f aca="false">COUNTIF(E3:X3,"P")</f>
        <v>16</v>
      </c>
      <c r="Z3" s="2" t="n">
        <f aca="false">COUNTIF(E3:X3,"M")</f>
        <v>0</v>
      </c>
      <c r="AA3" s="2" t="n">
        <f aca="false">COUNTIF(E3:X3,"A")</f>
        <v>1</v>
      </c>
      <c r="AB3" s="2" t="n">
        <f aca="false">SUM(Y3:AA3)</f>
        <v>17</v>
      </c>
      <c r="AC3" s="4" t="n">
        <f aca="false">ROUND((Y3+Z3/2)*10/AB3,0)</f>
        <v>9</v>
      </c>
      <c r="AD3" s="2" t="s">
        <v>13</v>
      </c>
      <c r="AE3" s="2" t="s">
        <v>13</v>
      </c>
      <c r="AF3" s="2" t="s">
        <v>13</v>
      </c>
      <c r="AG3" s="2" t="s">
        <v>13</v>
      </c>
      <c r="AH3" s="5" t="s">
        <v>13</v>
      </c>
    </row>
    <row r="4" customFormat="false" ht="15" hidden="false" customHeight="false" outlineLevel="0" collapsed="false">
      <c r="A4" s="1" t="n">
        <v>2</v>
      </c>
      <c r="B4" s="2" t="s">
        <v>15</v>
      </c>
      <c r="C4" s="2" t="s">
        <v>16</v>
      </c>
      <c r="D4" s="2" t="s">
        <v>17</v>
      </c>
      <c r="E4" s="1" t="s">
        <v>13</v>
      </c>
      <c r="F4" s="2" t="s">
        <v>13</v>
      </c>
      <c r="G4" s="2" t="s">
        <v>13</v>
      </c>
      <c r="H4" s="2" t="s">
        <v>13</v>
      </c>
      <c r="J4" s="2" t="s">
        <v>13</v>
      </c>
      <c r="K4" s="2" t="s">
        <v>13</v>
      </c>
      <c r="L4" s="2" t="s">
        <v>13</v>
      </c>
      <c r="M4" s="2" t="s">
        <v>13</v>
      </c>
      <c r="N4" s="2" t="s">
        <v>13</v>
      </c>
      <c r="O4" s="2" t="s">
        <v>13</v>
      </c>
      <c r="P4" s="2" t="s">
        <v>13</v>
      </c>
      <c r="Q4" s="2" t="s">
        <v>13</v>
      </c>
      <c r="R4" s="2" t="s">
        <v>13</v>
      </c>
      <c r="S4" s="2" t="s">
        <v>13</v>
      </c>
      <c r="U4" s="2" t="s">
        <v>13</v>
      </c>
      <c r="V4" s="2"/>
      <c r="W4" s="2" t="s">
        <v>13</v>
      </c>
      <c r="X4" s="2" t="s">
        <v>13</v>
      </c>
      <c r="Y4" s="2" t="n">
        <f aca="false">COUNTIF(E4:X4,"P")</f>
        <v>17</v>
      </c>
      <c r="Z4" s="2" t="n">
        <f aca="false">COUNTIF(E4:X4,"M")</f>
        <v>0</v>
      </c>
      <c r="AA4" s="2" t="n">
        <f aca="false">COUNTIF(E4:X4,"A")</f>
        <v>0</v>
      </c>
      <c r="AB4" s="2" t="n">
        <f aca="false">SUM(Y4:AA4)</f>
        <v>17</v>
      </c>
      <c r="AC4" s="4" t="n">
        <f aca="false">ROUND((Y4+Z4/2)*10/AB4,0)</f>
        <v>10</v>
      </c>
      <c r="AD4" s="2" t="s">
        <v>13</v>
      </c>
      <c r="AE4" s="2" t="s">
        <v>13</v>
      </c>
      <c r="AF4" s="2" t="s">
        <v>13</v>
      </c>
      <c r="AG4" s="2" t="s">
        <v>13</v>
      </c>
      <c r="AH4" s="5" t="s">
        <v>18</v>
      </c>
    </row>
    <row r="5" customFormat="false" ht="1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13</v>
      </c>
      <c r="F5" s="2" t="s">
        <v>13</v>
      </c>
      <c r="G5" s="2" t="s">
        <v>13</v>
      </c>
      <c r="H5" s="2" t="s">
        <v>13</v>
      </c>
      <c r="J5" s="2" t="s">
        <v>13</v>
      </c>
      <c r="K5" s="2" t="s">
        <v>13</v>
      </c>
      <c r="L5" s="2" t="s">
        <v>13</v>
      </c>
      <c r="M5" s="2" t="s">
        <v>13</v>
      </c>
      <c r="N5" s="2" t="s">
        <v>13</v>
      </c>
      <c r="O5" s="2" t="s">
        <v>13</v>
      </c>
      <c r="P5" s="2" t="s">
        <v>13</v>
      </c>
      <c r="Q5" s="2" t="s">
        <v>13</v>
      </c>
      <c r="R5" s="2" t="s">
        <v>13</v>
      </c>
      <c r="S5" s="2" t="s">
        <v>14</v>
      </c>
      <c r="U5" s="2" t="s">
        <v>13</v>
      </c>
      <c r="V5" s="2"/>
      <c r="W5" s="2" t="s">
        <v>13</v>
      </c>
      <c r="X5" s="2" t="s">
        <v>14</v>
      </c>
      <c r="Y5" s="2" t="n">
        <f aca="false">COUNTIF(E5:X5,"P")</f>
        <v>15</v>
      </c>
      <c r="Z5" s="2" t="n">
        <f aca="false">COUNTIF(E5:X5,"M")</f>
        <v>0</v>
      </c>
      <c r="AA5" s="2" t="n">
        <f aca="false">COUNTIF(E5:X5,"A")</f>
        <v>2</v>
      </c>
      <c r="AB5" s="2" t="n">
        <f aca="false">SUM(Y5:AA5)</f>
        <v>17</v>
      </c>
      <c r="AC5" s="4" t="n">
        <f aca="false">ROUND((Y5+Z5/2)*10/AB5,0)</f>
        <v>9</v>
      </c>
      <c r="AD5" s="2" t="s">
        <v>13</v>
      </c>
      <c r="AE5" s="2" t="s">
        <v>13</v>
      </c>
      <c r="AF5" s="2" t="s">
        <v>13</v>
      </c>
      <c r="AG5" s="2" t="s">
        <v>13</v>
      </c>
      <c r="AH5" s="5" t="s">
        <v>13</v>
      </c>
    </row>
    <row r="6" customFormat="false" ht="15" hidden="false" customHeight="false" outlineLevel="0" collapsed="false">
      <c r="A6" s="1" t="n">
        <v>4</v>
      </c>
      <c r="B6" s="2" t="s">
        <v>22</v>
      </c>
      <c r="C6" s="2" t="s">
        <v>23</v>
      </c>
      <c r="D6" s="2" t="s">
        <v>24</v>
      </c>
      <c r="E6" s="1" t="s">
        <v>13</v>
      </c>
      <c r="F6" s="2" t="s">
        <v>13</v>
      </c>
      <c r="G6" s="2" t="s">
        <v>13</v>
      </c>
      <c r="H6" s="2" t="s">
        <v>13</v>
      </c>
      <c r="J6" s="2" t="s">
        <v>13</v>
      </c>
      <c r="K6" s="2" t="s">
        <v>13</v>
      </c>
      <c r="L6" s="2" t="s">
        <v>13</v>
      </c>
      <c r="M6" s="2" t="s">
        <v>13</v>
      </c>
      <c r="N6" s="2" t="s">
        <v>13</v>
      </c>
      <c r="O6" s="2" t="s">
        <v>13</v>
      </c>
      <c r="P6" s="2" t="s">
        <v>13</v>
      </c>
      <c r="Q6" s="2" t="s">
        <v>13</v>
      </c>
      <c r="R6" s="2" t="s">
        <v>13</v>
      </c>
      <c r="S6" s="2" t="s">
        <v>13</v>
      </c>
      <c r="U6" s="2" t="s">
        <v>13</v>
      </c>
      <c r="V6" s="2"/>
      <c r="W6" s="2" t="s">
        <v>13</v>
      </c>
      <c r="X6" s="2" t="s">
        <v>13</v>
      </c>
      <c r="Y6" s="2" t="n">
        <f aca="false">COUNTIF(E6:X6,"P")</f>
        <v>17</v>
      </c>
      <c r="Z6" s="2" t="n">
        <f aca="false">COUNTIF(E6:X6,"M")</f>
        <v>0</v>
      </c>
      <c r="AA6" s="2" t="n">
        <f aca="false">COUNTIF(E6:X6,"A")</f>
        <v>0</v>
      </c>
      <c r="AB6" s="2" t="n">
        <f aca="false">SUM(Y6:AA6)</f>
        <v>17</v>
      </c>
      <c r="AC6" s="4" t="n">
        <f aca="false">ROUND((Y6+Z6/2)*10/AB6,0)</f>
        <v>10</v>
      </c>
      <c r="AD6" s="2" t="s">
        <v>13</v>
      </c>
      <c r="AE6" s="2" t="s">
        <v>18</v>
      </c>
      <c r="AF6" s="2" t="s">
        <v>14</v>
      </c>
      <c r="AG6" s="2" t="s">
        <v>13</v>
      </c>
      <c r="AH6" s="5" t="s">
        <v>13</v>
      </c>
    </row>
    <row r="7" customFormat="false" ht="15" hidden="false" customHeight="false" outlineLevel="0" collapsed="false">
      <c r="A7" s="1" t="n">
        <v>5</v>
      </c>
      <c r="B7" s="2" t="s">
        <v>25</v>
      </c>
      <c r="C7" s="2" t="s">
        <v>26</v>
      </c>
      <c r="D7" s="2" t="s">
        <v>27</v>
      </c>
      <c r="E7" s="1" t="s">
        <v>13</v>
      </c>
      <c r="F7" s="2" t="s">
        <v>13</v>
      </c>
      <c r="G7" s="2" t="s">
        <v>13</v>
      </c>
      <c r="H7" s="2" t="s">
        <v>28</v>
      </c>
      <c r="I7" s="6" t="n">
        <v>0.638888888888889</v>
      </c>
      <c r="J7" s="2" t="s">
        <v>13</v>
      </c>
      <c r="K7" s="2" t="s">
        <v>13</v>
      </c>
      <c r="L7" s="2" t="s">
        <v>13</v>
      </c>
      <c r="M7" s="2" t="s">
        <v>13</v>
      </c>
      <c r="N7" s="2" t="s">
        <v>14</v>
      </c>
      <c r="O7" s="2" t="s">
        <v>13</v>
      </c>
      <c r="P7" s="2" t="s">
        <v>13</v>
      </c>
      <c r="Q7" s="2" t="s">
        <v>13</v>
      </c>
      <c r="R7" s="2" t="s">
        <v>13</v>
      </c>
      <c r="S7" s="2" t="s">
        <v>13</v>
      </c>
      <c r="U7" s="2" t="s">
        <v>13</v>
      </c>
      <c r="V7" s="2"/>
      <c r="W7" s="2" t="s">
        <v>14</v>
      </c>
      <c r="X7" s="2" t="s">
        <v>13</v>
      </c>
      <c r="Y7" s="2" t="n">
        <f aca="false">COUNTIF(E7:X7,"P")</f>
        <v>14</v>
      </c>
      <c r="Z7" s="2" t="n">
        <f aca="false">COUNTIF(E7:X7,"M")</f>
        <v>1</v>
      </c>
      <c r="AA7" s="2" t="n">
        <f aca="false">COUNTIF(E7:X7,"A")</f>
        <v>2</v>
      </c>
      <c r="AB7" s="2" t="n">
        <f aca="false">SUM(Y7:AA7)</f>
        <v>17</v>
      </c>
      <c r="AC7" s="4" t="n">
        <f aca="false">ROUND((Y7+Z7/2)*10/AB7,0)</f>
        <v>9</v>
      </c>
      <c r="AD7" s="2" t="s">
        <v>13</v>
      </c>
      <c r="AE7" s="2" t="s">
        <v>13</v>
      </c>
      <c r="AF7" s="2" t="s">
        <v>14</v>
      </c>
      <c r="AG7" s="2" t="s">
        <v>13</v>
      </c>
      <c r="AH7" s="5" t="s">
        <v>13</v>
      </c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"/>
    </row>
    <row r="8" s="2" customFormat="true" ht="15" hidden="false" customHeight="false" outlineLevel="0" collapsed="false">
      <c r="A8" s="1" t="n">
        <v>6</v>
      </c>
      <c r="B8" s="2" t="s">
        <v>29</v>
      </c>
      <c r="C8" s="2" t="s">
        <v>30</v>
      </c>
      <c r="D8" s="2" t="s">
        <v>31</v>
      </c>
      <c r="E8" s="1" t="s">
        <v>14</v>
      </c>
      <c r="F8" s="1" t="s">
        <v>13</v>
      </c>
      <c r="G8" s="1" t="s">
        <v>13</v>
      </c>
      <c r="H8" s="1" t="s">
        <v>13</v>
      </c>
      <c r="I8" s="1"/>
      <c r="J8" s="1" t="s">
        <v>13</v>
      </c>
      <c r="K8" s="1" t="s">
        <v>13</v>
      </c>
      <c r="L8" s="1" t="s">
        <v>13</v>
      </c>
      <c r="M8" s="1" t="s">
        <v>13</v>
      </c>
      <c r="N8" s="1" t="s">
        <v>13</v>
      </c>
      <c r="O8" s="1" t="s">
        <v>13</v>
      </c>
      <c r="P8" s="1" t="s">
        <v>13</v>
      </c>
      <c r="Q8" s="1" t="s">
        <v>14</v>
      </c>
      <c r="R8" s="1" t="s">
        <v>13</v>
      </c>
      <c r="S8" s="1" t="s">
        <v>13</v>
      </c>
      <c r="T8" s="1"/>
      <c r="U8" s="1" t="s">
        <v>13</v>
      </c>
      <c r="V8" s="1"/>
      <c r="W8" s="1" t="s">
        <v>13</v>
      </c>
      <c r="X8" s="1" t="s">
        <v>13</v>
      </c>
      <c r="Y8" s="2" t="n">
        <f aca="false">COUNTIF(E8:X8,"P")</f>
        <v>15</v>
      </c>
      <c r="Z8" s="2" t="n">
        <f aca="false">COUNTIF(E8:X8,"M")</f>
        <v>0</v>
      </c>
      <c r="AA8" s="2" t="n">
        <f aca="false">COUNTIF(E8:X8,"A")</f>
        <v>2</v>
      </c>
      <c r="AB8" s="2" t="n">
        <f aca="false">SUM(Y8:AA8)</f>
        <v>17</v>
      </c>
      <c r="AC8" s="4" t="n">
        <f aca="false">ROUND((Y8+Z8/2)*10/AB8,0)</f>
        <v>9</v>
      </c>
      <c r="AD8" s="1" t="s">
        <v>13</v>
      </c>
      <c r="AE8" s="1" t="s">
        <v>13</v>
      </c>
      <c r="AF8" s="1" t="s">
        <v>14</v>
      </c>
      <c r="AG8" s="1" t="s">
        <v>13</v>
      </c>
      <c r="AH8" s="1" t="s">
        <v>13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false" ht="15" hidden="false" customHeight="false" outlineLevel="0" collapsed="false">
      <c r="A9" s="1" t="n">
        <v>7</v>
      </c>
      <c r="B9" s="2" t="s">
        <v>32</v>
      </c>
      <c r="C9" s="2" t="s">
        <v>33</v>
      </c>
      <c r="D9" s="2" t="s">
        <v>34</v>
      </c>
      <c r="E9" s="1" t="s">
        <v>13</v>
      </c>
      <c r="F9" s="2" t="s">
        <v>13</v>
      </c>
      <c r="G9" s="2" t="s">
        <v>13</v>
      </c>
      <c r="H9" s="2" t="s">
        <v>13</v>
      </c>
      <c r="J9" s="2" t="s">
        <v>14</v>
      </c>
      <c r="K9" s="2" t="s">
        <v>13</v>
      </c>
      <c r="L9" s="2" t="s">
        <v>13</v>
      </c>
      <c r="M9" s="2" t="s">
        <v>14</v>
      </c>
      <c r="N9" s="2" t="s">
        <v>13</v>
      </c>
      <c r="O9" s="2" t="s">
        <v>13</v>
      </c>
      <c r="P9" s="2" t="s">
        <v>13</v>
      </c>
      <c r="Q9" s="2" t="s">
        <v>13</v>
      </c>
      <c r="R9" s="2" t="s">
        <v>13</v>
      </c>
      <c r="S9" s="2" t="s">
        <v>13</v>
      </c>
      <c r="U9" s="2" t="s">
        <v>13</v>
      </c>
      <c r="V9" s="2"/>
      <c r="W9" s="2" t="s">
        <v>13</v>
      </c>
      <c r="X9" s="2" t="s">
        <v>13</v>
      </c>
      <c r="Y9" s="2" t="n">
        <f aca="false">COUNTIF(E9:X9,"P")</f>
        <v>15</v>
      </c>
      <c r="Z9" s="2" t="n">
        <f aca="false">COUNTIF(E9:X9,"M")</f>
        <v>0</v>
      </c>
      <c r="AA9" s="2" t="n">
        <f aca="false">COUNTIF(E9:X9,"A")</f>
        <v>2</v>
      </c>
      <c r="AB9" s="2" t="n">
        <f aca="false">SUM(Y9:AA9)</f>
        <v>17</v>
      </c>
      <c r="AC9" s="4" t="n">
        <f aca="false">ROUND((Y9+Z9/2)*10/AB9,0)</f>
        <v>9</v>
      </c>
      <c r="AD9" s="2" t="s">
        <v>13</v>
      </c>
      <c r="AE9" s="2" t="s">
        <v>13</v>
      </c>
      <c r="AF9" s="2" t="s">
        <v>13</v>
      </c>
      <c r="AG9" s="2" t="s">
        <v>13</v>
      </c>
      <c r="AH9" s="5" t="s">
        <v>13</v>
      </c>
    </row>
    <row r="10" customFormat="false" ht="15" hidden="false" customHeight="false" outlineLevel="0" collapsed="false">
      <c r="A10" s="1" t="n">
        <v>8</v>
      </c>
      <c r="B10" s="2" t="s">
        <v>35</v>
      </c>
      <c r="C10" s="2" t="s">
        <v>36</v>
      </c>
      <c r="D10" s="2" t="s">
        <v>37</v>
      </c>
      <c r="E10" s="1" t="s">
        <v>13</v>
      </c>
      <c r="F10" s="2" t="s">
        <v>13</v>
      </c>
      <c r="G10" s="2" t="s">
        <v>13</v>
      </c>
      <c r="H10" s="2" t="s">
        <v>13</v>
      </c>
      <c r="J10" s="2" t="s">
        <v>13</v>
      </c>
      <c r="K10" s="2" t="s">
        <v>13</v>
      </c>
      <c r="L10" s="2" t="s">
        <v>13</v>
      </c>
      <c r="M10" s="2" t="s">
        <v>13</v>
      </c>
      <c r="N10" s="2" t="s">
        <v>13</v>
      </c>
      <c r="O10" s="2" t="s">
        <v>13</v>
      </c>
      <c r="P10" s="2" t="s">
        <v>13</v>
      </c>
      <c r="Q10" s="2" t="s">
        <v>13</v>
      </c>
      <c r="R10" s="2" t="s">
        <v>13</v>
      </c>
      <c r="S10" s="2" t="s">
        <v>13</v>
      </c>
      <c r="U10" s="2" t="s">
        <v>13</v>
      </c>
      <c r="V10" s="2"/>
      <c r="W10" s="2" t="s">
        <v>13</v>
      </c>
      <c r="X10" s="2" t="s">
        <v>13</v>
      </c>
      <c r="Y10" s="2" t="n">
        <f aca="false">COUNTIF(E10:X10,"P")</f>
        <v>17</v>
      </c>
      <c r="Z10" s="2" t="n">
        <f aca="false">COUNTIF(E10:X10,"M")</f>
        <v>0</v>
      </c>
      <c r="AA10" s="2" t="n">
        <f aca="false">COUNTIF(E10:X10,"A")</f>
        <v>0</v>
      </c>
      <c r="AB10" s="2" t="n">
        <f aca="false">SUM(Y10:AA10)</f>
        <v>17</v>
      </c>
      <c r="AC10" s="4" t="n">
        <f aca="false">ROUND((Y10+Z10/2)*10/AB10,0)</f>
        <v>10</v>
      </c>
      <c r="AD10" s="2" t="s">
        <v>13</v>
      </c>
      <c r="AE10" s="2" t="s">
        <v>38</v>
      </c>
      <c r="AF10" s="2" t="s">
        <v>13</v>
      </c>
      <c r="AG10" s="2" t="s">
        <v>13</v>
      </c>
      <c r="AH10" s="5" t="s">
        <v>13</v>
      </c>
    </row>
    <row r="11" customFormat="false" ht="15" hidden="false" customHeight="false" outlineLevel="0" collapsed="false">
      <c r="A11" s="1" t="n">
        <v>9</v>
      </c>
      <c r="B11" s="2" t="s">
        <v>39</v>
      </c>
      <c r="C11" s="2" t="s">
        <v>40</v>
      </c>
      <c r="D11" s="2" t="s">
        <v>41</v>
      </c>
      <c r="E11" s="1" t="s">
        <v>13</v>
      </c>
      <c r="F11" s="2" t="s">
        <v>13</v>
      </c>
      <c r="G11" s="2" t="s">
        <v>13</v>
      </c>
      <c r="H11" s="2" t="s">
        <v>13</v>
      </c>
      <c r="J11" s="2" t="s">
        <v>14</v>
      </c>
      <c r="K11" s="2" t="s">
        <v>13</v>
      </c>
      <c r="L11" s="2" t="s">
        <v>13</v>
      </c>
      <c r="M11" s="2" t="s">
        <v>13</v>
      </c>
      <c r="N11" s="2" t="s">
        <v>13</v>
      </c>
      <c r="O11" s="2" t="s">
        <v>13</v>
      </c>
      <c r="P11" s="2" t="s">
        <v>13</v>
      </c>
      <c r="Q11" s="2" t="s">
        <v>13</v>
      </c>
      <c r="R11" s="2" t="s">
        <v>13</v>
      </c>
      <c r="S11" s="2" t="s">
        <v>13</v>
      </c>
      <c r="U11" s="2" t="s">
        <v>13</v>
      </c>
      <c r="V11" s="2"/>
      <c r="W11" s="2" t="s">
        <v>13</v>
      </c>
      <c r="X11" s="2" t="s">
        <v>14</v>
      </c>
      <c r="Y11" s="2" t="n">
        <f aca="false">COUNTIF(E11:X11,"P")</f>
        <v>15</v>
      </c>
      <c r="Z11" s="2" t="n">
        <f aca="false">COUNTIF(E11:X11,"M")</f>
        <v>0</v>
      </c>
      <c r="AA11" s="2" t="n">
        <f aca="false">COUNTIF(E11:X11,"A")</f>
        <v>2</v>
      </c>
      <c r="AB11" s="2" t="n">
        <f aca="false">SUM(Y11:AA11)</f>
        <v>17</v>
      </c>
      <c r="AC11" s="4" t="n">
        <f aca="false">ROUND((Y11+Z11/2)*10/AB11,0)</f>
        <v>9</v>
      </c>
      <c r="AD11" s="2" t="s">
        <v>13</v>
      </c>
      <c r="AE11" s="2" t="s">
        <v>13</v>
      </c>
      <c r="AF11" s="2" t="s">
        <v>13</v>
      </c>
      <c r="AG11" s="2" t="s">
        <v>13</v>
      </c>
      <c r="AH11" s="5" t="s">
        <v>13</v>
      </c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" hidden="false" customHeight="false" outlineLevel="0" collapsed="false">
      <c r="A12" s="1" t="n">
        <v>10</v>
      </c>
      <c r="B12" s="2" t="s">
        <v>42</v>
      </c>
      <c r="C12" s="2" t="s">
        <v>43</v>
      </c>
      <c r="D12" s="2" t="s">
        <v>44</v>
      </c>
      <c r="E12" s="1" t="s">
        <v>13</v>
      </c>
      <c r="F12" s="1" t="s">
        <v>13</v>
      </c>
      <c r="G12" s="1" t="s">
        <v>13</v>
      </c>
      <c r="H12" s="1" t="s">
        <v>13</v>
      </c>
      <c r="I12" s="1"/>
      <c r="J12" s="1" t="s">
        <v>13</v>
      </c>
      <c r="K12" s="1" t="s">
        <v>13</v>
      </c>
      <c r="L12" s="1" t="s">
        <v>13</v>
      </c>
      <c r="M12" s="1" t="s">
        <v>13</v>
      </c>
      <c r="N12" s="1" t="s">
        <v>13</v>
      </c>
      <c r="O12" s="1" t="s">
        <v>13</v>
      </c>
      <c r="P12" s="1" t="s">
        <v>13</v>
      </c>
      <c r="Q12" s="1" t="s">
        <v>13</v>
      </c>
      <c r="R12" s="1" t="s">
        <v>13</v>
      </c>
      <c r="S12" s="1" t="s">
        <v>13</v>
      </c>
      <c r="T12" s="1"/>
      <c r="U12" s="1" t="s">
        <v>13</v>
      </c>
      <c r="V12" s="1"/>
      <c r="W12" s="1" t="s">
        <v>13</v>
      </c>
      <c r="X12" s="1" t="s">
        <v>13</v>
      </c>
      <c r="Y12" s="2" t="n">
        <f aca="false">COUNTIF(E12:X12,"P")</f>
        <v>17</v>
      </c>
      <c r="Z12" s="2" t="n">
        <f aca="false">COUNTIF(E12:X12,"M")</f>
        <v>0</v>
      </c>
      <c r="AA12" s="2" t="n">
        <f aca="false">COUNTIF(E12:X12,"A")</f>
        <v>0</v>
      </c>
      <c r="AB12" s="2" t="n">
        <f aca="false">SUM(Y12:AA12)</f>
        <v>17</v>
      </c>
      <c r="AC12" s="4" t="n">
        <f aca="false">ROUND((Y12+Z12/2)*10/AB12,0)</f>
        <v>10</v>
      </c>
      <c r="AD12" s="1" t="s">
        <v>13</v>
      </c>
      <c r="AE12" s="1" t="s">
        <v>13</v>
      </c>
      <c r="AF12" s="1" t="s">
        <v>13</v>
      </c>
      <c r="AG12" s="1" t="s">
        <v>13</v>
      </c>
      <c r="AH12" s="1" t="s">
        <v>13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45</v>
      </c>
      <c r="C13" s="2" t="s">
        <v>46</v>
      </c>
      <c r="D13" s="2" t="s">
        <v>47</v>
      </c>
      <c r="E13" s="1" t="s">
        <v>13</v>
      </c>
      <c r="F13" s="1" t="s">
        <v>13</v>
      </c>
      <c r="G13" s="1" t="s">
        <v>14</v>
      </c>
      <c r="H13" s="1" t="s">
        <v>13</v>
      </c>
      <c r="J13" s="1" t="s">
        <v>13</v>
      </c>
      <c r="K13" s="1" t="s">
        <v>13</v>
      </c>
      <c r="L13" s="1" t="s">
        <v>13</v>
      </c>
      <c r="M13" s="1" t="s">
        <v>13</v>
      </c>
      <c r="N13" s="1" t="s">
        <v>13</v>
      </c>
      <c r="O13" s="1" t="s">
        <v>13</v>
      </c>
      <c r="P13" s="1" t="s">
        <v>13</v>
      </c>
      <c r="Q13" s="1" t="s">
        <v>14</v>
      </c>
      <c r="R13" s="1" t="s">
        <v>13</v>
      </c>
      <c r="S13" s="1" t="s">
        <v>13</v>
      </c>
      <c r="U13" s="1" t="s">
        <v>13</v>
      </c>
      <c r="W13" s="1" t="s">
        <v>13</v>
      </c>
      <c r="X13" s="1" t="s">
        <v>13</v>
      </c>
      <c r="Y13" s="2" t="n">
        <f aca="false">COUNTIF(E13:X13,"P")</f>
        <v>15</v>
      </c>
      <c r="Z13" s="2" t="n">
        <f aca="false">COUNTIF(E13:X13,"M")</f>
        <v>0</v>
      </c>
      <c r="AA13" s="2" t="n">
        <f aca="false">COUNTIF(E13:X13,"A")</f>
        <v>2</v>
      </c>
      <c r="AB13" s="2" t="n">
        <f aca="false">SUM(Y13:AA13)</f>
        <v>17</v>
      </c>
      <c r="AC13" s="4" t="n">
        <f aca="false">ROUND((Y13+Z13/2)*10/AB13,0)</f>
        <v>9</v>
      </c>
      <c r="AD13" s="1" t="s">
        <v>13</v>
      </c>
      <c r="AE13" s="1" t="s">
        <v>13</v>
      </c>
      <c r="AF13" s="1" t="s">
        <v>13</v>
      </c>
      <c r="AG13" s="1" t="s">
        <v>13</v>
      </c>
      <c r="AH13" s="1" t="s">
        <v>13</v>
      </c>
    </row>
    <row r="14" s="1" customFormat="true" ht="15" hidden="false" customHeight="false" outlineLevel="0" collapsed="false">
      <c r="A14" s="1" t="n">
        <v>12</v>
      </c>
      <c r="B14" s="2" t="s">
        <v>48</v>
      </c>
      <c r="C14" s="2" t="s">
        <v>49</v>
      </c>
      <c r="D14" s="2" t="s">
        <v>50</v>
      </c>
      <c r="E14" s="1" t="s">
        <v>13</v>
      </c>
      <c r="F14" s="1" t="s">
        <v>13</v>
      </c>
      <c r="G14" s="1" t="s">
        <v>13</v>
      </c>
      <c r="H14" s="1" t="s">
        <v>13</v>
      </c>
      <c r="J14" s="1" t="s">
        <v>13</v>
      </c>
      <c r="K14" s="1" t="s">
        <v>13</v>
      </c>
      <c r="L14" s="1" t="s">
        <v>13</v>
      </c>
      <c r="M14" s="1" t="s">
        <v>13</v>
      </c>
      <c r="N14" s="1" t="s">
        <v>13</v>
      </c>
      <c r="O14" s="1" t="s">
        <v>13</v>
      </c>
      <c r="P14" s="1" t="s">
        <v>13</v>
      </c>
      <c r="Q14" s="1" t="s">
        <v>13</v>
      </c>
      <c r="R14" s="1" t="s">
        <v>13</v>
      </c>
      <c r="S14" s="1" t="s">
        <v>13</v>
      </c>
      <c r="U14" s="1" t="s">
        <v>13</v>
      </c>
      <c r="W14" s="1" t="s">
        <v>13</v>
      </c>
      <c r="X14" s="1" t="s">
        <v>13</v>
      </c>
      <c r="Y14" s="2" t="n">
        <f aca="false">COUNTIF(E14:X14,"P")</f>
        <v>17</v>
      </c>
      <c r="Z14" s="2" t="n">
        <f aca="false">COUNTIF(E14:X14,"M")</f>
        <v>0</v>
      </c>
      <c r="AA14" s="2" t="n">
        <f aca="false">COUNTIF(E14:X14,"A")</f>
        <v>0</v>
      </c>
      <c r="AB14" s="2" t="n">
        <f aca="false">SUM(Y14:AA14)</f>
        <v>17</v>
      </c>
      <c r="AC14" s="4" t="n">
        <f aca="false">ROUND((Y14+Z14/2)*10/AB14,0)</f>
        <v>10</v>
      </c>
      <c r="AD14" s="1" t="s">
        <v>13</v>
      </c>
      <c r="AE14" s="1" t="s">
        <v>13</v>
      </c>
      <c r="AF14" s="1" t="s">
        <v>14</v>
      </c>
      <c r="AG14" s="1" t="s">
        <v>13</v>
      </c>
      <c r="AH14" s="1" t="s">
        <v>13</v>
      </c>
    </row>
    <row r="15" s="2" customFormat="true" ht="15" hidden="false" customHeight="false" outlineLevel="0" collapsed="false">
      <c r="A15" s="1" t="n">
        <v>13</v>
      </c>
      <c r="B15" s="2" t="s">
        <v>51</v>
      </c>
      <c r="C15" s="2" t="s">
        <v>52</v>
      </c>
      <c r="D15" s="2" t="s">
        <v>53</v>
      </c>
      <c r="E15" s="1" t="s">
        <v>13</v>
      </c>
      <c r="F15" s="1" t="s">
        <v>13</v>
      </c>
      <c r="G15" s="1" t="s">
        <v>13</v>
      </c>
      <c r="H15" s="1" t="s">
        <v>13</v>
      </c>
      <c r="I15" s="1"/>
      <c r="J15" s="1" t="s">
        <v>13</v>
      </c>
      <c r="K15" s="1" t="s">
        <v>13</v>
      </c>
      <c r="L15" s="1" t="s">
        <v>13</v>
      </c>
      <c r="M15" s="1" t="s">
        <v>13</v>
      </c>
      <c r="N15" s="1" t="s">
        <v>13</v>
      </c>
      <c r="O15" s="1" t="s">
        <v>13</v>
      </c>
      <c r="P15" s="1" t="s">
        <v>13</v>
      </c>
      <c r="Q15" s="1" t="s">
        <v>13</v>
      </c>
      <c r="R15" s="1" t="s">
        <v>13</v>
      </c>
      <c r="S15" s="1" t="s">
        <v>13</v>
      </c>
      <c r="T15" s="1"/>
      <c r="U15" s="1" t="s">
        <v>13</v>
      </c>
      <c r="V15" s="1"/>
      <c r="W15" s="1" t="s">
        <v>13</v>
      </c>
      <c r="X15" s="1" t="s">
        <v>13</v>
      </c>
      <c r="Y15" s="2" t="n">
        <f aca="false">COUNTIF(E15:X15,"P")</f>
        <v>17</v>
      </c>
      <c r="Z15" s="2" t="n">
        <f aca="false">COUNTIF(E15:X15,"M")</f>
        <v>0</v>
      </c>
      <c r="AA15" s="2" t="n">
        <f aca="false">COUNTIF(E15:X15,"A")</f>
        <v>0</v>
      </c>
      <c r="AB15" s="2" t="n">
        <f aca="false">SUM(Y15:AA15)</f>
        <v>17</v>
      </c>
      <c r="AC15" s="4" t="n">
        <f aca="false">ROUND((Y15+Z15/2)*10/AB15,0)</f>
        <v>10</v>
      </c>
      <c r="AD15" s="1" t="s">
        <v>13</v>
      </c>
      <c r="AE15" s="1" t="s">
        <v>13</v>
      </c>
      <c r="AF15" s="1" t="s">
        <v>14</v>
      </c>
      <c r="AG15" s="1" t="s">
        <v>13</v>
      </c>
      <c r="AH15" s="1" t="s">
        <v>13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54</v>
      </c>
      <c r="C16" s="2" t="s">
        <v>55</v>
      </c>
      <c r="D16" s="2" t="s">
        <v>56</v>
      </c>
      <c r="E16" s="1" t="s">
        <v>13</v>
      </c>
      <c r="F16" s="1" t="s">
        <v>13</v>
      </c>
      <c r="G16" s="1" t="s">
        <v>13</v>
      </c>
      <c r="H16" s="1" t="s">
        <v>13</v>
      </c>
      <c r="J16" s="1" t="s">
        <v>13</v>
      </c>
      <c r="K16" s="1" t="s">
        <v>13</v>
      </c>
      <c r="L16" s="1" t="s">
        <v>13</v>
      </c>
      <c r="M16" s="1" t="s">
        <v>13</v>
      </c>
      <c r="N16" s="1" t="s">
        <v>13</v>
      </c>
      <c r="O16" s="1" t="s">
        <v>13</v>
      </c>
      <c r="P16" s="1" t="s">
        <v>13</v>
      </c>
      <c r="Q16" s="1" t="s">
        <v>13</v>
      </c>
      <c r="R16" s="1" t="s">
        <v>13</v>
      </c>
      <c r="S16" s="1" t="s">
        <v>13</v>
      </c>
      <c r="U16" s="1" t="s">
        <v>13</v>
      </c>
      <c r="V16" s="1" t="s">
        <v>57</v>
      </c>
      <c r="W16" s="1" t="s">
        <v>13</v>
      </c>
      <c r="X16" s="1" t="s">
        <v>13</v>
      </c>
      <c r="Y16" s="2" t="n">
        <f aca="false">COUNTIF(E16:X16,"P")</f>
        <v>17</v>
      </c>
      <c r="Z16" s="2" t="n">
        <f aca="false">COUNTIF(E16:X16,"M")</f>
        <v>0</v>
      </c>
      <c r="AA16" s="2" t="n">
        <f aca="false">COUNTIF(E16:X16,"A")</f>
        <v>0</v>
      </c>
      <c r="AB16" s="2" t="n">
        <f aca="false">SUM(Y16:AA16)</f>
        <v>17</v>
      </c>
      <c r="AC16" s="4" t="n">
        <f aca="false">ROUND((Y16+Z16/2)*10/AB16,0)</f>
        <v>10</v>
      </c>
      <c r="AD16" s="1" t="s">
        <v>13</v>
      </c>
      <c r="AE16" s="1" t="s">
        <v>13</v>
      </c>
      <c r="AF16" s="1" t="s">
        <v>13</v>
      </c>
      <c r="AG16" s="1" t="s">
        <v>13</v>
      </c>
      <c r="AH16" s="1" t="s">
        <v>13</v>
      </c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2" t="s">
        <v>58</v>
      </c>
      <c r="C17" s="2" t="s">
        <v>59</v>
      </c>
      <c r="D17" s="2" t="s">
        <v>60</v>
      </c>
      <c r="E17" s="1" t="s">
        <v>13</v>
      </c>
      <c r="F17" s="1" t="s">
        <v>13</v>
      </c>
      <c r="G17" s="1" t="s">
        <v>13</v>
      </c>
      <c r="H17" s="1" t="s">
        <v>13</v>
      </c>
      <c r="J17" s="1" t="s">
        <v>13</v>
      </c>
      <c r="K17" s="1" t="s">
        <v>13</v>
      </c>
      <c r="L17" s="1" t="s">
        <v>13</v>
      </c>
      <c r="M17" s="1" t="s">
        <v>13</v>
      </c>
      <c r="N17" s="1" t="s">
        <v>13</v>
      </c>
      <c r="O17" s="1" t="s">
        <v>13</v>
      </c>
      <c r="P17" s="1" t="s">
        <v>13</v>
      </c>
      <c r="Q17" s="1" t="s">
        <v>13</v>
      </c>
      <c r="R17" s="1" t="s">
        <v>13</v>
      </c>
      <c r="S17" s="1" t="s">
        <v>13</v>
      </c>
      <c r="U17" s="1" t="s">
        <v>13</v>
      </c>
      <c r="W17" s="1" t="s">
        <v>14</v>
      </c>
      <c r="X17" s="1" t="s">
        <v>13</v>
      </c>
      <c r="Y17" s="2" t="n">
        <f aca="false">COUNTIF(E17:X17,"P")</f>
        <v>16</v>
      </c>
      <c r="Z17" s="2" t="n">
        <f aca="false">COUNTIF(E17:X17,"M")</f>
        <v>0</v>
      </c>
      <c r="AA17" s="2" t="n">
        <f aca="false">COUNTIF(E17:X17,"A")</f>
        <v>1</v>
      </c>
      <c r="AB17" s="2" t="n">
        <f aca="false">SUM(Y17:AA17)</f>
        <v>17</v>
      </c>
      <c r="AC17" s="4" t="n">
        <f aca="false">ROUND((Y17+Z17/2)*10/AB17,0)</f>
        <v>9</v>
      </c>
      <c r="AD17" s="1" t="s">
        <v>13</v>
      </c>
      <c r="AE17" s="1" t="s">
        <v>13</v>
      </c>
      <c r="AF17" s="1" t="s">
        <v>13</v>
      </c>
      <c r="AG17" s="1" t="s">
        <v>13</v>
      </c>
      <c r="AH17" s="1" t="s">
        <v>13</v>
      </c>
      <c r="WYB17" s="2"/>
      <c r="WYC17" s="2"/>
      <c r="WYD17" s="2"/>
      <c r="WYE17" s="2"/>
      <c r="WYF17" s="2"/>
      <c r="WYG17" s="2"/>
      <c r="WYH17" s="2"/>
      <c r="WYI17" s="2"/>
      <c r="WYJ17" s="2"/>
      <c r="WYK17" s="2"/>
      <c r="WYL17" s="2"/>
      <c r="WYM17" s="2"/>
      <c r="WYN17" s="2"/>
      <c r="WYO17" s="2"/>
      <c r="WYP17" s="2"/>
      <c r="WYQ17" s="2"/>
      <c r="WYR17" s="2"/>
      <c r="WYS17" s="2"/>
      <c r="WYT17" s="2"/>
      <c r="WYU17" s="2"/>
      <c r="WYV17" s="2"/>
      <c r="WYW17" s="2"/>
      <c r="WYX17" s="2"/>
      <c r="WYY17" s="2"/>
      <c r="WYZ17" s="2"/>
      <c r="WZA17" s="2"/>
      <c r="WZB17" s="2"/>
      <c r="WZC17" s="2"/>
      <c r="WZD17" s="2"/>
      <c r="WZE17" s="2"/>
      <c r="WZF17" s="2"/>
      <c r="WZG17" s="2"/>
      <c r="WZH17" s="2"/>
      <c r="WZI17" s="2"/>
      <c r="WZJ17" s="2"/>
      <c r="WZK17" s="2"/>
      <c r="WZL17" s="2"/>
      <c r="WZM17" s="2"/>
      <c r="WZN17" s="2"/>
      <c r="WZO17" s="2"/>
      <c r="WZP17" s="2"/>
      <c r="WZQ17" s="2"/>
      <c r="WZR17" s="2"/>
      <c r="WZS17" s="2"/>
      <c r="WZT17" s="2"/>
      <c r="WZU17" s="2"/>
      <c r="WZV17" s="2"/>
      <c r="WZW17" s="2"/>
      <c r="WZX17" s="2"/>
      <c r="WZY17" s="2"/>
      <c r="WZZ17" s="2"/>
      <c r="XAA17" s="2"/>
      <c r="XAB17" s="2"/>
      <c r="XAC17" s="2"/>
      <c r="XAD17" s="2"/>
      <c r="XAE17" s="2"/>
      <c r="XAF17" s="2"/>
      <c r="XAG17" s="2"/>
      <c r="XAH17" s="2"/>
      <c r="XAI17" s="2"/>
      <c r="XAJ17" s="2"/>
      <c r="XAK17" s="2"/>
      <c r="XAL17" s="2"/>
      <c r="XAM17" s="2"/>
      <c r="XAN17" s="2"/>
      <c r="XAO17" s="2"/>
      <c r="XAP17" s="2"/>
      <c r="XAQ17" s="2"/>
      <c r="XAR17" s="2"/>
      <c r="XAS17" s="2"/>
      <c r="XAT17" s="2"/>
      <c r="XAU17" s="2"/>
      <c r="XAV17" s="2"/>
      <c r="XAW17" s="2"/>
      <c r="XAX17" s="2"/>
      <c r="XAY17" s="2"/>
      <c r="XAZ17" s="2"/>
      <c r="XBA17" s="2"/>
      <c r="XBB17" s="2"/>
      <c r="XBC17" s="2"/>
      <c r="XBD17" s="2"/>
      <c r="XBE17" s="2"/>
      <c r="XBF17" s="2"/>
      <c r="XBG17" s="2"/>
      <c r="XBH17" s="2"/>
      <c r="XBI17" s="2"/>
      <c r="XBJ17" s="2"/>
      <c r="XBK17" s="2"/>
      <c r="XBL17" s="2"/>
      <c r="XBM17" s="2"/>
      <c r="XBN17" s="2"/>
      <c r="XBO17" s="2"/>
      <c r="XBP17" s="2"/>
      <c r="XBQ17" s="2"/>
      <c r="XBR17" s="2"/>
      <c r="XBS17" s="2"/>
      <c r="XBT17" s="2"/>
      <c r="XBU17" s="2"/>
      <c r="XBV17" s="2"/>
      <c r="XBW17" s="2"/>
      <c r="XBX17" s="2"/>
      <c r="XBY17" s="2"/>
      <c r="XBZ17" s="2"/>
      <c r="XCA17" s="2"/>
      <c r="XCB17" s="2"/>
      <c r="XCC17" s="2"/>
      <c r="XCD17" s="2"/>
      <c r="XCE17" s="2"/>
      <c r="XCF17" s="2"/>
      <c r="XCG17" s="2"/>
      <c r="XCH17" s="2"/>
      <c r="XCI17" s="2"/>
      <c r="XCJ17" s="2"/>
      <c r="XCK17" s="2"/>
      <c r="XCL17" s="2"/>
      <c r="XCM17" s="2"/>
      <c r="XCN17" s="2"/>
      <c r="XCO17" s="2"/>
      <c r="XCP17" s="2"/>
      <c r="XCQ17" s="2"/>
      <c r="XCR17" s="2"/>
      <c r="XCS17" s="2"/>
      <c r="XCT17" s="2"/>
      <c r="XCU17" s="2"/>
      <c r="XCV17" s="2"/>
      <c r="XCW17" s="2"/>
      <c r="XCX17" s="2"/>
      <c r="XCY17" s="2"/>
      <c r="XCZ17" s="2"/>
      <c r="XDA17" s="2"/>
      <c r="XDB17" s="2"/>
      <c r="XDC17" s="2"/>
      <c r="XDD17" s="2"/>
      <c r="XDE17" s="2"/>
      <c r="XDF17" s="2"/>
      <c r="XDG17" s="2"/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2" t="s">
        <v>61</v>
      </c>
      <c r="C18" s="2" t="s">
        <v>62</v>
      </c>
      <c r="D18" s="2" t="s">
        <v>63</v>
      </c>
      <c r="E18" s="1" t="s">
        <v>13</v>
      </c>
      <c r="F18" s="1" t="s">
        <v>14</v>
      </c>
      <c r="G18" s="1" t="s">
        <v>13</v>
      </c>
      <c r="H18" s="1" t="s">
        <v>14</v>
      </c>
      <c r="I18" s="1"/>
      <c r="J18" s="1" t="s">
        <v>14</v>
      </c>
      <c r="K18" s="1" t="s">
        <v>14</v>
      </c>
      <c r="L18" s="1" t="s">
        <v>14</v>
      </c>
      <c r="M18" s="1" t="s">
        <v>13</v>
      </c>
      <c r="N18" s="1" t="s">
        <v>14</v>
      </c>
      <c r="O18" s="1" t="s">
        <v>13</v>
      </c>
      <c r="P18" s="1" t="s">
        <v>14</v>
      </c>
      <c r="Q18" s="1" t="s">
        <v>14</v>
      </c>
      <c r="R18" s="1" t="s">
        <v>14</v>
      </c>
      <c r="S18" s="1" t="s">
        <v>14</v>
      </c>
      <c r="T18" s="1"/>
      <c r="U18" s="1" t="s">
        <v>14</v>
      </c>
      <c r="V18" s="1"/>
      <c r="W18" s="1" t="s">
        <v>13</v>
      </c>
      <c r="X18" s="1" t="s">
        <v>14</v>
      </c>
      <c r="Y18" s="2" t="n">
        <f aca="false">COUNTIF(E18:X18,"P")</f>
        <v>5</v>
      </c>
      <c r="Z18" s="2" t="n">
        <f aca="false">COUNTIF(E18:X18,"M")</f>
        <v>0</v>
      </c>
      <c r="AA18" s="2" t="n">
        <f aca="false">COUNTIF(E18:X18,"A")</f>
        <v>12</v>
      </c>
      <c r="AB18" s="2" t="n">
        <f aca="false">SUM(Y18:AA18)</f>
        <v>17</v>
      </c>
      <c r="AC18" s="4" t="n">
        <f aca="false">ROUND((Y18+Z18/2)*10/AB18,0)</f>
        <v>3</v>
      </c>
      <c r="AD18" s="1" t="s">
        <v>14</v>
      </c>
      <c r="AE18" s="1" t="s">
        <v>13</v>
      </c>
      <c r="AF18" s="1" t="s">
        <v>14</v>
      </c>
      <c r="AG18" s="1" t="s">
        <v>13</v>
      </c>
      <c r="AH18" s="1" t="s">
        <v>13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64</v>
      </c>
      <c r="C19" s="2" t="s">
        <v>65</v>
      </c>
      <c r="D19" s="2" t="s">
        <v>66</v>
      </c>
      <c r="E19" s="1" t="s">
        <v>13</v>
      </c>
      <c r="F19" s="1" t="s">
        <v>13</v>
      </c>
      <c r="G19" s="1" t="s">
        <v>13</v>
      </c>
      <c r="H19" s="1" t="s">
        <v>13</v>
      </c>
      <c r="I19" s="1"/>
      <c r="J19" s="1" t="s">
        <v>13</v>
      </c>
      <c r="K19" s="1" t="s">
        <v>14</v>
      </c>
      <c r="L19" s="1" t="s">
        <v>13</v>
      </c>
      <c r="M19" s="1" t="s">
        <v>13</v>
      </c>
      <c r="N19" s="1" t="s">
        <v>13</v>
      </c>
      <c r="O19" s="1" t="s">
        <v>14</v>
      </c>
      <c r="P19" s="1" t="s">
        <v>14</v>
      </c>
      <c r="Q19" s="1" t="s">
        <v>14</v>
      </c>
      <c r="R19" s="1" t="s">
        <v>13</v>
      </c>
      <c r="S19" s="1" t="s">
        <v>14</v>
      </c>
      <c r="T19" s="1" t="s">
        <v>67</v>
      </c>
      <c r="U19" s="1" t="s">
        <v>13</v>
      </c>
      <c r="V19" s="1"/>
      <c r="W19" s="1" t="s">
        <v>14</v>
      </c>
      <c r="X19" s="1" t="s">
        <v>14</v>
      </c>
      <c r="Y19" s="2" t="n">
        <f aca="false">COUNTIF(E19:X19,"P")</f>
        <v>10</v>
      </c>
      <c r="Z19" s="2" t="n">
        <f aca="false">COUNTIF(E19:X19,"M")</f>
        <v>0</v>
      </c>
      <c r="AA19" s="2" t="n">
        <f aca="false">COUNTIF(E19:X19,"A")</f>
        <v>7</v>
      </c>
      <c r="AB19" s="2" t="n">
        <f aca="false">SUM(Y19:AA19)</f>
        <v>17</v>
      </c>
      <c r="AC19" s="4" t="n">
        <f aca="false">ROUND((Y19+Z19/2)*10/AB19,0)</f>
        <v>6</v>
      </c>
      <c r="AD19" s="1" t="s">
        <v>14</v>
      </c>
      <c r="AE19" s="1" t="s">
        <v>14</v>
      </c>
      <c r="AF19" s="1" t="s">
        <v>14</v>
      </c>
      <c r="AG19" s="1" t="s">
        <v>13</v>
      </c>
      <c r="AH19" s="1" t="s">
        <v>13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68</v>
      </c>
      <c r="C20" s="2" t="s">
        <v>69</v>
      </c>
      <c r="D20" s="2" t="s">
        <v>70</v>
      </c>
      <c r="E20" s="1" t="s">
        <v>13</v>
      </c>
      <c r="F20" s="1" t="s">
        <v>13</v>
      </c>
      <c r="G20" s="1" t="s">
        <v>14</v>
      </c>
      <c r="H20" s="1" t="s">
        <v>13</v>
      </c>
      <c r="J20" s="1" t="s">
        <v>13</v>
      </c>
      <c r="K20" s="1" t="s">
        <v>13</v>
      </c>
      <c r="L20" s="1" t="s">
        <v>13</v>
      </c>
      <c r="M20" s="1" t="s">
        <v>13</v>
      </c>
      <c r="N20" s="1" t="s">
        <v>13</v>
      </c>
      <c r="O20" s="1" t="s">
        <v>14</v>
      </c>
      <c r="P20" s="1" t="s">
        <v>13</v>
      </c>
      <c r="Q20" s="1" t="s">
        <v>13</v>
      </c>
      <c r="R20" s="1" t="s">
        <v>13</v>
      </c>
      <c r="S20" s="1" t="s">
        <v>13</v>
      </c>
      <c r="U20" s="1" t="s">
        <v>13</v>
      </c>
      <c r="W20" s="1" t="s">
        <v>13</v>
      </c>
      <c r="X20" s="1" t="s">
        <v>14</v>
      </c>
      <c r="Y20" s="2" t="n">
        <f aca="false">COUNTIF(E20:X20,"P")</f>
        <v>14</v>
      </c>
      <c r="Z20" s="2" t="n">
        <f aca="false">COUNTIF(E20:X20,"M")</f>
        <v>0</v>
      </c>
      <c r="AA20" s="2" t="n">
        <f aca="false">COUNTIF(E20:X20,"A")</f>
        <v>3</v>
      </c>
      <c r="AB20" s="2" t="n">
        <f aca="false">SUM(Y20:AA20)</f>
        <v>17</v>
      </c>
      <c r="AC20" s="4" t="n">
        <f aca="false">ROUND((Y20+Z20/2)*10/AB20,0)</f>
        <v>8</v>
      </c>
      <c r="AD20" s="1" t="s">
        <v>13</v>
      </c>
      <c r="AE20" s="1" t="s">
        <v>13</v>
      </c>
      <c r="AF20" s="1" t="s">
        <v>14</v>
      </c>
      <c r="AG20" s="1" t="s">
        <v>13</v>
      </c>
      <c r="AH20" s="1" t="s">
        <v>13</v>
      </c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"/>
    </row>
    <row r="21" s="1" customFormat="true" ht="15" hidden="false" customHeight="false" outlineLevel="0" collapsed="false">
      <c r="A21" s="1" t="n">
        <v>19</v>
      </c>
      <c r="B21" s="2" t="s">
        <v>71</v>
      </c>
      <c r="C21" s="2" t="s">
        <v>72</v>
      </c>
      <c r="D21" s="2" t="s">
        <v>73</v>
      </c>
      <c r="E21" s="1" t="s">
        <v>13</v>
      </c>
      <c r="F21" s="1" t="s">
        <v>13</v>
      </c>
      <c r="G21" s="1" t="s">
        <v>13</v>
      </c>
      <c r="H21" s="1" t="s">
        <v>13</v>
      </c>
      <c r="J21" s="1" t="s">
        <v>13</v>
      </c>
      <c r="K21" s="1" t="s">
        <v>13</v>
      </c>
      <c r="L21" s="1" t="s">
        <v>14</v>
      </c>
      <c r="M21" s="1" t="s">
        <v>13</v>
      </c>
      <c r="N21" s="1" t="s">
        <v>13</v>
      </c>
      <c r="O21" s="1" t="s">
        <v>13</v>
      </c>
      <c r="P21" s="1" t="s">
        <v>13</v>
      </c>
      <c r="Q21" s="1" t="s">
        <v>13</v>
      </c>
      <c r="R21" s="1" t="s">
        <v>13</v>
      </c>
      <c r="S21" s="1" t="s">
        <v>13</v>
      </c>
      <c r="U21" s="1" t="s">
        <v>13</v>
      </c>
      <c r="W21" s="1" t="s">
        <v>13</v>
      </c>
      <c r="X21" s="1" t="s">
        <v>13</v>
      </c>
      <c r="Y21" s="2" t="n">
        <f aca="false">COUNTIF(E21:X21,"P")</f>
        <v>16</v>
      </c>
      <c r="Z21" s="2" t="n">
        <f aca="false">COUNTIF(E21:X21,"M")</f>
        <v>0</v>
      </c>
      <c r="AA21" s="2" t="n">
        <f aca="false">COUNTIF(E21:X21,"A")</f>
        <v>1</v>
      </c>
      <c r="AB21" s="2" t="n">
        <f aca="false">SUM(Y21:AA21)</f>
        <v>17</v>
      </c>
      <c r="AC21" s="4" t="n">
        <f aca="false">ROUND((Y21+Z21/2)*10/AB21,0)</f>
        <v>9</v>
      </c>
      <c r="AD21" s="1" t="s">
        <v>13</v>
      </c>
      <c r="AE21" s="1" t="s">
        <v>13</v>
      </c>
      <c r="AF21" s="1" t="s">
        <v>13</v>
      </c>
      <c r="AG21" s="1" t="s">
        <v>13</v>
      </c>
      <c r="AH21" s="1" t="s">
        <v>13</v>
      </c>
    </row>
    <row r="22" s="1" customFormat="true" ht="15" hidden="false" customHeight="false" outlineLevel="0" collapsed="false">
      <c r="A22" s="1" t="n">
        <v>20</v>
      </c>
      <c r="B22" s="2" t="s">
        <v>74</v>
      </c>
      <c r="C22" s="2" t="s">
        <v>75</v>
      </c>
      <c r="D22" s="2" t="s">
        <v>76</v>
      </c>
      <c r="E22" s="1" t="s">
        <v>14</v>
      </c>
      <c r="F22" s="1" t="s">
        <v>13</v>
      </c>
      <c r="G22" s="1" t="s">
        <v>13</v>
      </c>
      <c r="H22" s="1" t="s">
        <v>13</v>
      </c>
      <c r="J22" s="1" t="s">
        <v>13</v>
      </c>
      <c r="K22" s="1" t="s">
        <v>13</v>
      </c>
      <c r="L22" s="1" t="s">
        <v>13</v>
      </c>
      <c r="M22" s="1" t="s">
        <v>13</v>
      </c>
      <c r="N22" s="1" t="s">
        <v>13</v>
      </c>
      <c r="O22" s="1" t="s">
        <v>13</v>
      </c>
      <c r="P22" s="1" t="s">
        <v>13</v>
      </c>
      <c r="Q22" s="1" t="s">
        <v>13</v>
      </c>
      <c r="R22" s="1" t="s">
        <v>13</v>
      </c>
      <c r="S22" s="1" t="s">
        <v>13</v>
      </c>
      <c r="U22" s="1" t="s">
        <v>13</v>
      </c>
      <c r="W22" s="1" t="s">
        <v>13</v>
      </c>
      <c r="X22" s="1" t="s">
        <v>13</v>
      </c>
      <c r="Y22" s="2" t="n">
        <f aca="false">COUNTIF(E22:X22,"P")</f>
        <v>16</v>
      </c>
      <c r="Z22" s="2" t="n">
        <f aca="false">COUNTIF(E22:X22,"M")</f>
        <v>0</v>
      </c>
      <c r="AA22" s="2" t="n">
        <f aca="false">COUNTIF(E22:X22,"A")</f>
        <v>1</v>
      </c>
      <c r="AB22" s="2" t="n">
        <f aca="false">SUM(Y22:AA22)</f>
        <v>17</v>
      </c>
      <c r="AC22" s="4" t="n">
        <f aca="false">ROUND((Y22+Z22/2)*10/AB22,0)</f>
        <v>9</v>
      </c>
      <c r="AD22" s="1" t="s">
        <v>13</v>
      </c>
      <c r="AE22" s="1" t="s">
        <v>38</v>
      </c>
      <c r="AF22" s="1" t="s">
        <v>13</v>
      </c>
      <c r="AG22" s="1" t="s">
        <v>13</v>
      </c>
      <c r="AH22" s="1" t="s">
        <v>13</v>
      </c>
    </row>
    <row r="23" s="2" customFormat="true" ht="15" hidden="false" customHeight="false" outlineLevel="0" collapsed="false">
      <c r="A23" s="1" t="n">
        <v>21</v>
      </c>
      <c r="B23" s="2" t="s">
        <v>77</v>
      </c>
      <c r="C23" s="2" t="s">
        <v>78</v>
      </c>
      <c r="D23" s="2" t="s">
        <v>79</v>
      </c>
      <c r="E23" s="1" t="s">
        <v>13</v>
      </c>
      <c r="F23" s="1" t="s">
        <v>13</v>
      </c>
      <c r="G23" s="1" t="s">
        <v>13</v>
      </c>
      <c r="H23" s="1" t="s">
        <v>13</v>
      </c>
      <c r="I23" s="1"/>
      <c r="J23" s="1" t="s">
        <v>13</v>
      </c>
      <c r="K23" s="1" t="s">
        <v>13</v>
      </c>
      <c r="L23" s="1" t="s">
        <v>13</v>
      </c>
      <c r="M23" s="1" t="s">
        <v>13</v>
      </c>
      <c r="N23" s="1" t="s">
        <v>13</v>
      </c>
      <c r="O23" s="1" t="s">
        <v>13</v>
      </c>
      <c r="P23" s="1" t="s">
        <v>13</v>
      </c>
      <c r="Q23" s="1" t="s">
        <v>13</v>
      </c>
      <c r="R23" s="1" t="s">
        <v>13</v>
      </c>
      <c r="S23" s="1" t="s">
        <v>13</v>
      </c>
      <c r="T23" s="1"/>
      <c r="U23" s="1" t="s">
        <v>13</v>
      </c>
      <c r="V23" s="1"/>
      <c r="W23" s="1" t="s">
        <v>13</v>
      </c>
      <c r="X23" s="1" t="s">
        <v>13</v>
      </c>
      <c r="Y23" s="2" t="n">
        <f aca="false">COUNTIF(E23:X23,"P")</f>
        <v>17</v>
      </c>
      <c r="Z23" s="2" t="n">
        <f aca="false">COUNTIF(E23:X23,"M")</f>
        <v>0</v>
      </c>
      <c r="AA23" s="2" t="n">
        <f aca="false">COUNTIF(E23:X23,"A")</f>
        <v>0</v>
      </c>
      <c r="AB23" s="2" t="n">
        <f aca="false">SUM(Y23:AA23)</f>
        <v>17</v>
      </c>
      <c r="AC23" s="4" t="n">
        <f aca="false">ROUND((Y23+Z23/2)*10/AB23,0)</f>
        <v>10</v>
      </c>
      <c r="AD23" s="1" t="s">
        <v>13</v>
      </c>
      <c r="AE23" s="1" t="s">
        <v>13</v>
      </c>
      <c r="AF23" s="1" t="s">
        <v>14</v>
      </c>
      <c r="AG23" s="1" t="s">
        <v>13</v>
      </c>
      <c r="AH23" s="1" t="s">
        <v>13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5</v>
      </c>
      <c r="D24" s="1" t="s">
        <v>5</v>
      </c>
      <c r="E24" s="1" t="n">
        <f aca="false">COUNTIF(E3:E23,"P")</f>
        <v>19</v>
      </c>
      <c r="F24" s="1" t="n">
        <f aca="false">COUNTIF(F3:F23,"P")</f>
        <v>20</v>
      </c>
      <c r="G24" s="1" t="n">
        <f aca="false">COUNTIF(G3:G23,"P")</f>
        <v>19</v>
      </c>
      <c r="H24" s="1" t="n">
        <f aca="false">COUNTIF(H3:H23,"P")</f>
        <v>19</v>
      </c>
      <c r="J24" s="1" t="n">
        <f aca="false">COUNTIF(J3:J23,"P")</f>
        <v>18</v>
      </c>
      <c r="K24" s="1" t="n">
        <f aca="false">COUNTIF(K3:K23,"P")</f>
        <v>18</v>
      </c>
      <c r="L24" s="1" t="n">
        <f aca="false">COUNTIF(L3:L23,"P")</f>
        <v>19</v>
      </c>
      <c r="M24" s="1" t="n">
        <f aca="false">COUNTIF(M3:M23,"P")</f>
        <v>20</v>
      </c>
      <c r="N24" s="1" t="n">
        <f aca="false">COUNTIF(N3:N23,"P")</f>
        <v>19</v>
      </c>
      <c r="O24" s="1" t="n">
        <f aca="false">COUNTIF(O3:O23,"P")</f>
        <v>19</v>
      </c>
      <c r="P24" s="1" t="n">
        <f aca="false">COUNTIF(P3:P23,"P")</f>
        <v>19</v>
      </c>
      <c r="Q24" s="1" t="n">
        <f aca="false">COUNTIF(Q3:Q23,"P")</f>
        <v>17</v>
      </c>
      <c r="R24" s="1" t="n">
        <f aca="false">COUNTIF(R3:R23,"P")</f>
        <v>20</v>
      </c>
      <c r="S24" s="1" t="n">
        <f aca="false">COUNTIF(S3:S23,"P")</f>
        <v>18</v>
      </c>
      <c r="U24" s="1" t="n">
        <f aca="false">COUNTIF(U3:U23,"P")</f>
        <v>20</v>
      </c>
      <c r="W24" s="1" t="n">
        <f aca="false">COUNTIF(W3:W23,"P")</f>
        <v>18</v>
      </c>
      <c r="X24" s="1" t="n">
        <f aca="false">COUNTIF(X3:X23,"P")</f>
        <v>16</v>
      </c>
      <c r="AD24" s="1" t="n">
        <f aca="false">COUNTIF(AD3:AD23,"P")</f>
        <v>19</v>
      </c>
      <c r="AE24" s="1" t="n">
        <f aca="false">COUNTIF(AE3:AE23,"P")</f>
        <v>18</v>
      </c>
      <c r="AF24" s="1" t="n">
        <f aca="false">COUNTIF(AF3:AF23,"P")</f>
        <v>12</v>
      </c>
      <c r="AG24" s="1" t="n">
        <f aca="false">COUNTIF(AG3:AG23,"P")</f>
        <v>21</v>
      </c>
      <c r="AH24" s="1" t="n">
        <f aca="false">COUNTIF(AH3:AH23,"P")</f>
        <v>21</v>
      </c>
    </row>
    <row r="25" customFormat="false" ht="15" hidden="false" customHeight="false" outlineLevel="0" collapsed="false">
      <c r="C25" s="1" t="s">
        <v>80</v>
      </c>
      <c r="E25" s="1" t="n">
        <f aca="false">COUNTIF(E3:E23,"M")</f>
        <v>0</v>
      </c>
      <c r="F25" s="1" t="n">
        <f aca="false">COUNTIF(F3:F23,"M")</f>
        <v>0</v>
      </c>
      <c r="G25" s="1" t="n">
        <f aca="false">COUNTIF(G3:G23,"M")</f>
        <v>0</v>
      </c>
      <c r="H25" s="1" t="n">
        <f aca="false">COUNTIF(H3:H23,"M")</f>
        <v>1</v>
      </c>
      <c r="J25" s="1" t="n">
        <f aca="false">COUNTIF(J3:J23,"M")</f>
        <v>0</v>
      </c>
      <c r="K25" s="1" t="n">
        <f aca="false">COUNTIF(K3:K23,"M")</f>
        <v>0</v>
      </c>
      <c r="L25" s="1" t="n">
        <f aca="false">COUNTIF(L3:L23,"M")</f>
        <v>0</v>
      </c>
      <c r="M25" s="1" t="n">
        <f aca="false">COUNTIF(M3:M23,"M")</f>
        <v>0</v>
      </c>
      <c r="N25" s="1" t="n">
        <f aca="false">COUNTIF(N3:N23,"M")</f>
        <v>0</v>
      </c>
      <c r="O25" s="1" t="n">
        <f aca="false">COUNTIF(O3:O23,"M")</f>
        <v>0</v>
      </c>
      <c r="P25" s="1" t="n">
        <f aca="false">COUNTIF(P3:P23,"M")</f>
        <v>0</v>
      </c>
      <c r="Q25" s="1" t="n">
        <f aca="false">COUNTIF(Q3:Q23,"M")</f>
        <v>0</v>
      </c>
      <c r="R25" s="1" t="n">
        <f aca="false">COUNTIF(R3:R23,"M")</f>
        <v>0</v>
      </c>
      <c r="S25" s="1" t="n">
        <f aca="false">COUNTIF(S3:S23,"M")</f>
        <v>0</v>
      </c>
      <c r="U25" s="1" t="n">
        <f aca="false">COUNTIF(U3:U23,"M")</f>
        <v>0</v>
      </c>
      <c r="W25" s="1" t="n">
        <f aca="false">COUNTIF(W3:W23,"M")</f>
        <v>0</v>
      </c>
      <c r="X25" s="1" t="n">
        <f aca="false">COUNTIF(X3:X23,"M")</f>
        <v>0</v>
      </c>
      <c r="AD25" s="1" t="n">
        <f aca="false">COUNTIF(AD3:AD23,"M")</f>
        <v>0</v>
      </c>
      <c r="AE25" s="1" t="n">
        <f aca="false">COUNTIF(AE3:AE23,"M")</f>
        <v>0</v>
      </c>
      <c r="AF25" s="1" t="n">
        <f aca="false">COUNTIF(AF3:AF23,"M")</f>
        <v>0</v>
      </c>
      <c r="AG25" s="1" t="n">
        <f aca="false">COUNTIF(AG3:AG23,"M")</f>
        <v>0</v>
      </c>
      <c r="AH25" s="1" t="n">
        <f aca="false">COUNTIF(AH3:AH23,"M")</f>
        <v>0</v>
      </c>
    </row>
    <row r="26" customFormat="false" ht="15" hidden="false" customHeight="false" outlineLevel="0" collapsed="false">
      <c r="C26" s="1" t="s">
        <v>81</v>
      </c>
      <c r="E26" s="1" t="n">
        <f aca="false">COUNTIF(E3:E23,"T")</f>
        <v>0</v>
      </c>
      <c r="F26" s="1" t="n">
        <f aca="false">COUNTIF(F3:F23,"T")</f>
        <v>0</v>
      </c>
      <c r="G26" s="1" t="n">
        <f aca="false">COUNTIF(G3:G23,"T")</f>
        <v>0</v>
      </c>
      <c r="H26" s="1" t="n">
        <f aca="false">COUNTIF(H3:H23,"T")</f>
        <v>0</v>
      </c>
      <c r="J26" s="1" t="n">
        <f aca="false">COUNTIF(J3:J23,"T")</f>
        <v>0</v>
      </c>
      <c r="K26" s="1" t="n">
        <f aca="false">COUNTIF(K3:K23,"T")</f>
        <v>0</v>
      </c>
      <c r="L26" s="1" t="n">
        <f aca="false">COUNTIF(L3:L23,"T")</f>
        <v>0</v>
      </c>
      <c r="M26" s="1" t="n">
        <f aca="false">COUNTIF(M3:M23,"T")</f>
        <v>0</v>
      </c>
      <c r="N26" s="1" t="n">
        <f aca="false">COUNTIF(N3:N23,"T")</f>
        <v>0</v>
      </c>
      <c r="O26" s="1" t="n">
        <f aca="false">COUNTIF(O3:O23,"T")</f>
        <v>0</v>
      </c>
      <c r="P26" s="1" t="n">
        <f aca="false">COUNTIF(P3:P23,"T")</f>
        <v>0</v>
      </c>
      <c r="Q26" s="1" t="n">
        <f aca="false">COUNTIF(Q3:Q23,"T")</f>
        <v>0</v>
      </c>
      <c r="R26" s="1" t="n">
        <f aca="false">COUNTIF(R3:R23,"T")</f>
        <v>0</v>
      </c>
      <c r="S26" s="1" t="n">
        <f aca="false">COUNTIF(S3:S23,"T")</f>
        <v>0</v>
      </c>
      <c r="U26" s="1" t="n">
        <f aca="false">COUNTIF(U3:U23,"T")</f>
        <v>0</v>
      </c>
      <c r="W26" s="1" t="n">
        <f aca="false">COUNTIF(W3:W23,"T")</f>
        <v>0</v>
      </c>
      <c r="X26" s="1" t="n">
        <f aca="false">COUNTIF(X3:X23,"T")</f>
        <v>0</v>
      </c>
      <c r="AD26" s="1" t="n">
        <f aca="false">COUNTIF(AD3:AD23,"T")</f>
        <v>0</v>
      </c>
      <c r="AE26" s="1" t="n">
        <f aca="false">COUNTIF(AE3:AE23,"T")</f>
        <v>0</v>
      </c>
      <c r="AF26" s="1" t="n">
        <f aca="false">COUNTIF(AF3:AF23,"T")</f>
        <v>0</v>
      </c>
      <c r="AG26" s="1" t="n">
        <f aca="false">COUNTIF(AG3:AG23,"T")</f>
        <v>0</v>
      </c>
      <c r="AH26" s="1" t="n">
        <f aca="false">COUNTIF(AH3:AH23,"T")</f>
        <v>0</v>
      </c>
    </row>
    <row r="27" customFormat="false" ht="15" hidden="false" customHeight="false" outlineLevel="0" collapsed="false">
      <c r="C27" s="1" t="s">
        <v>82</v>
      </c>
      <c r="E27" s="1" t="n">
        <f aca="false">COUNTIF(E3:E23,"O")</f>
        <v>0</v>
      </c>
      <c r="F27" s="1" t="n">
        <f aca="false">COUNTIF(F3:F23,"O")</f>
        <v>0</v>
      </c>
      <c r="G27" s="1" t="n">
        <f aca="false">COUNTIF(G3:G23,"O")</f>
        <v>0</v>
      </c>
      <c r="H27" s="1" t="n">
        <f aca="false">COUNTIF(H3:H23,"O")</f>
        <v>0</v>
      </c>
      <c r="J27" s="1" t="n">
        <f aca="false">COUNTIF(J3:J23,"O")</f>
        <v>0</v>
      </c>
      <c r="K27" s="1" t="n">
        <f aca="false">COUNTIF(K3:K23,"O")</f>
        <v>0</v>
      </c>
      <c r="L27" s="1" t="n">
        <f aca="false">COUNTIF(L3:L23,"O")</f>
        <v>0</v>
      </c>
      <c r="M27" s="1" t="n">
        <f aca="false">COUNTIF(M3:M23,"O")</f>
        <v>0</v>
      </c>
      <c r="N27" s="1" t="n">
        <f aca="false">COUNTIF(N3:N23,"O")</f>
        <v>0</v>
      </c>
      <c r="O27" s="1" t="n">
        <f aca="false">COUNTIF(O3:O23,"O")</f>
        <v>0</v>
      </c>
      <c r="P27" s="1" t="n">
        <f aca="false">COUNTIF(P3:P23,"O")</f>
        <v>0</v>
      </c>
      <c r="Q27" s="1" t="n">
        <f aca="false">COUNTIF(Q3:Q23,"O")</f>
        <v>0</v>
      </c>
      <c r="R27" s="1" t="n">
        <f aca="false">COUNTIF(R3:R23,"O")</f>
        <v>0</v>
      </c>
      <c r="S27" s="1" t="n">
        <f aca="false">COUNTIF(S3:S23,"O")</f>
        <v>0</v>
      </c>
      <c r="U27" s="1" t="n">
        <f aca="false">COUNTIF(U3:U23,"O")</f>
        <v>0</v>
      </c>
      <c r="W27" s="1" t="n">
        <f aca="false">COUNTIF(W3:W23,"O")</f>
        <v>0</v>
      </c>
      <c r="X27" s="1" t="n">
        <f aca="false">COUNTIF(X3:X23,"O")</f>
        <v>0</v>
      </c>
      <c r="AD27" s="1" t="n">
        <f aca="false">COUNTIF(AD3:AD23,"O")</f>
        <v>0</v>
      </c>
      <c r="AE27" s="1" t="n">
        <f aca="false">COUNTIF(AE3:AE23,"O")</f>
        <v>2</v>
      </c>
      <c r="AF27" s="1" t="n">
        <f aca="false">COUNTIF(AF3:AF23,"O")</f>
        <v>0</v>
      </c>
      <c r="AG27" s="1" t="n">
        <f aca="false">COUNTIF(AG3:AG23,"O")</f>
        <v>0</v>
      </c>
      <c r="AH27" s="1" t="n">
        <f aca="false">COUNTIF(AH3:AH23,"O")</f>
        <v>0</v>
      </c>
    </row>
    <row r="28" customFormat="false" ht="15" hidden="false" customHeight="false" outlineLevel="0" collapsed="false">
      <c r="C28" s="1" t="s">
        <v>83</v>
      </c>
      <c r="E28" s="1" t="n">
        <f aca="false">SUM(E24:E27)</f>
        <v>19</v>
      </c>
      <c r="F28" s="1" t="n">
        <f aca="false">SUM(F24:F27)</f>
        <v>20</v>
      </c>
      <c r="G28" s="1" t="n">
        <f aca="false">SUM(G24:G27)</f>
        <v>19</v>
      </c>
      <c r="H28" s="1" t="n">
        <f aca="false">SUM(H24:H27)</f>
        <v>20</v>
      </c>
      <c r="J28" s="1" t="n">
        <f aca="false">SUM(J24:J27)</f>
        <v>18</v>
      </c>
      <c r="K28" s="1" t="n">
        <f aca="false">SUM(K24:K27)</f>
        <v>18</v>
      </c>
      <c r="L28" s="1" t="n">
        <f aca="false">SUM(L24:L27)</f>
        <v>19</v>
      </c>
      <c r="M28" s="1" t="n">
        <f aca="false">SUM(M24:M27)</f>
        <v>20</v>
      </c>
      <c r="N28" s="1" t="n">
        <f aca="false">SUM(N24:N27)</f>
        <v>19</v>
      </c>
      <c r="O28" s="1" t="n">
        <f aca="false">SUM(O24:O27)</f>
        <v>19</v>
      </c>
      <c r="P28" s="1" t="n">
        <f aca="false">SUM(P24:P27)</f>
        <v>19</v>
      </c>
      <c r="Q28" s="1" t="n">
        <f aca="false">SUM(Q24:Q27)</f>
        <v>17</v>
      </c>
      <c r="R28" s="1" t="n">
        <f aca="false">SUM(R24:R27)</f>
        <v>20</v>
      </c>
      <c r="S28" s="1" t="n">
        <f aca="false">SUM(S24:S27)</f>
        <v>18</v>
      </c>
      <c r="U28" s="1" t="n">
        <f aca="false">SUM(U24:U27)</f>
        <v>20</v>
      </c>
      <c r="W28" s="1" t="n">
        <f aca="false">SUM(W24:W27)</f>
        <v>18</v>
      </c>
      <c r="X28" s="1" t="n">
        <f aca="false">SUM(X24:X27)</f>
        <v>16</v>
      </c>
      <c r="AD28" s="1" t="n">
        <f aca="false">SUM(AD24:AD27)</f>
        <v>19</v>
      </c>
      <c r="AE28" s="1" t="n">
        <f aca="false">SUM(AE24:AE26)</f>
        <v>18</v>
      </c>
      <c r="AF28" s="1" t="n">
        <f aca="false">SUM(AF24:AF26)</f>
        <v>12</v>
      </c>
      <c r="AG28" s="1" t="n">
        <f aca="false">SUM(AG24:AG26)</f>
        <v>21</v>
      </c>
      <c r="AH28" s="1" t="n">
        <f aca="false">SUM(AH24:AH26)</f>
        <v>21</v>
      </c>
    </row>
  </sheetData>
  <conditionalFormatting sqref="AC3:AC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9" activeCellId="1" sqref="AH24:AH28 Q9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8" min="3" style="1" width="9.6"/>
    <col collapsed="false" customWidth="true" hidden="true" outlineLevel="0" max="10" min="9" style="1" width="12.8"/>
    <col collapsed="false" customWidth="false" hidden="true" outlineLevel="0" max="12" min="11" style="1" width="9.6"/>
    <col collapsed="false" customWidth="true" hidden="false" outlineLevel="0" max="976" min="976" style="1" width="9.33"/>
    <col collapsed="false" customWidth="true" hidden="false" outlineLevel="0" max="16384" min="16334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84</v>
      </c>
      <c r="D2" s="2" t="s">
        <v>85</v>
      </c>
      <c r="E2" s="2" t="s">
        <v>86</v>
      </c>
      <c r="F2" s="2" t="s">
        <v>87</v>
      </c>
      <c r="G2" s="2" t="s">
        <v>88</v>
      </c>
      <c r="H2" s="2" t="s">
        <v>89</v>
      </c>
      <c r="I2" s="2" t="s">
        <v>88</v>
      </c>
      <c r="J2" s="2" t="s">
        <v>90</v>
      </c>
      <c r="K2" s="2" t="s">
        <v>88</v>
      </c>
      <c r="L2" s="2" t="s">
        <v>91</v>
      </c>
      <c r="M2" s="2" t="s">
        <v>92</v>
      </c>
      <c r="N2" s="2" t="s">
        <v>9</v>
      </c>
      <c r="O2" s="2" t="s">
        <v>93</v>
      </c>
      <c r="P2" s="2" t="s">
        <v>94</v>
      </c>
      <c r="Q2" s="2" t="s">
        <v>95</v>
      </c>
    </row>
    <row r="3" s="1" customFormat="true" ht="15" hidden="false" customHeight="false" outlineLevel="0" collapsed="false">
      <c r="A3" s="1" t="n">
        <v>1</v>
      </c>
      <c r="B3" s="2" t="s">
        <v>11</v>
      </c>
      <c r="C3" s="4" t="n">
        <v>10</v>
      </c>
      <c r="D3" s="4" t="n">
        <v>9</v>
      </c>
      <c r="E3" s="4"/>
      <c r="F3" s="4" t="n">
        <v>6</v>
      </c>
      <c r="G3" s="3" t="n">
        <v>46171</v>
      </c>
      <c r="H3" s="4" t="n">
        <v>4</v>
      </c>
      <c r="I3" s="3" t="n">
        <v>46171</v>
      </c>
      <c r="J3" s="4" t="n">
        <v>9</v>
      </c>
      <c r="K3" s="4"/>
      <c r="L3" s="4" t="n">
        <v>9</v>
      </c>
      <c r="M3" s="1" t="n">
        <v>9.02</v>
      </c>
      <c r="N3" s="4" t="n">
        <f aca="false">ROUND(AVERAGE(C3,D3,F3,H3,J3,L3,M2),0)</f>
        <v>8</v>
      </c>
      <c r="O3" s="4" t="str">
        <f aca="false">IF(N3&gt;6,"TEA",IF(N3&gt;3,"TEP","TED"))</f>
        <v>TEA</v>
      </c>
      <c r="P3" s="1" t="n">
        <v>1</v>
      </c>
    </row>
    <row r="4" s="1" customFormat="true" ht="15" hidden="false" customHeight="false" outlineLevel="0" collapsed="false">
      <c r="A4" s="1" t="n">
        <v>2</v>
      </c>
      <c r="B4" s="2" t="s">
        <v>16</v>
      </c>
      <c r="C4" s="4" t="n">
        <v>10</v>
      </c>
      <c r="D4" s="4" t="n">
        <v>4</v>
      </c>
      <c r="E4" s="4"/>
      <c r="F4" s="4" t="n">
        <v>9</v>
      </c>
      <c r="G4" s="4"/>
      <c r="H4" s="4" t="n">
        <v>8</v>
      </c>
      <c r="I4" s="4"/>
      <c r="J4" s="4" t="n">
        <v>10</v>
      </c>
      <c r="K4" s="4"/>
      <c r="L4" s="4" t="n">
        <v>10</v>
      </c>
      <c r="M4" s="1" t="n">
        <v>9.22</v>
      </c>
      <c r="N4" s="4" t="n">
        <f aca="false">ROUND(AVERAGE(C4,D4,F4,H4,J4,L4,M3),0)</f>
        <v>9</v>
      </c>
      <c r="O4" s="4" t="str">
        <f aca="false">IF(N4&gt;6,"TEA",IF(N4&gt;3,"TEP","TED"))</f>
        <v>TEA</v>
      </c>
    </row>
    <row r="5" s="1" customFormat="true" ht="15" hidden="false" customHeight="false" outlineLevel="0" collapsed="false">
      <c r="A5" s="1" t="n">
        <v>3</v>
      </c>
      <c r="B5" s="2" t="s">
        <v>20</v>
      </c>
      <c r="C5" s="4" t="n">
        <v>1</v>
      </c>
      <c r="D5" s="4" t="n">
        <v>4</v>
      </c>
      <c r="E5" s="4"/>
      <c r="F5" s="4" t="n">
        <v>10</v>
      </c>
      <c r="G5" s="4"/>
      <c r="H5" s="4" t="n">
        <v>1</v>
      </c>
      <c r="I5" s="4"/>
      <c r="J5" s="4" t="n">
        <v>8</v>
      </c>
      <c r="K5" s="4"/>
      <c r="L5" s="4" t="n">
        <v>9</v>
      </c>
      <c r="M5" s="1" t="n">
        <v>9.22</v>
      </c>
      <c r="N5" s="4" t="n">
        <f aca="false">ROUND(AVERAGE(C5,D5,F5,H5,J5,L5,M4),0)</f>
        <v>6</v>
      </c>
      <c r="O5" s="4" t="str">
        <f aca="false">IF(N5&gt;6,"TEA",IF(N5&gt;3,"TEP","TED"))</f>
        <v>TEP</v>
      </c>
      <c r="P5" s="1" t="n">
        <v>1</v>
      </c>
    </row>
    <row r="6" s="1" customFormat="true" ht="15" hidden="false" customHeight="false" outlineLevel="0" collapsed="false">
      <c r="A6" s="1" t="n">
        <v>4</v>
      </c>
      <c r="B6" s="2" t="s">
        <v>23</v>
      </c>
      <c r="C6" s="4" t="n">
        <v>10</v>
      </c>
      <c r="D6" s="4" t="n">
        <v>7</v>
      </c>
      <c r="E6" s="4"/>
      <c r="F6" s="4" t="n">
        <v>9</v>
      </c>
      <c r="G6" s="4"/>
      <c r="H6" s="4" t="n">
        <v>8</v>
      </c>
      <c r="I6" s="4"/>
      <c r="J6" s="4" t="n">
        <v>10</v>
      </c>
      <c r="K6" s="4"/>
      <c r="L6" s="4" t="n">
        <v>10</v>
      </c>
      <c r="M6" s="1" t="n">
        <v>10</v>
      </c>
      <c r="N6" s="4" t="n">
        <f aca="false">ROUND(AVERAGE(C6,D6,F6,H6,J6,L6,M5),0)</f>
        <v>9</v>
      </c>
      <c r="O6" s="4" t="str">
        <f aca="false">IF(N6&gt;6,"TEA",IF(N6&gt;3,"TEP","TED"))</f>
        <v>TEA</v>
      </c>
      <c r="Q6" s="1" t="n">
        <v>10</v>
      </c>
    </row>
    <row r="7" s="1" customFormat="true" ht="15" hidden="false" customHeight="false" outlineLevel="0" collapsed="false">
      <c r="A7" s="1" t="n">
        <v>5</v>
      </c>
      <c r="B7" s="2" t="s">
        <v>26</v>
      </c>
      <c r="C7" s="4" t="n">
        <v>10</v>
      </c>
      <c r="D7" s="2" t="n">
        <v>8</v>
      </c>
      <c r="E7" s="4"/>
      <c r="F7" s="4" t="n">
        <v>10</v>
      </c>
      <c r="G7" s="4"/>
      <c r="H7" s="4" t="n">
        <v>9</v>
      </c>
      <c r="I7" s="4"/>
      <c r="J7" s="4" t="n">
        <v>10</v>
      </c>
      <c r="K7" s="4"/>
      <c r="L7" s="4" t="n">
        <v>9</v>
      </c>
      <c r="M7" s="1" t="n">
        <v>9.22</v>
      </c>
      <c r="N7" s="4" t="n">
        <f aca="false">ROUND(AVERAGE(C7,D7,F7,H7,J7,L7,M6),0)</f>
        <v>9</v>
      </c>
      <c r="O7" s="4" t="str">
        <f aca="false">IF(N7&gt;6,"TEA",IF(N7&gt;3,"TEP","TED"))</f>
        <v>TEA</v>
      </c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  <c r="XED7" s="2"/>
      <c r="XEE7" s="2"/>
      <c r="XEF7" s="2"/>
      <c r="XEG7" s="2"/>
      <c r="XEH7" s="2"/>
      <c r="XEI7" s="2"/>
      <c r="XEJ7" s="2"/>
      <c r="XEK7" s="2"/>
      <c r="XEL7" s="2"/>
      <c r="XEM7" s="2"/>
      <c r="XEN7" s="2"/>
      <c r="XEO7" s="2"/>
      <c r="XEP7" s="2"/>
      <c r="XEQ7" s="2"/>
      <c r="XER7" s="2"/>
      <c r="XES7" s="2"/>
      <c r="XET7" s="2"/>
      <c r="XEU7" s="2"/>
      <c r="XEV7" s="2"/>
      <c r="XEW7" s="2"/>
      <c r="XEX7" s="2"/>
      <c r="XEY7" s="2"/>
      <c r="XEZ7" s="2"/>
      <c r="XFA7" s="2"/>
      <c r="XFB7" s="2"/>
      <c r="XFC7" s="2"/>
      <c r="XFD7" s="2"/>
    </row>
    <row r="8" s="2" customFormat="true" ht="15" hidden="false" customHeight="false" outlineLevel="0" collapsed="false">
      <c r="A8" s="1" t="n">
        <v>6</v>
      </c>
      <c r="B8" s="2" t="s">
        <v>30</v>
      </c>
      <c r="C8" s="2" t="n">
        <v>5</v>
      </c>
      <c r="D8" s="7" t="n">
        <v>9</v>
      </c>
      <c r="E8" s="8" t="n">
        <v>46102</v>
      </c>
      <c r="F8" s="4" t="n">
        <v>10</v>
      </c>
      <c r="G8" s="4"/>
      <c r="H8" s="2" t="n">
        <v>9</v>
      </c>
      <c r="J8" s="4" t="n">
        <v>6</v>
      </c>
      <c r="K8" s="4"/>
      <c r="L8" s="4" t="n">
        <v>9</v>
      </c>
      <c r="M8" s="1" t="n">
        <v>10</v>
      </c>
      <c r="N8" s="4" t="n">
        <f aca="false">ROUND(AVERAGE(C8,D8,F8,H8,J8,L8,M7),0)</f>
        <v>8</v>
      </c>
      <c r="O8" s="4" t="str">
        <f aca="false">IF(N8&gt;6,"TEA",IF(N8&gt;3,"TEP","TED"))</f>
        <v>TEA</v>
      </c>
      <c r="P8" s="1" t="n">
        <v>1</v>
      </c>
      <c r="Q8" s="2" t="n">
        <v>9</v>
      </c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1" customFormat="true" ht="15" hidden="false" customHeight="false" outlineLevel="0" collapsed="false">
      <c r="A9" s="1" t="n">
        <v>7</v>
      </c>
      <c r="B9" s="2" t="s">
        <v>33</v>
      </c>
      <c r="C9" s="4" t="n">
        <v>9</v>
      </c>
      <c r="D9" s="4" t="n">
        <v>6</v>
      </c>
      <c r="E9" s="4"/>
      <c r="F9" s="4" t="n">
        <v>10</v>
      </c>
      <c r="G9" s="4"/>
      <c r="H9" s="4" t="n">
        <v>8</v>
      </c>
      <c r="I9" s="4"/>
      <c r="J9" s="4" t="n">
        <v>7</v>
      </c>
      <c r="K9" s="3" t="n">
        <v>46171</v>
      </c>
      <c r="L9" s="4" t="n">
        <v>9</v>
      </c>
      <c r="M9" s="1" t="n">
        <v>8.04</v>
      </c>
      <c r="N9" s="4" t="n">
        <f aca="false">ROUND(AVERAGE(C9,D9,F9,H9,J9,L9,M8),0)</f>
        <v>8</v>
      </c>
      <c r="O9" s="4" t="str">
        <f aca="false">IF(N9&gt;6,"TEA",IF(N9&gt;3,"TEP","TED"))</f>
        <v>TEA</v>
      </c>
    </row>
    <row r="10" s="1" customFormat="true" ht="15" hidden="false" customHeight="false" outlineLevel="0" collapsed="false">
      <c r="A10" s="1" t="n">
        <v>8</v>
      </c>
      <c r="B10" s="2" t="s">
        <v>36</v>
      </c>
      <c r="C10" s="4" t="n">
        <v>10</v>
      </c>
      <c r="D10" s="4" t="n">
        <v>8</v>
      </c>
      <c r="E10" s="4"/>
      <c r="F10" s="4" t="n">
        <v>10</v>
      </c>
      <c r="G10" s="4"/>
      <c r="H10" s="4" t="n">
        <v>9</v>
      </c>
      <c r="I10" s="4"/>
      <c r="J10" s="2" t="n">
        <v>9</v>
      </c>
      <c r="K10" s="2"/>
      <c r="L10" s="2" t="n">
        <v>10</v>
      </c>
      <c r="M10" s="1" t="n">
        <v>9.22</v>
      </c>
      <c r="N10" s="4" t="n">
        <f aca="false">ROUND(AVERAGE(C10,D10,F10,H10,J10,L10,M9),0)</f>
        <v>9</v>
      </c>
      <c r="O10" s="4" t="str">
        <f aca="false">IF(N10&gt;6,"TEA",IF(N10&gt;3,"TEP","TED"))</f>
        <v>TEA</v>
      </c>
    </row>
    <row r="11" s="1" customFormat="true" ht="15" hidden="false" customHeight="false" outlineLevel="0" collapsed="false">
      <c r="A11" s="1" t="n">
        <v>9</v>
      </c>
      <c r="B11" s="2" t="s">
        <v>40</v>
      </c>
      <c r="C11" s="4" t="n">
        <v>10</v>
      </c>
      <c r="D11" s="4" t="n">
        <v>9</v>
      </c>
      <c r="E11" s="4"/>
      <c r="F11" s="4" t="n">
        <v>9</v>
      </c>
      <c r="G11" s="4"/>
      <c r="H11" s="4" t="n">
        <v>10</v>
      </c>
      <c r="I11" s="4"/>
      <c r="J11" s="4" t="n">
        <v>9</v>
      </c>
      <c r="K11" s="4"/>
      <c r="L11" s="4" t="n">
        <v>9</v>
      </c>
      <c r="M11" s="1" t="n">
        <v>9.02</v>
      </c>
      <c r="N11" s="4" t="n">
        <f aca="false">ROUND(AVERAGE(C11,D11,F11,H11,J11,L11,M10),0)</f>
        <v>9</v>
      </c>
      <c r="O11" s="4" t="str">
        <f aca="false">IF(N11&gt;6,"TEA",IF(N11&gt;3,"TEP","TED"))</f>
        <v>TEA</v>
      </c>
      <c r="Q11" s="1" t="n">
        <v>8</v>
      </c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  <c r="XED11" s="2"/>
      <c r="XEE11" s="2"/>
      <c r="XEF11" s="2"/>
      <c r="XEG11" s="2"/>
      <c r="XEH11" s="2"/>
      <c r="XEI11" s="2"/>
      <c r="XEJ11" s="2"/>
      <c r="XEK11" s="2"/>
      <c r="XEL11" s="2"/>
      <c r="XEM11" s="2"/>
      <c r="XEN11" s="2"/>
      <c r="XEO11" s="2"/>
      <c r="XEP11" s="2"/>
      <c r="XEQ11" s="2"/>
      <c r="XER11" s="2"/>
      <c r="XES11" s="2"/>
      <c r="XET11" s="2"/>
      <c r="XEU11" s="2"/>
      <c r="XEV11" s="2"/>
      <c r="XEW11" s="2"/>
      <c r="XEX11" s="2"/>
      <c r="XEY11" s="2"/>
      <c r="XEZ11" s="2"/>
      <c r="XFA11" s="2"/>
      <c r="XFB11" s="2"/>
      <c r="XFC11" s="2"/>
      <c r="XFD11" s="2"/>
    </row>
    <row r="12" s="2" customFormat="true" ht="15" hidden="false" customHeight="false" outlineLevel="0" collapsed="false">
      <c r="A12" s="1" t="n">
        <v>10</v>
      </c>
      <c r="B12" s="2" t="s">
        <v>43</v>
      </c>
      <c r="C12" s="2" t="n">
        <v>10</v>
      </c>
      <c r="D12" s="4" t="n">
        <v>10</v>
      </c>
      <c r="F12" s="4" t="n">
        <v>9</v>
      </c>
      <c r="G12" s="4"/>
      <c r="H12" s="2" t="n">
        <v>10</v>
      </c>
      <c r="J12" s="4" t="n">
        <v>8</v>
      </c>
      <c r="K12" s="4"/>
      <c r="L12" s="4" t="n">
        <v>10</v>
      </c>
      <c r="M12" s="1" t="n">
        <v>9.22</v>
      </c>
      <c r="N12" s="4" t="n">
        <f aca="false">ROUND(AVERAGE(C12,D12,F12,H12,J12,L12,M11),0)</f>
        <v>9</v>
      </c>
      <c r="O12" s="4" t="str">
        <f aca="false">IF(N12&gt;6,"TEA",IF(N12&gt;3,"TEP","TED"))</f>
        <v>TEA</v>
      </c>
      <c r="P12" s="1" t="n">
        <v>1</v>
      </c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  <c r="XEM12" s="1"/>
      <c r="XEN12" s="1"/>
      <c r="XEO12" s="1"/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1" customFormat="true" ht="15" hidden="false" customHeight="false" outlineLevel="0" collapsed="false">
      <c r="A13" s="1" t="n">
        <v>11</v>
      </c>
      <c r="B13" s="2" t="s">
        <v>46</v>
      </c>
      <c r="C13" s="4" t="n">
        <v>10</v>
      </c>
      <c r="D13" s="4" t="n">
        <v>7</v>
      </c>
      <c r="E13" s="4"/>
      <c r="F13" s="4" t="n">
        <v>6</v>
      </c>
      <c r="G13" s="3" t="n">
        <v>46171</v>
      </c>
      <c r="H13" s="4" t="n">
        <v>9</v>
      </c>
      <c r="I13" s="4"/>
      <c r="J13" s="2" t="n">
        <v>10</v>
      </c>
      <c r="K13" s="2"/>
      <c r="L13" s="2" t="n">
        <v>9</v>
      </c>
      <c r="M13" s="1" t="n">
        <v>9.22</v>
      </c>
      <c r="N13" s="4" t="n">
        <f aca="false">ROUND(AVERAGE(C13,D13,F13,H13,J13,L13,M12),0)</f>
        <v>9</v>
      </c>
      <c r="O13" s="4" t="str">
        <f aca="false">IF(N13&gt;6,"TEA",IF(N13&gt;3,"TEP","TED"))</f>
        <v>TEA</v>
      </c>
    </row>
    <row r="14" s="1" customFormat="true" ht="15" hidden="false" customHeight="false" outlineLevel="0" collapsed="false">
      <c r="A14" s="1" t="n">
        <v>12</v>
      </c>
      <c r="B14" s="2" t="s">
        <v>49</v>
      </c>
      <c r="C14" s="4" t="n">
        <v>10</v>
      </c>
      <c r="D14" s="4" t="n">
        <v>9</v>
      </c>
      <c r="E14" s="4"/>
      <c r="F14" s="4" t="n">
        <v>10</v>
      </c>
      <c r="G14" s="4"/>
      <c r="H14" s="2" t="n">
        <v>9</v>
      </c>
      <c r="I14" s="2"/>
      <c r="J14" s="4" t="n">
        <v>10</v>
      </c>
      <c r="K14" s="4"/>
      <c r="L14" s="4" t="n">
        <v>10</v>
      </c>
      <c r="M14" s="1" t="n">
        <v>9.12</v>
      </c>
      <c r="N14" s="4" t="n">
        <f aca="false">ROUND(AVERAGE(C14,D14,F14,H14,J14,L14,M13),0)</f>
        <v>10</v>
      </c>
      <c r="O14" s="4" t="str">
        <f aca="false">IF(N14&gt;6,"TEA",IF(N14&gt;3,"TEP","TED"))</f>
        <v>TEA</v>
      </c>
    </row>
    <row r="15" s="2" customFormat="true" ht="15" hidden="false" customHeight="false" outlineLevel="0" collapsed="false">
      <c r="A15" s="1" t="n">
        <v>13</v>
      </c>
      <c r="B15" s="2" t="s">
        <v>52</v>
      </c>
      <c r="C15" s="2" t="n">
        <v>8</v>
      </c>
      <c r="D15" s="4" t="n">
        <v>10</v>
      </c>
      <c r="F15" s="4" t="n">
        <v>1</v>
      </c>
      <c r="G15" s="4"/>
      <c r="H15" s="2" t="n">
        <v>5</v>
      </c>
      <c r="J15" s="4" t="n">
        <v>8</v>
      </c>
      <c r="K15" s="4"/>
      <c r="L15" s="4" t="n">
        <v>10</v>
      </c>
      <c r="M15" s="1" t="n">
        <v>10</v>
      </c>
      <c r="N15" s="4" t="n">
        <f aca="false">ROUND(AVERAGE(C15,D15,F15,H15,J15,L15,M14),0)</f>
        <v>7</v>
      </c>
      <c r="O15" s="4" t="str">
        <f aca="false">IF(N15&gt;6,"TEA",IF(N15&gt;3,"TEP","TED"))</f>
        <v>TEA</v>
      </c>
      <c r="P15" s="1" t="n">
        <v>1</v>
      </c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true" ht="15" hidden="false" customHeight="false" outlineLevel="0" collapsed="false">
      <c r="A16" s="1" t="n">
        <v>14</v>
      </c>
      <c r="B16" s="2" t="s">
        <v>55</v>
      </c>
      <c r="C16" s="4" t="n">
        <v>10</v>
      </c>
      <c r="D16" s="4" t="n">
        <v>5</v>
      </c>
      <c r="E16" s="4"/>
      <c r="F16" s="4" t="n">
        <v>6</v>
      </c>
      <c r="G16" s="4"/>
      <c r="H16" s="4" t="n">
        <v>8</v>
      </c>
      <c r="I16" s="4"/>
      <c r="J16" s="2" t="n">
        <v>10</v>
      </c>
      <c r="K16" s="2"/>
      <c r="L16" s="2" t="n">
        <v>10</v>
      </c>
      <c r="M16" s="1" t="n">
        <v>10</v>
      </c>
      <c r="N16" s="4" t="n">
        <f aca="false">ROUND(AVERAGE(C16,D16,F16,H16,J16,L16,M15),0)</f>
        <v>8</v>
      </c>
      <c r="O16" s="4" t="str">
        <f aca="false">IF(N16&gt;6,"TEA",IF(N16&gt;3,"TEP","TED"))</f>
        <v>TEA</v>
      </c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  <c r="XED16" s="2"/>
      <c r="XEE16" s="2"/>
      <c r="XEF16" s="2"/>
      <c r="XEG16" s="2"/>
      <c r="XEH16" s="2"/>
      <c r="XEI16" s="2"/>
      <c r="XEJ16" s="2"/>
      <c r="XEK16" s="2"/>
      <c r="XEL16" s="2"/>
      <c r="XEM16" s="2"/>
      <c r="XEN16" s="2"/>
      <c r="XEO16" s="2"/>
      <c r="XEP16" s="2"/>
      <c r="XEQ16" s="2"/>
      <c r="XER16" s="2"/>
      <c r="XES16" s="2"/>
      <c r="XET16" s="2"/>
      <c r="XEU16" s="2"/>
      <c r="XEV16" s="2"/>
      <c r="XEW16" s="2"/>
      <c r="XEX16" s="2"/>
      <c r="XEY16" s="2"/>
      <c r="XEZ16" s="2"/>
      <c r="XFA16" s="2"/>
      <c r="XFB16" s="2"/>
      <c r="XFC16" s="2"/>
      <c r="XFD16" s="2"/>
    </row>
    <row r="17" s="1" customFormat="true" ht="15" hidden="false" customHeight="false" outlineLevel="0" collapsed="false">
      <c r="A17" s="1" t="n">
        <v>15</v>
      </c>
      <c r="B17" s="2" t="s">
        <v>59</v>
      </c>
      <c r="C17" s="4" t="n">
        <v>10</v>
      </c>
      <c r="D17" s="4" t="n">
        <v>7</v>
      </c>
      <c r="E17" s="4"/>
      <c r="F17" s="4" t="n">
        <v>10</v>
      </c>
      <c r="G17" s="4"/>
      <c r="H17" s="4" t="n">
        <v>9</v>
      </c>
      <c r="I17" s="4"/>
      <c r="J17" s="2" t="n">
        <v>9</v>
      </c>
      <c r="K17" s="2"/>
      <c r="L17" s="2" t="n">
        <v>9</v>
      </c>
      <c r="M17" s="1" t="n">
        <v>9.22</v>
      </c>
      <c r="N17" s="4" t="n">
        <f aca="false">ROUND(AVERAGE(C17,D17,F17,H17,J17,L17,M16),0)</f>
        <v>9</v>
      </c>
      <c r="O17" s="4" t="str">
        <f aca="false">IF(N17&gt;6,"TEA",IF(N17&gt;3,"TEP","TED"))</f>
        <v>TEA</v>
      </c>
      <c r="P17" s="1" t="n">
        <v>1</v>
      </c>
      <c r="XDH17" s="2"/>
      <c r="XDI17" s="2"/>
      <c r="XDJ17" s="2"/>
      <c r="XDK17" s="2"/>
      <c r="XDL17" s="2"/>
      <c r="XDM17" s="2"/>
      <c r="XDN17" s="2"/>
      <c r="XDO17" s="2"/>
      <c r="XDP17" s="2"/>
      <c r="XDQ17" s="2"/>
      <c r="XDR17" s="2"/>
      <c r="XDS17" s="2"/>
      <c r="XDT17" s="2"/>
      <c r="XDU17" s="2"/>
      <c r="XDV17" s="2"/>
      <c r="XDW17" s="2"/>
      <c r="XDX17" s="2"/>
      <c r="XDY17" s="2"/>
      <c r="XDZ17" s="2"/>
      <c r="XEA17" s="2"/>
      <c r="XEB17" s="2"/>
      <c r="XEC17" s="2"/>
      <c r="XED17" s="2"/>
      <c r="XEE17" s="2"/>
      <c r="XEF17" s="2"/>
      <c r="XEG17" s="2"/>
      <c r="XEH17" s="2"/>
      <c r="XEI17" s="2"/>
      <c r="XEJ17" s="2"/>
      <c r="XEK17" s="2"/>
      <c r="XEL17" s="2"/>
      <c r="XEM17" s="2"/>
      <c r="XEN17" s="2"/>
      <c r="XEO17" s="2"/>
      <c r="XEP17" s="2"/>
      <c r="XEQ17" s="2"/>
      <c r="XER17" s="2"/>
      <c r="XES17" s="2"/>
      <c r="XET17" s="2"/>
      <c r="XEU17" s="2"/>
      <c r="XEV17" s="2"/>
      <c r="XEW17" s="2"/>
      <c r="XEX17" s="2"/>
      <c r="XEY17" s="2"/>
      <c r="XEZ17" s="2"/>
      <c r="XFA17" s="2"/>
      <c r="XFB17" s="2"/>
      <c r="XFC17" s="2"/>
      <c r="XFD17" s="2"/>
    </row>
    <row r="18" s="2" customFormat="true" ht="15" hidden="false" customHeight="false" outlineLevel="0" collapsed="false">
      <c r="A18" s="1" t="n">
        <v>16</v>
      </c>
      <c r="B18" s="2" t="s">
        <v>62</v>
      </c>
      <c r="C18" s="2" t="n">
        <v>5</v>
      </c>
      <c r="D18" s="4" t="n">
        <v>8</v>
      </c>
      <c r="F18" s="4" t="n">
        <v>1</v>
      </c>
      <c r="G18" s="4"/>
      <c r="H18" s="2" t="n">
        <v>8</v>
      </c>
      <c r="J18" s="4" t="n">
        <v>1</v>
      </c>
      <c r="K18" s="4"/>
      <c r="L18" s="4" t="n">
        <v>3</v>
      </c>
      <c r="M18" s="1" t="n">
        <v>1</v>
      </c>
      <c r="N18" s="4" t="n">
        <f aca="false">ROUND(AVERAGE(C18,D18,F18,H18,J18,L18,M17),0)</f>
        <v>5</v>
      </c>
      <c r="O18" s="4" t="str">
        <f aca="false">IF(N18&gt;6,"TEA",IF(N18&gt;3,"TEP","TED"))</f>
        <v>TEP</v>
      </c>
      <c r="P18" s="1" t="n">
        <v>1</v>
      </c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  <c r="XEM18" s="1"/>
      <c r="XEN18" s="1"/>
      <c r="XEO18" s="1"/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true" ht="15" hidden="false" customHeight="false" outlineLevel="0" collapsed="false">
      <c r="A19" s="1" t="n">
        <v>17</v>
      </c>
      <c r="B19" s="2" t="s">
        <v>65</v>
      </c>
      <c r="C19" s="2" t="n">
        <v>1</v>
      </c>
      <c r="D19" s="4" t="n">
        <v>8</v>
      </c>
      <c r="F19" s="4" t="n">
        <v>9</v>
      </c>
      <c r="G19" s="4"/>
      <c r="H19" s="4" t="n">
        <v>7</v>
      </c>
      <c r="I19" s="4"/>
      <c r="J19" s="4" t="n">
        <v>10</v>
      </c>
      <c r="K19" s="4"/>
      <c r="L19" s="4" t="n">
        <v>6</v>
      </c>
      <c r="M19" s="1" t="n">
        <v>9.22</v>
      </c>
      <c r="N19" s="4" t="n">
        <f aca="false">ROUND(AVERAGE(C19,D19,F19,H19,J19,L19,M18),0)</f>
        <v>6</v>
      </c>
      <c r="O19" s="4" t="str">
        <f aca="false">IF(N19&gt;6,"TEA",IF(N19&gt;3,"TEP","TED"))</f>
        <v>TEP</v>
      </c>
      <c r="P19" s="1" t="n">
        <v>1</v>
      </c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  <c r="XEM19" s="1"/>
      <c r="XEN19" s="1"/>
      <c r="XEO19" s="1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1" customFormat="true" ht="15" hidden="false" customHeight="false" outlineLevel="0" collapsed="false">
      <c r="A20" s="1" t="n">
        <v>18</v>
      </c>
      <c r="B20" s="2" t="s">
        <v>69</v>
      </c>
      <c r="C20" s="4" t="n">
        <v>10</v>
      </c>
      <c r="D20" s="4" t="n">
        <v>8</v>
      </c>
      <c r="E20" s="4"/>
      <c r="F20" s="4" t="n">
        <v>1</v>
      </c>
      <c r="G20" s="4"/>
      <c r="H20" s="4" t="n">
        <v>9</v>
      </c>
      <c r="I20" s="4"/>
      <c r="J20" s="4" t="n">
        <v>9</v>
      </c>
      <c r="K20" s="4"/>
      <c r="L20" s="4" t="n">
        <v>8</v>
      </c>
      <c r="M20" s="1" t="n">
        <v>8.04</v>
      </c>
      <c r="N20" s="4" t="n">
        <f aca="false">ROUND(AVERAGE(C20,D20,F20,H20,J20,L20,M19),0)</f>
        <v>8</v>
      </c>
      <c r="O20" s="4" t="str">
        <f aca="false">IF(N20&gt;6,"TEA",IF(N20&gt;3,"TEP","TED"))</f>
        <v>TEA</v>
      </c>
      <c r="P20" s="1" t="n">
        <v>1</v>
      </c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2"/>
    </row>
    <row r="21" s="1" customFormat="true" ht="15" hidden="false" customHeight="false" outlineLevel="0" collapsed="false">
      <c r="A21" s="1" t="n">
        <v>19</v>
      </c>
      <c r="B21" s="2" t="s">
        <v>72</v>
      </c>
      <c r="C21" s="4" t="n">
        <v>10</v>
      </c>
      <c r="D21" s="4" t="n">
        <v>10</v>
      </c>
      <c r="E21" s="4"/>
      <c r="F21" s="4" t="n">
        <v>5</v>
      </c>
      <c r="G21" s="3" t="n">
        <v>46171</v>
      </c>
      <c r="H21" s="4" t="n">
        <v>8</v>
      </c>
      <c r="I21" s="4"/>
      <c r="J21" s="2" t="n">
        <v>9</v>
      </c>
      <c r="K21" s="2"/>
      <c r="L21" s="2" t="n">
        <v>9</v>
      </c>
      <c r="M21" s="1" t="n">
        <v>8.43</v>
      </c>
      <c r="N21" s="4" t="n">
        <f aca="false">ROUND(AVERAGE(C21,D21,F21,H21,J21,L21,M20),0)</f>
        <v>8</v>
      </c>
      <c r="O21" s="4" t="str">
        <f aca="false">IF(N21&gt;6,"TEA",IF(N21&gt;3,"TEP","TED"))</f>
        <v>TEA</v>
      </c>
      <c r="P21" s="1" t="n">
        <v>1</v>
      </c>
    </row>
    <row r="22" s="2" customFormat="true" ht="15" hidden="false" customHeight="false" outlineLevel="0" collapsed="false">
      <c r="A22" s="1" t="n">
        <v>20</v>
      </c>
      <c r="B22" s="2" t="s">
        <v>75</v>
      </c>
      <c r="C22" s="4" t="n">
        <v>10</v>
      </c>
      <c r="D22" s="4" t="n">
        <v>8</v>
      </c>
      <c r="E22" s="3" t="n">
        <v>46171</v>
      </c>
      <c r="F22" s="4" t="n">
        <v>10</v>
      </c>
      <c r="G22" s="4"/>
      <c r="H22" s="4" t="n">
        <v>9</v>
      </c>
      <c r="I22" s="4"/>
      <c r="J22" s="4" t="n">
        <v>9</v>
      </c>
      <c r="K22" s="4"/>
      <c r="L22" s="4" t="n">
        <v>9</v>
      </c>
      <c r="M22" s="1" t="n">
        <v>8.82</v>
      </c>
      <c r="N22" s="4" t="n">
        <f aca="false">ROUND(AVERAGE(C22,D22,F22,H22,J22,L22,M21),0)</f>
        <v>9</v>
      </c>
      <c r="O22" s="4" t="str">
        <f aca="false">IF(N22&gt;6,"TEA",IF(N22&gt;3,"TEP","TED"))</f>
        <v>TEA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  <c r="XEM22" s="1"/>
      <c r="XEN22" s="1"/>
      <c r="XEO22" s="1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1" customFormat="true" ht="15" hidden="false" customHeight="false" outlineLevel="0" collapsed="false">
      <c r="A23" s="1" t="n">
        <v>21</v>
      </c>
      <c r="B23" s="2" t="s">
        <v>78</v>
      </c>
      <c r="C23" s="2" t="n">
        <v>5</v>
      </c>
      <c r="D23" s="4" t="n">
        <v>5</v>
      </c>
      <c r="E23" s="2"/>
      <c r="F23" s="4" t="n">
        <v>8</v>
      </c>
      <c r="G23" s="4"/>
      <c r="H23" s="4" t="n">
        <v>4</v>
      </c>
      <c r="I23" s="3" t="n">
        <v>46171</v>
      </c>
      <c r="J23" s="4" t="n">
        <v>8</v>
      </c>
      <c r="K23" s="4"/>
      <c r="L23" s="4" t="n">
        <v>10</v>
      </c>
      <c r="M23" s="1" t="n">
        <v>6.86</v>
      </c>
      <c r="N23" s="4" t="n">
        <f aca="false">ROUND(AVERAGE(C23,D23,F23,H23,J23,L23,M22),0)</f>
        <v>7</v>
      </c>
      <c r="O23" s="4" t="str">
        <f aca="false">IF(N23&gt;6,"TEA",IF(N23&gt;3,"TEP","TED"))</f>
        <v>TEA</v>
      </c>
      <c r="P23" s="1" t="n">
        <v>1</v>
      </c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</row>
  </sheetData>
  <conditionalFormatting sqref="N3:O23 C3:L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2">
      <formula>"TED"</formula>
    </cfRule>
  </conditionalFormatting>
  <conditionalFormatting sqref="M3:M23">
    <cfRule type="cellIs" priority="8" operator="greaterThan" aboveAverage="0" equalAverage="0" bottom="0" percent="0" rank="0" text="" dxfId="0">
      <formula>6</formula>
    </cfRule>
    <cfRule type="cellIs" priority="9" operator="between" aboveAverage="0" equalAverage="0" bottom="0" percent="0" rank="0" text="" dxfId="1">
      <formula>4</formula>
      <formula>6</formula>
    </cfRule>
    <cfRule type="cellIs" priority="10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1" sqref="AH24:AH28 A3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16384" min="16360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46097</v>
      </c>
      <c r="D1" s="3" t="n">
        <v>46108</v>
      </c>
      <c r="E1" s="3" t="n">
        <v>46111</v>
      </c>
      <c r="F1" s="3" t="n">
        <v>46118</v>
      </c>
      <c r="G1" s="3" t="n">
        <v>46122</v>
      </c>
      <c r="H1" s="3" t="n">
        <v>46125</v>
      </c>
      <c r="I1" s="3" t="n">
        <v>46129</v>
      </c>
      <c r="J1" s="3" t="n">
        <v>46132</v>
      </c>
      <c r="K1" s="3" t="n">
        <v>46136</v>
      </c>
      <c r="L1" s="3" t="n">
        <v>46139</v>
      </c>
      <c r="M1" s="3" t="n">
        <v>46146</v>
      </c>
      <c r="N1" s="3" t="n">
        <v>46150</v>
      </c>
      <c r="O1" s="3" t="n">
        <v>46157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</row>
    <row r="2" customFormat="false" ht="15" hidden="false" customHeight="false" outlineLevel="0" collapsed="false">
      <c r="A2" s="1" t="n">
        <v>1</v>
      </c>
      <c r="B2" s="2" t="s">
        <v>11</v>
      </c>
      <c r="C2" s="2" t="s">
        <v>96</v>
      </c>
      <c r="D2" s="2" t="s">
        <v>96</v>
      </c>
      <c r="E2" s="1" t="s">
        <v>96</v>
      </c>
      <c r="F2" s="2" t="s">
        <v>96</v>
      </c>
      <c r="G2" s="2" t="s">
        <v>96</v>
      </c>
      <c r="H2" s="2" t="s">
        <v>96</v>
      </c>
      <c r="I2" s="2" t="s">
        <v>96</v>
      </c>
      <c r="J2" s="2" t="s">
        <v>96</v>
      </c>
      <c r="K2" s="2" t="s">
        <v>96</v>
      </c>
      <c r="L2" s="2" t="s">
        <v>96</v>
      </c>
      <c r="M2" s="2" t="s">
        <v>96</v>
      </c>
      <c r="N2" s="2" t="s">
        <v>96</v>
      </c>
      <c r="O2" s="2" t="s">
        <v>96</v>
      </c>
    </row>
    <row r="3" customFormat="false" ht="15" hidden="false" customHeight="false" outlineLevel="0" collapsed="false">
      <c r="A3" s="1" t="n">
        <v>2</v>
      </c>
      <c r="B3" s="2" t="s">
        <v>16</v>
      </c>
      <c r="C3" s="1"/>
      <c r="E3" s="1"/>
      <c r="F3" s="2"/>
    </row>
    <row r="4" customFormat="false" ht="15" hidden="false" customHeight="false" outlineLevel="0" collapsed="false">
      <c r="A4" s="1" t="n">
        <v>3</v>
      </c>
      <c r="B4" s="2" t="s">
        <v>20</v>
      </c>
      <c r="F4" s="2"/>
    </row>
    <row r="5" customFormat="false" ht="15" hidden="false" customHeight="false" outlineLevel="0" collapsed="false">
      <c r="A5" s="1" t="n">
        <v>4</v>
      </c>
      <c r="B5" s="2" t="s">
        <v>23</v>
      </c>
      <c r="E5" s="1"/>
      <c r="F5" s="2"/>
    </row>
    <row r="6" customFormat="false" ht="15" hidden="false" customHeight="false" outlineLevel="0" collapsed="false">
      <c r="A6" s="1" t="n">
        <v>5</v>
      </c>
      <c r="B6" s="2" t="s">
        <v>26</v>
      </c>
      <c r="C6" s="1"/>
      <c r="F6" s="2"/>
    </row>
    <row r="7" customFormat="false" ht="15" hidden="false" customHeight="false" outlineLevel="0" collapsed="false">
      <c r="A7" s="1" t="n">
        <v>6</v>
      </c>
      <c r="B7" s="2" t="s">
        <v>30</v>
      </c>
      <c r="C7" s="1"/>
      <c r="F7" s="2"/>
    </row>
    <row r="8" customFormat="false" ht="15" hidden="false" customHeight="false" outlineLevel="0" collapsed="false">
      <c r="A8" s="1" t="n">
        <v>7</v>
      </c>
      <c r="B8" s="2" t="s">
        <v>33</v>
      </c>
      <c r="C8" s="1"/>
      <c r="F8" s="2"/>
    </row>
    <row r="9" customFormat="false" ht="15" hidden="false" customHeight="false" outlineLevel="0" collapsed="false">
      <c r="A9" s="1" t="n">
        <v>8</v>
      </c>
      <c r="B9" s="2" t="s">
        <v>36</v>
      </c>
      <c r="C9" s="1"/>
      <c r="E9" s="1"/>
      <c r="F9" s="2"/>
    </row>
    <row r="10" customFormat="false" ht="15" hidden="false" customHeight="false" outlineLevel="0" collapsed="false">
      <c r="A10" s="1" t="n">
        <v>9</v>
      </c>
      <c r="B10" s="2" t="s">
        <v>40</v>
      </c>
      <c r="F10" s="2"/>
    </row>
    <row r="11" customFormat="false" ht="15" hidden="false" customHeight="false" outlineLevel="0" collapsed="false">
      <c r="A11" s="1" t="n">
        <v>10</v>
      </c>
      <c r="B11" s="2" t="s">
        <v>43</v>
      </c>
      <c r="F11" s="2"/>
    </row>
    <row r="12" customFormat="false" ht="15" hidden="false" customHeight="false" outlineLevel="0" collapsed="false">
      <c r="A12" s="1" t="n">
        <v>11</v>
      </c>
      <c r="B12" s="2" t="s">
        <v>46</v>
      </c>
      <c r="C12" s="1"/>
      <c r="E12" s="1"/>
      <c r="F12" s="2"/>
    </row>
    <row r="13" customFormat="false" ht="15" hidden="false" customHeight="false" outlineLevel="0" collapsed="false">
      <c r="A13" s="1" t="n">
        <v>12</v>
      </c>
      <c r="B13" s="2" t="s">
        <v>49</v>
      </c>
      <c r="F13" s="2"/>
    </row>
    <row r="14" customFormat="false" ht="15" hidden="false" customHeight="false" outlineLevel="0" collapsed="false">
      <c r="A14" s="1" t="n">
        <v>13</v>
      </c>
      <c r="B14" s="2" t="s">
        <v>52</v>
      </c>
      <c r="C14" s="1"/>
      <c r="E14" s="1"/>
      <c r="F14" s="2"/>
    </row>
    <row r="15" customFormat="false" ht="15" hidden="false" customHeight="false" outlineLevel="0" collapsed="false">
      <c r="A15" s="1" t="n">
        <v>14</v>
      </c>
      <c r="B15" s="2" t="s">
        <v>55</v>
      </c>
      <c r="C15" s="1"/>
      <c r="E15" s="1"/>
      <c r="F15" s="2"/>
    </row>
    <row r="16" customFormat="false" ht="15" hidden="false" customHeight="false" outlineLevel="0" collapsed="false">
      <c r="A16" s="1" t="n">
        <v>15</v>
      </c>
      <c r="B16" s="2" t="s">
        <v>59</v>
      </c>
      <c r="C16" s="1"/>
      <c r="F16" s="2"/>
    </row>
    <row r="17" customFormat="false" ht="15" hidden="false" customHeight="false" outlineLevel="0" collapsed="false">
      <c r="A17" s="1" t="n">
        <v>16</v>
      </c>
      <c r="B17" s="2" t="s">
        <v>62</v>
      </c>
      <c r="F17" s="2"/>
    </row>
    <row r="18" customFormat="false" ht="15" hidden="false" customHeight="false" outlineLevel="0" collapsed="false">
      <c r="A18" s="1" t="n">
        <v>17</v>
      </c>
      <c r="B18" s="2" t="s">
        <v>65</v>
      </c>
      <c r="E18" s="1"/>
      <c r="F18" s="2"/>
    </row>
    <row r="19" customFormat="false" ht="15" hidden="false" customHeight="false" outlineLevel="0" collapsed="false">
      <c r="A19" s="1" t="n">
        <v>18</v>
      </c>
      <c r="B19" s="2" t="s">
        <v>69</v>
      </c>
      <c r="E19" s="1"/>
      <c r="F19" s="2"/>
    </row>
    <row r="20" customFormat="false" ht="15" hidden="false" customHeight="false" outlineLevel="0" collapsed="false">
      <c r="A20" s="1" t="n">
        <v>19</v>
      </c>
      <c r="B20" s="2" t="s">
        <v>72</v>
      </c>
      <c r="F20" s="2"/>
    </row>
    <row r="21" customFormat="false" ht="15" hidden="false" customHeight="false" outlineLevel="0" collapsed="false">
      <c r="A21" s="1" t="n">
        <v>20</v>
      </c>
      <c r="B21" s="2" t="s">
        <v>75</v>
      </c>
      <c r="E21" s="1"/>
      <c r="F21" s="2"/>
    </row>
    <row r="22" customFormat="false" ht="15" hidden="false" customHeight="false" outlineLevel="0" collapsed="false">
      <c r="A22" s="1" t="n">
        <v>21</v>
      </c>
      <c r="B22" s="2" t="s">
        <v>78</v>
      </c>
      <c r="E22" s="1"/>
      <c r="F22" s="2"/>
    </row>
    <row r="23" customFormat="false" ht="15" hidden="false" customHeight="false" outlineLevel="0" collapsed="false">
      <c r="A23" s="1" t="n">
        <v>22</v>
      </c>
      <c r="B23" s="2" t="s">
        <v>78</v>
      </c>
      <c r="F23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G45" activeCellId="1" sqref="AH24:AH28 G45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97</v>
      </c>
      <c r="E1" s="1" t="s">
        <v>98</v>
      </c>
      <c r="F1" s="1" t="s">
        <v>99</v>
      </c>
      <c r="G1" s="1" t="s">
        <v>100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6</v>
      </c>
      <c r="E3" s="1" t="n">
        <f aca="false">ROUND(AVERAGE(D3:D5),0)</f>
        <v>4</v>
      </c>
      <c r="F3" s="1" t="n">
        <v>3</v>
      </c>
      <c r="G3" s="1" t="n">
        <f aca="false">MAX(F3,E3)</f>
        <v>4</v>
      </c>
    </row>
    <row r="4" customFormat="false" ht="15" hidden="false" customHeight="false" outlineLevel="0" collapsed="false">
      <c r="C4" s="1" t="s">
        <v>16</v>
      </c>
      <c r="D4" s="1" t="n">
        <v>3</v>
      </c>
    </row>
    <row r="5" customFormat="false" ht="15" hidden="false" customHeight="false" outlineLevel="0" collapsed="false">
      <c r="C5" s="1" t="s">
        <v>16</v>
      </c>
      <c r="D5" s="1" t="n">
        <v>2</v>
      </c>
    </row>
    <row r="6" customFormat="false" ht="15" hidden="false" customHeight="false" outlineLevel="0" collapsed="false">
      <c r="A6" s="1" t="n">
        <v>3</v>
      </c>
      <c r="B6" s="2" t="s">
        <v>20</v>
      </c>
      <c r="C6" s="1" t="s">
        <v>20</v>
      </c>
      <c r="D6" s="1" t="n">
        <v>7</v>
      </c>
      <c r="E6" s="1" t="n">
        <f aca="false">ROUND(AVERAGE(D6:D8),0)</f>
        <v>4</v>
      </c>
      <c r="F6" s="1" t="n">
        <v>4</v>
      </c>
      <c r="G6" s="1" t="n">
        <f aca="false">MAX(F6,E6)</f>
        <v>4</v>
      </c>
    </row>
    <row r="7" customFormat="false" ht="15" hidden="false" customHeight="false" outlineLevel="0" collapsed="false">
      <c r="C7" s="1" t="s">
        <v>20</v>
      </c>
      <c r="D7" s="1" t="n">
        <v>4</v>
      </c>
    </row>
    <row r="8" customFormat="false" ht="15" hidden="false" customHeight="false" outlineLevel="0" collapsed="false">
      <c r="C8" s="1" t="s">
        <v>20</v>
      </c>
      <c r="D8" s="1" t="n">
        <v>2</v>
      </c>
    </row>
    <row r="9" customFormat="false" ht="15" hidden="false" customHeight="false" outlineLevel="0" collapsed="false">
      <c r="A9" s="1" t="n">
        <v>4</v>
      </c>
      <c r="B9" s="2" t="s">
        <v>23</v>
      </c>
      <c r="C9" s="1" t="s">
        <v>23</v>
      </c>
      <c r="D9" s="1" t="n">
        <v>9</v>
      </c>
      <c r="E9" s="1" t="n">
        <f aca="false">ROUND(AVERAGE(D9:D10),0)</f>
        <v>7</v>
      </c>
      <c r="F9" s="1" t="n">
        <v>5</v>
      </c>
      <c r="G9" s="1" t="n">
        <f aca="false">MAX(F9,E9)</f>
        <v>7</v>
      </c>
    </row>
    <row r="10" customFormat="false" ht="15" hidden="false" customHeight="false" outlineLevel="0" collapsed="false">
      <c r="C10" s="1" t="s">
        <v>23</v>
      </c>
      <c r="D10" s="1" t="n">
        <v>5</v>
      </c>
    </row>
    <row r="11" customFormat="false" ht="15" hidden="false" customHeight="false" outlineLevel="0" collapsed="false">
      <c r="A11" s="1" t="n">
        <v>5</v>
      </c>
      <c r="B11" s="2" t="s">
        <v>26</v>
      </c>
      <c r="C11" s="1" t="s">
        <v>26</v>
      </c>
      <c r="D11" s="1" t="n">
        <v>8</v>
      </c>
      <c r="G11" s="1" t="n">
        <v>8</v>
      </c>
    </row>
    <row r="12" customFormat="false" ht="15" hidden="false" customHeight="false" outlineLevel="0" collapsed="false">
      <c r="A12" s="1" t="n">
        <v>6</v>
      </c>
      <c r="B12" s="2" t="s">
        <v>30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7</v>
      </c>
      <c r="B13" s="2" t="s">
        <v>33</v>
      </c>
      <c r="C13" s="1" t="s">
        <v>33</v>
      </c>
      <c r="D13" s="1" t="n">
        <v>7</v>
      </c>
      <c r="E13" s="1" t="n">
        <f aca="false">ROUND(AVERAGE(D13:D15),0)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33</v>
      </c>
      <c r="D14" s="1" t="n">
        <v>6</v>
      </c>
    </row>
    <row r="15" customFormat="false" ht="15" hidden="false" customHeight="false" outlineLevel="0" collapsed="false">
      <c r="C15" s="1" t="s">
        <v>33</v>
      </c>
      <c r="D15" s="1" t="n">
        <v>5</v>
      </c>
    </row>
    <row r="16" customFormat="false" ht="15" hidden="false" customHeight="false" outlineLevel="0" collapsed="false">
      <c r="A16" s="1" t="n">
        <v>8</v>
      </c>
      <c r="B16" s="2" t="s">
        <v>36</v>
      </c>
      <c r="C16" s="1" t="s">
        <v>36</v>
      </c>
      <c r="D16" s="1" t="n">
        <v>10</v>
      </c>
      <c r="E16" s="1" t="n">
        <f aca="false">ROUND(AVERAGE(D16:D18),0)</f>
        <v>8</v>
      </c>
      <c r="F16" s="1" t="n">
        <v>7</v>
      </c>
      <c r="G16" s="1" t="n">
        <f aca="false">MAX(F16,E16)</f>
        <v>8</v>
      </c>
    </row>
    <row r="17" customFormat="false" ht="15" hidden="false" customHeight="false" outlineLevel="0" collapsed="false">
      <c r="C17" s="1" t="s">
        <v>36</v>
      </c>
      <c r="D17" s="1" t="n">
        <v>7</v>
      </c>
    </row>
    <row r="18" customFormat="false" ht="15" hidden="false" customHeight="false" outlineLevel="0" collapsed="false">
      <c r="C18" s="1" t="s">
        <v>36</v>
      </c>
      <c r="D18" s="1" t="n">
        <v>7</v>
      </c>
    </row>
    <row r="19" customFormat="false" ht="15" hidden="false" customHeight="false" outlineLevel="0" collapsed="false">
      <c r="A19" s="1" t="n">
        <v>9</v>
      </c>
      <c r="B19" s="2" t="s">
        <v>40</v>
      </c>
      <c r="C19" s="1" t="s">
        <v>40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10</v>
      </c>
      <c r="B20" s="2" t="s">
        <v>43</v>
      </c>
      <c r="C20" s="1" t="s">
        <v>43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11</v>
      </c>
      <c r="B21" s="2" t="s">
        <v>46</v>
      </c>
      <c r="C21" s="1" t="s">
        <v>46</v>
      </c>
      <c r="D21" s="1" t="n">
        <v>9</v>
      </c>
      <c r="E21" s="1" t="n">
        <f aca="false">ROUND(AVERAGE(D21:D24),0)</f>
        <v>7</v>
      </c>
      <c r="F21" s="1" t="n">
        <v>7</v>
      </c>
      <c r="G21" s="1" t="n">
        <f aca="false">MAX(F21,E21)</f>
        <v>7</v>
      </c>
    </row>
    <row r="22" customFormat="false" ht="15" hidden="false" customHeight="false" outlineLevel="0" collapsed="false">
      <c r="C22" s="1" t="s">
        <v>46</v>
      </c>
      <c r="D22" s="1" t="n">
        <v>7</v>
      </c>
    </row>
    <row r="23" customFormat="false" ht="15" hidden="false" customHeight="false" outlineLevel="0" collapsed="false">
      <c r="C23" s="1" t="s">
        <v>46</v>
      </c>
      <c r="D23" s="1" t="n">
        <v>7</v>
      </c>
    </row>
    <row r="24" customFormat="false" ht="15" hidden="false" customHeight="false" outlineLevel="0" collapsed="false">
      <c r="C24" s="1" t="s">
        <v>46</v>
      </c>
      <c r="D24" s="1" t="n">
        <v>5</v>
      </c>
    </row>
    <row r="25" customFormat="false" ht="15" hidden="false" customHeight="false" outlineLevel="0" collapsed="false">
      <c r="A25" s="1" t="n">
        <v>12</v>
      </c>
      <c r="B25" s="2" t="s">
        <v>49</v>
      </c>
      <c r="C25" s="1" t="s">
        <v>49</v>
      </c>
      <c r="D25" s="1" t="n">
        <v>9</v>
      </c>
      <c r="G25" s="1" t="n">
        <v>9</v>
      </c>
    </row>
    <row r="26" customFormat="false" ht="15" hidden="false" customHeight="false" outlineLevel="0" collapsed="false">
      <c r="A26" s="1" t="n">
        <v>13</v>
      </c>
      <c r="B26" s="2" t="s">
        <v>52</v>
      </c>
      <c r="C26" s="1" t="s">
        <v>52</v>
      </c>
      <c r="D26" s="1" t="n">
        <v>10</v>
      </c>
      <c r="G26" s="1" t="n">
        <v>10</v>
      </c>
    </row>
    <row r="27" customFormat="false" ht="15" hidden="false" customHeight="false" outlineLevel="0" collapsed="false">
      <c r="A27" s="1" t="n">
        <v>14</v>
      </c>
      <c r="B27" s="2" t="s">
        <v>55</v>
      </c>
      <c r="C27" s="1" t="s">
        <v>55</v>
      </c>
      <c r="D27" s="1" t="n">
        <v>6</v>
      </c>
      <c r="E27" s="1" t="n">
        <f aca="false">ROUND(AVERAGE(D27:D30),0)</f>
        <v>4</v>
      </c>
      <c r="F27" s="1" t="n">
        <v>5</v>
      </c>
      <c r="G27" s="1" t="n">
        <f aca="false">MAX(F27,E27)</f>
        <v>5</v>
      </c>
    </row>
    <row r="28" customFormat="false" ht="15" hidden="false" customHeight="false" outlineLevel="0" collapsed="false">
      <c r="C28" s="1" t="s">
        <v>55</v>
      </c>
      <c r="D28" s="1" t="n">
        <v>5</v>
      </c>
    </row>
    <row r="29" customFormat="false" ht="15" hidden="false" customHeight="false" outlineLevel="0" collapsed="false">
      <c r="C29" s="1" t="s">
        <v>55</v>
      </c>
      <c r="D29" s="1" t="n">
        <v>3</v>
      </c>
    </row>
    <row r="30" customFormat="false" ht="15" hidden="false" customHeight="false" outlineLevel="0" collapsed="false">
      <c r="C30" s="1" t="s">
        <v>55</v>
      </c>
      <c r="D30" s="1" t="n">
        <v>2</v>
      </c>
    </row>
    <row r="31" customFormat="false" ht="15" hidden="false" customHeight="false" outlineLevel="0" collapsed="false">
      <c r="A31" s="1" t="n">
        <v>15</v>
      </c>
      <c r="B31" s="2" t="s">
        <v>59</v>
      </c>
      <c r="C31" s="1" t="s">
        <v>59</v>
      </c>
      <c r="D31" s="1" t="n">
        <v>9</v>
      </c>
      <c r="E31" s="1" t="n">
        <f aca="false">ROUND(AVERAGE(D31:D33),0)</f>
        <v>7</v>
      </c>
      <c r="F31" s="1" t="n">
        <v>7</v>
      </c>
      <c r="G31" s="1" t="n">
        <f aca="false">MAX(F31,E31)</f>
        <v>7</v>
      </c>
    </row>
    <row r="32" customFormat="false" ht="15" hidden="false" customHeight="false" outlineLevel="0" collapsed="false">
      <c r="C32" s="1" t="s">
        <v>59</v>
      </c>
      <c r="D32" s="1" t="n">
        <v>7</v>
      </c>
    </row>
    <row r="33" customFormat="false" ht="15" hidden="false" customHeight="false" outlineLevel="0" collapsed="false">
      <c r="C33" s="1" t="s">
        <v>59</v>
      </c>
      <c r="D33" s="1" t="n">
        <v>5</v>
      </c>
    </row>
    <row r="34" customFormat="false" ht="15" hidden="false" customHeight="false" outlineLevel="0" collapsed="false">
      <c r="A34" s="1" t="n">
        <v>16</v>
      </c>
      <c r="B34" s="2" t="s">
        <v>62</v>
      </c>
      <c r="C34" s="1" t="s">
        <v>62</v>
      </c>
      <c r="D34" s="1" t="n">
        <v>10</v>
      </c>
      <c r="E34" s="1" t="n">
        <f aca="false">ROUND(AVERAGE(D34:D36),0)</f>
        <v>8</v>
      </c>
      <c r="F34" s="1" t="n">
        <v>3</v>
      </c>
      <c r="G34" s="1" t="n">
        <f aca="false">MAX(F34,E34)</f>
        <v>8</v>
      </c>
    </row>
    <row r="35" customFormat="false" ht="15" hidden="false" customHeight="false" outlineLevel="0" collapsed="false">
      <c r="C35" s="1" t="s">
        <v>62</v>
      </c>
      <c r="D35" s="1" t="n">
        <v>10</v>
      </c>
    </row>
    <row r="36" customFormat="false" ht="15" hidden="false" customHeight="false" outlineLevel="0" collapsed="false">
      <c r="C36" s="1" t="s">
        <v>62</v>
      </c>
      <c r="D36" s="1" t="n">
        <v>3</v>
      </c>
    </row>
    <row r="37" customFormat="false" ht="15" hidden="false" customHeight="false" outlineLevel="0" collapsed="false">
      <c r="A37" s="1" t="n">
        <v>17</v>
      </c>
      <c r="B37" s="2" t="s">
        <v>65</v>
      </c>
      <c r="C37" s="1" t="s">
        <v>65</v>
      </c>
      <c r="D37" s="1" t="n">
        <v>9</v>
      </c>
      <c r="E37" s="1" t="n">
        <f aca="false">ROUND(AVERAGE(D37:D39),0)</f>
        <v>7</v>
      </c>
      <c r="F37" s="1" t="n">
        <v>8</v>
      </c>
      <c r="G37" s="1" t="n">
        <f aca="false">MAX(F37,E37)</f>
        <v>8</v>
      </c>
    </row>
    <row r="38" customFormat="false" ht="15" hidden="false" customHeight="false" outlineLevel="0" collapsed="false">
      <c r="C38" s="1" t="s">
        <v>65</v>
      </c>
      <c r="D38" s="1" t="n">
        <v>8</v>
      </c>
    </row>
    <row r="39" customFormat="false" ht="15" hidden="false" customHeight="false" outlineLevel="0" collapsed="false">
      <c r="C39" s="1" t="s">
        <v>65</v>
      </c>
      <c r="D39" s="1" t="n">
        <v>3</v>
      </c>
    </row>
    <row r="40" customFormat="false" ht="15" hidden="false" customHeight="false" outlineLevel="0" collapsed="false">
      <c r="A40" s="1" t="n">
        <v>18</v>
      </c>
      <c r="B40" s="2" t="s">
        <v>69</v>
      </c>
      <c r="C40" s="1" t="s">
        <v>69</v>
      </c>
      <c r="D40" s="1" t="n">
        <v>8</v>
      </c>
      <c r="G40" s="1" t="n">
        <v>8</v>
      </c>
    </row>
    <row r="41" customFormat="false" ht="15" hidden="false" customHeight="false" outlineLevel="0" collapsed="false">
      <c r="A41" s="1" t="n">
        <v>19</v>
      </c>
      <c r="B41" s="2" t="s">
        <v>72</v>
      </c>
      <c r="C41" s="1" t="s">
        <v>72</v>
      </c>
      <c r="D41" s="1" t="n">
        <v>10</v>
      </c>
      <c r="G41" s="1" t="n">
        <v>10</v>
      </c>
    </row>
    <row r="42" customFormat="false" ht="15" hidden="false" customHeight="false" outlineLevel="0" collapsed="false">
      <c r="A42" s="1" t="n">
        <v>20</v>
      </c>
      <c r="B42" s="2" t="s">
        <v>75</v>
      </c>
      <c r="D42" s="1" t="n">
        <v>1</v>
      </c>
      <c r="G42" s="1" t="n">
        <v>1</v>
      </c>
    </row>
    <row r="43" customFormat="false" ht="15" hidden="false" customHeight="false" outlineLevel="0" collapsed="false">
      <c r="A43" s="1" t="n">
        <v>21</v>
      </c>
      <c r="B43" s="2" t="s">
        <v>78</v>
      </c>
      <c r="C43" s="1" t="s">
        <v>78</v>
      </c>
      <c r="D43" s="1" t="n">
        <v>9</v>
      </c>
      <c r="E43" s="1" t="n">
        <f aca="false">ROUND(AVERAGE(D43:D49),0)</f>
        <v>4</v>
      </c>
      <c r="F43" s="1" t="n">
        <v>5</v>
      </c>
      <c r="G43" s="1" t="n">
        <f aca="false">MAX(F43,E43)</f>
        <v>5</v>
      </c>
    </row>
    <row r="44" customFormat="false" ht="15" hidden="false" customHeight="false" outlineLevel="0" collapsed="false">
      <c r="C44" s="1" t="s">
        <v>78</v>
      </c>
      <c r="D44" s="1" t="n">
        <v>5</v>
      </c>
    </row>
    <row r="45" customFormat="false" ht="15" hidden="false" customHeight="false" outlineLevel="0" collapsed="false">
      <c r="C45" s="1" t="s">
        <v>78</v>
      </c>
      <c r="D45" s="1" t="n">
        <v>4</v>
      </c>
    </row>
    <row r="46" customFormat="false" ht="15" hidden="false" customHeight="false" outlineLevel="0" collapsed="false">
      <c r="C46" s="1" t="s">
        <v>78</v>
      </c>
      <c r="D46" s="1" t="n">
        <v>4</v>
      </c>
    </row>
    <row r="47" customFormat="false" ht="15" hidden="false" customHeight="false" outlineLevel="0" collapsed="false">
      <c r="C47" s="1" t="s">
        <v>78</v>
      </c>
      <c r="D47" s="1" t="n">
        <v>3</v>
      </c>
    </row>
    <row r="48" customFormat="false" ht="15" hidden="false" customHeight="false" outlineLevel="0" collapsed="false">
      <c r="C48" s="1" t="s">
        <v>78</v>
      </c>
      <c r="D48" s="1" t="n">
        <v>3</v>
      </c>
    </row>
    <row r="49" customFormat="false" ht="15" hidden="false" customHeight="false" outlineLevel="0" collapsed="false">
      <c r="C49" s="1" t="s">
        <v>78</v>
      </c>
      <c r="D49" s="1" t="n">
        <v>2</v>
      </c>
    </row>
    <row r="50" customFormat="false" ht="15" hidden="false" customHeight="false" outlineLevel="0" collapsed="false">
      <c r="F50" s="1" t="s">
        <v>8</v>
      </c>
      <c r="G50" s="1" t="n">
        <f aca="false">COUNTIF(G2:G48,"&gt;0")</f>
        <v>21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1" sqref="AH24:AH28 D22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1" t="s">
        <v>2</v>
      </c>
      <c r="C1" s="1" t="s">
        <v>2</v>
      </c>
      <c r="D1" s="1" t="s">
        <v>97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s">
        <v>40</v>
      </c>
      <c r="D10" s="1" t="n">
        <v>9</v>
      </c>
    </row>
    <row r="11" customFormat="false" ht="15" hidden="false" customHeight="false" outlineLevel="0" collapsed="false">
      <c r="A11" s="1" t="n">
        <v>10</v>
      </c>
      <c r="B11" s="2" t="s">
        <v>43</v>
      </c>
      <c r="C11" s="1" t="s">
        <v>43</v>
      </c>
      <c r="D11" s="1" t="n">
        <v>9</v>
      </c>
    </row>
    <row r="12" customFormat="false" ht="15" hidden="false" customHeight="false" outlineLevel="0" collapsed="false">
      <c r="A12" s="1" t="n">
        <v>11</v>
      </c>
      <c r="B12" s="2" t="s">
        <v>46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49</v>
      </c>
      <c r="C13" s="1" t="s">
        <v>49</v>
      </c>
      <c r="D13" s="1" t="n">
        <v>10</v>
      </c>
    </row>
    <row r="14" customFormat="false" ht="15" hidden="false" customHeight="false" outlineLevel="0" collapsed="false">
      <c r="A14" s="1" t="n">
        <v>13</v>
      </c>
      <c r="B14" s="2" t="s">
        <v>52</v>
      </c>
      <c r="C14" s="1" t="s">
        <v>52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55</v>
      </c>
      <c r="C15" s="1" t="s">
        <v>55</v>
      </c>
      <c r="D15" s="1" t="n">
        <v>6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1" t="s">
        <v>59</v>
      </c>
      <c r="D16" s="1" t="n">
        <v>10</v>
      </c>
    </row>
    <row r="17" customFormat="false" ht="15" hidden="false" customHeight="false" outlineLevel="0" collapsed="false">
      <c r="A17" s="1" t="n">
        <v>16</v>
      </c>
      <c r="B17" s="2" t="s">
        <v>62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65</v>
      </c>
      <c r="C18" s="1" t="s">
        <v>65</v>
      </c>
      <c r="D18" s="1" t="n">
        <v>9</v>
      </c>
    </row>
    <row r="19" customFormat="false" ht="15" hidden="false" customHeight="false" outlineLevel="0" collapsed="false">
      <c r="A19" s="1" t="n">
        <v>18</v>
      </c>
      <c r="B19" s="2" t="s">
        <v>69</v>
      </c>
      <c r="D19" s="1" t="n">
        <v>1</v>
      </c>
    </row>
    <row r="20" customFormat="false" ht="15" hidden="false" customHeight="false" outlineLevel="0" collapsed="false">
      <c r="A20" s="1" t="n">
        <v>19</v>
      </c>
      <c r="B20" s="2" t="s">
        <v>72</v>
      </c>
      <c r="D20" s="1" t="n">
        <v>1</v>
      </c>
    </row>
    <row r="21" customFormat="false" ht="15" hidden="false" customHeight="false" outlineLevel="0" collapsed="false">
      <c r="A21" s="1" t="n">
        <v>20</v>
      </c>
      <c r="B21" s="2" t="s">
        <v>75</v>
      </c>
      <c r="C21" s="1" t="s">
        <v>75</v>
      </c>
      <c r="D21" s="1" t="n">
        <v>10</v>
      </c>
    </row>
    <row r="22" customFormat="false" ht="15" hidden="false" customHeight="false" outlineLevel="0" collapsed="false">
      <c r="A22" s="1" t="n">
        <v>21</v>
      </c>
      <c r="B22" s="2" t="s">
        <v>78</v>
      </c>
      <c r="C22" s="1" t="s">
        <v>78</v>
      </c>
      <c r="D22" s="1" t="n">
        <v>8</v>
      </c>
    </row>
    <row r="23" customFormat="false" ht="15" hidden="false" customHeight="false" outlineLevel="0" collapsed="false"/>
    <row r="24" customFormat="false" ht="15" hidden="false" customHeight="false" outlineLevel="0" collapsed="false">
      <c r="C24" s="1" t="s">
        <v>8</v>
      </c>
      <c r="D24" s="1" t="n">
        <f aca="false">COUNTIF(D2:D22,"&gt;0")</f>
        <v>21</v>
      </c>
    </row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2" activeCellId="1" sqref="AH24:AH28 G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97</v>
      </c>
      <c r="E1" s="1" t="s">
        <v>98</v>
      </c>
      <c r="F1" s="1" t="s">
        <v>99</v>
      </c>
      <c r="G1" s="1" t="s">
        <v>101</v>
      </c>
    </row>
    <row r="2" customFormat="false" ht="15" hidden="false" customHeight="false" outlineLevel="0" collapsed="false">
      <c r="A2" s="1" t="n">
        <v>1</v>
      </c>
      <c r="B2" s="2" t="s">
        <v>11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8</v>
      </c>
      <c r="G3" s="1" t="n">
        <v>8</v>
      </c>
    </row>
    <row r="4" customFormat="false" ht="15" hidden="false" customHeight="false" outlineLevel="0" collapsed="false">
      <c r="A4" s="1" t="n">
        <v>3</v>
      </c>
      <c r="B4" s="2" t="s">
        <v>20</v>
      </c>
      <c r="D4" s="1" t="n">
        <v>1</v>
      </c>
      <c r="G4" s="1" t="n"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n">
        <v>9</v>
      </c>
      <c r="G9" s="1" t="n">
        <v>9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s">
        <v>40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43</v>
      </c>
      <c r="C11" s="1" t="s">
        <v>43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46</v>
      </c>
      <c r="C12" s="1" t="s">
        <v>46</v>
      </c>
      <c r="D12" s="1" t="n">
        <v>10</v>
      </c>
      <c r="E12" s="1" t="n">
        <f aca="false">ROUND(AVERAGE(D12:D16),0)</f>
        <v>7</v>
      </c>
      <c r="F12" s="1" t="n">
        <v>9</v>
      </c>
      <c r="G12" s="1" t="n">
        <f aca="false">MAX(F12,E12)</f>
        <v>9</v>
      </c>
    </row>
    <row r="13" customFormat="false" ht="15" hidden="false" customHeight="false" outlineLevel="0" collapsed="false">
      <c r="C13" s="1" t="s">
        <v>46</v>
      </c>
      <c r="D13" s="1" t="n">
        <v>9</v>
      </c>
    </row>
    <row r="14" customFormat="false" ht="15" hidden="false" customHeight="false" outlineLevel="0" collapsed="false">
      <c r="C14" s="1" t="s">
        <v>46</v>
      </c>
      <c r="D14" s="1" t="n">
        <v>7</v>
      </c>
    </row>
    <row r="15" customFormat="false" ht="15" hidden="false" customHeight="false" outlineLevel="0" collapsed="false">
      <c r="C15" s="1" t="s">
        <v>46</v>
      </c>
      <c r="D15" s="1" t="n">
        <v>6</v>
      </c>
    </row>
    <row r="16" customFormat="false" ht="15" hidden="false" customHeight="false" outlineLevel="0" collapsed="false">
      <c r="C16" s="1" t="s">
        <v>46</v>
      </c>
      <c r="D16" s="1" t="n">
        <v>5</v>
      </c>
    </row>
    <row r="17" customFormat="false" ht="15" hidden="false" customHeight="false" outlineLevel="0" collapsed="false">
      <c r="A17" s="1" t="n">
        <v>12</v>
      </c>
      <c r="B17" s="2" t="s">
        <v>49</v>
      </c>
      <c r="C17" s="1" t="s">
        <v>49</v>
      </c>
      <c r="D17" s="1" t="n">
        <v>9</v>
      </c>
      <c r="G17" s="1" t="n">
        <v>9</v>
      </c>
    </row>
    <row r="18" customFormat="false" ht="15" hidden="false" customHeight="false" outlineLevel="0" collapsed="false">
      <c r="A18" s="1" t="n">
        <v>13</v>
      </c>
      <c r="B18" s="2" t="s">
        <v>52</v>
      </c>
      <c r="C18" s="1" t="s">
        <v>52</v>
      </c>
      <c r="D18" s="1" t="n">
        <v>5</v>
      </c>
      <c r="E18" s="1" t="n">
        <f aca="false">ROUND(AVERAGE(D18:D19),0)</f>
        <v>5</v>
      </c>
      <c r="F18" s="1" t="n">
        <v>4</v>
      </c>
      <c r="G18" s="1" t="n">
        <f aca="false">MAX(F18,E18)</f>
        <v>5</v>
      </c>
    </row>
    <row r="19" customFormat="false" ht="15" hidden="false" customHeight="false" outlineLevel="0" collapsed="false">
      <c r="C19" s="1" t="s">
        <v>52</v>
      </c>
      <c r="D19" s="1" t="n">
        <v>4</v>
      </c>
    </row>
    <row r="20" customFormat="false" ht="15" hidden="false" customHeight="false" outlineLevel="0" collapsed="false">
      <c r="A20" s="1" t="n">
        <v>14</v>
      </c>
      <c r="B20" s="2" t="s">
        <v>55</v>
      </c>
      <c r="C20" s="1" t="s">
        <v>55</v>
      </c>
      <c r="D20" s="1" t="n">
        <v>8</v>
      </c>
      <c r="G20" s="1" t="n">
        <v>8</v>
      </c>
    </row>
    <row r="21" customFormat="false" ht="15" hidden="false" customHeight="false" outlineLevel="0" collapsed="false">
      <c r="A21" s="1" t="n">
        <v>15</v>
      </c>
      <c r="B21" s="2" t="s">
        <v>59</v>
      </c>
      <c r="C21" s="1" t="s">
        <v>59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16</v>
      </c>
      <c r="B22" s="2" t="s">
        <v>62</v>
      </c>
      <c r="C22" s="1" t="s">
        <v>69</v>
      </c>
      <c r="D22" s="1" t="n">
        <v>8</v>
      </c>
      <c r="G22" s="1" t="n">
        <v>8</v>
      </c>
    </row>
    <row r="23" customFormat="false" ht="15" hidden="false" customHeight="false" outlineLevel="0" collapsed="false">
      <c r="A23" s="1" t="n">
        <v>17</v>
      </c>
      <c r="B23" s="2" t="s">
        <v>65</v>
      </c>
      <c r="C23" s="1" t="s">
        <v>72</v>
      </c>
      <c r="D23" s="1" t="n">
        <v>7</v>
      </c>
      <c r="G23" s="1" t="n">
        <v>7</v>
      </c>
    </row>
    <row r="24" customFormat="false" ht="15" hidden="false" customHeight="false" outlineLevel="0" collapsed="false">
      <c r="A24" s="1" t="n">
        <v>18</v>
      </c>
      <c r="B24" s="2" t="s">
        <v>69</v>
      </c>
      <c r="C24" s="1" t="s">
        <v>75</v>
      </c>
      <c r="D24" s="1" t="n">
        <v>9</v>
      </c>
      <c r="G24" s="1" t="n">
        <v>9</v>
      </c>
    </row>
    <row r="25" customFormat="false" ht="15" hidden="false" customHeight="false" outlineLevel="0" collapsed="false">
      <c r="A25" s="1" t="n">
        <v>19</v>
      </c>
      <c r="B25" s="2" t="s">
        <v>72</v>
      </c>
      <c r="C25" s="1" t="s">
        <v>78</v>
      </c>
      <c r="D25" s="1" t="n">
        <v>8</v>
      </c>
      <c r="G25" s="1" t="n">
        <v>8</v>
      </c>
    </row>
    <row r="26" customFormat="false" ht="15" hidden="false" customHeight="false" outlineLevel="0" collapsed="false">
      <c r="A26" s="1" t="n">
        <v>20</v>
      </c>
      <c r="B26" s="2" t="s">
        <v>75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21</v>
      </c>
      <c r="B27" s="2" t="s">
        <v>78</v>
      </c>
      <c r="D27" s="1" t="n">
        <v>1</v>
      </c>
      <c r="G27" s="1" t="n">
        <v>1</v>
      </c>
    </row>
    <row r="28" customFormat="false" ht="15" hidden="false" customHeight="false" outlineLevel="0" collapsed="false">
      <c r="F28" s="1" t="s">
        <v>8</v>
      </c>
      <c r="G28" s="1" t="n">
        <f aca="false">COUNTIF(G2:G27,"&gt;0")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G2" activeCellId="1" sqref="AH24:AH28 G2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97</v>
      </c>
      <c r="E1" s="1" t="s">
        <v>98</v>
      </c>
      <c r="F1" s="1" t="s">
        <v>99</v>
      </c>
      <c r="G1" s="1" t="s">
        <v>101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10</v>
      </c>
      <c r="G3" s="1" t="n">
        <v>10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  <c r="E5" s="1" t="n">
        <f aca="false">ROUND(AVERAGE(D5:D7),0)</f>
        <v>10</v>
      </c>
      <c r="F5" s="1" t="n">
        <v>9</v>
      </c>
      <c r="G5" s="1" t="n">
        <f aca="false">MAX(F5,E5)</f>
        <v>10</v>
      </c>
    </row>
    <row r="6" customFormat="false" ht="15" hidden="false" customHeight="false" outlineLevel="0" collapsed="false">
      <c r="C6" s="1" t="s">
        <v>23</v>
      </c>
      <c r="D6" s="1" t="n">
        <v>10</v>
      </c>
    </row>
    <row r="7" customFormat="false" ht="15" hidden="false" customHeight="false" outlineLevel="0" collapsed="false">
      <c r="C7" s="1" t="s">
        <v>23</v>
      </c>
      <c r="D7" s="1" t="n">
        <v>9</v>
      </c>
    </row>
    <row r="8" customFormat="false" ht="15" hidden="false" customHeight="false" outlineLevel="0" collapsed="false">
      <c r="A8" s="1" t="n">
        <v>5</v>
      </c>
      <c r="B8" s="2" t="s">
        <v>26</v>
      </c>
      <c r="C8" s="1" t="s">
        <v>26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6</v>
      </c>
      <c r="B9" s="2" t="s">
        <v>30</v>
      </c>
      <c r="C9" s="1" t="s">
        <v>30</v>
      </c>
      <c r="D9" s="1" t="n">
        <v>6</v>
      </c>
      <c r="G9" s="1" t="n">
        <v>6</v>
      </c>
    </row>
    <row r="10" customFormat="false" ht="15" hidden="false" customHeight="false" outlineLevel="0" collapsed="false">
      <c r="A10" s="1" t="n">
        <v>7</v>
      </c>
      <c r="B10" s="2" t="s">
        <v>33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8</v>
      </c>
      <c r="B11" s="2" t="s">
        <v>36</v>
      </c>
      <c r="C11" s="1" t="s">
        <v>36</v>
      </c>
      <c r="D11" s="1" t="n">
        <v>9</v>
      </c>
      <c r="G11" s="1" t="n">
        <v>9</v>
      </c>
    </row>
    <row r="12" customFormat="false" ht="15" hidden="false" customHeight="false" outlineLevel="0" collapsed="false">
      <c r="A12" s="1" t="n">
        <v>9</v>
      </c>
      <c r="B12" s="2" t="s">
        <v>40</v>
      </c>
      <c r="C12" s="1" t="s">
        <v>40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10</v>
      </c>
      <c r="B13" s="2" t="s">
        <v>43</v>
      </c>
      <c r="C13" s="1" t="s">
        <v>43</v>
      </c>
      <c r="D13" s="1" t="n">
        <v>8</v>
      </c>
      <c r="G13" s="1" t="n">
        <v>8</v>
      </c>
    </row>
    <row r="14" customFormat="false" ht="15" hidden="false" customHeight="false" outlineLevel="0" collapsed="false">
      <c r="A14" s="1" t="n">
        <v>11</v>
      </c>
      <c r="B14" s="2" t="s">
        <v>46</v>
      </c>
      <c r="C14" s="1" t="s">
        <v>46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1" t="n">
        <v>12</v>
      </c>
      <c r="B15" s="2" t="s">
        <v>49</v>
      </c>
      <c r="C15" s="1" t="s">
        <v>49</v>
      </c>
      <c r="D15" s="1" t="n">
        <v>10</v>
      </c>
      <c r="G15" s="1" t="n">
        <v>10</v>
      </c>
    </row>
    <row r="16" customFormat="false" ht="15" hidden="false" customHeight="false" outlineLevel="0" collapsed="false">
      <c r="A16" s="1" t="n">
        <v>13</v>
      </c>
      <c r="B16" s="2" t="s">
        <v>52</v>
      </c>
      <c r="C16" s="1" t="s">
        <v>52</v>
      </c>
      <c r="D16" s="1" t="n">
        <v>8</v>
      </c>
      <c r="G16" s="1" t="n">
        <v>8</v>
      </c>
    </row>
    <row r="17" customFormat="false" ht="15" hidden="false" customHeight="false" outlineLevel="0" collapsed="false">
      <c r="A17" s="1" t="n">
        <v>14</v>
      </c>
      <c r="B17" s="2" t="s">
        <v>55</v>
      </c>
      <c r="C17" s="1" t="s">
        <v>55</v>
      </c>
      <c r="D17" s="1" t="n">
        <v>10</v>
      </c>
      <c r="G17" s="1" t="n">
        <v>10</v>
      </c>
    </row>
    <row r="18" customFormat="false" ht="15" hidden="false" customHeight="false" outlineLevel="0" collapsed="false">
      <c r="A18" s="1" t="n">
        <v>15</v>
      </c>
      <c r="B18" s="2" t="s">
        <v>59</v>
      </c>
      <c r="C18" s="1" t="s">
        <v>59</v>
      </c>
      <c r="D18" s="1" t="n">
        <v>9</v>
      </c>
      <c r="G18" s="1" t="n">
        <v>9</v>
      </c>
    </row>
    <row r="19" customFormat="false" ht="15" hidden="false" customHeight="false" outlineLevel="0" collapsed="false">
      <c r="A19" s="1" t="n">
        <v>16</v>
      </c>
      <c r="B19" s="2" t="s">
        <v>62</v>
      </c>
      <c r="D19" s="1" t="n">
        <v>1</v>
      </c>
      <c r="G19" s="1" t="n">
        <v>1</v>
      </c>
    </row>
    <row r="20" customFormat="false" ht="15" hidden="false" customHeight="false" outlineLevel="0" collapsed="false">
      <c r="A20" s="1" t="n">
        <v>17</v>
      </c>
      <c r="B20" s="2" t="s">
        <v>65</v>
      </c>
      <c r="C20" s="1" t="s">
        <v>65</v>
      </c>
      <c r="D20" s="1" t="n">
        <v>10</v>
      </c>
      <c r="G20" s="1" t="n">
        <v>10</v>
      </c>
    </row>
    <row r="21" customFormat="false" ht="15" hidden="false" customHeight="false" outlineLevel="0" collapsed="false">
      <c r="A21" s="1" t="n">
        <v>18</v>
      </c>
      <c r="B21" s="2" t="s">
        <v>69</v>
      </c>
      <c r="C21" s="1" t="s">
        <v>69</v>
      </c>
      <c r="D21" s="1" t="n">
        <v>9</v>
      </c>
      <c r="G21" s="1" t="n">
        <v>9</v>
      </c>
    </row>
    <row r="22" customFormat="false" ht="15" hidden="false" customHeight="false" outlineLevel="0" collapsed="false">
      <c r="A22" s="1" t="n">
        <v>19</v>
      </c>
      <c r="B22" s="2" t="s">
        <v>72</v>
      </c>
      <c r="C22" s="1" t="s">
        <v>72</v>
      </c>
      <c r="D22" s="1" t="n">
        <v>9</v>
      </c>
      <c r="G22" s="1" t="n">
        <v>9</v>
      </c>
    </row>
    <row r="23" customFormat="false" ht="15" hidden="false" customHeight="false" outlineLevel="0" collapsed="false">
      <c r="A23" s="1" t="n">
        <v>20</v>
      </c>
      <c r="B23" s="2" t="s">
        <v>75</v>
      </c>
      <c r="C23" s="1" t="s">
        <v>75</v>
      </c>
      <c r="D23" s="1" t="n">
        <v>9</v>
      </c>
      <c r="G23" s="1" t="n">
        <v>9</v>
      </c>
    </row>
    <row r="24" customFormat="false" ht="15" hidden="false" customHeight="false" outlineLevel="0" collapsed="false">
      <c r="A24" s="1" t="n">
        <v>21</v>
      </c>
      <c r="B24" s="2" t="s">
        <v>78</v>
      </c>
      <c r="C24" s="1" t="s">
        <v>78</v>
      </c>
      <c r="D24" s="1" t="n">
        <v>8</v>
      </c>
      <c r="G24" s="1" t="n">
        <v>8</v>
      </c>
    </row>
    <row r="25" customFormat="false" ht="15" hidden="false" customHeight="false" outlineLevel="0" collapsed="false">
      <c r="F25" s="1" t="s">
        <v>8</v>
      </c>
      <c r="G25" s="1" t="n">
        <f aca="false">COUNTIF(G2:G24,"&gt;0")</f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D2" activeCellId="1" sqref="AH24:AH28 D2"/>
    </sheetView>
  </sheetViews>
  <sheetFormatPr defaultColWidth="10.58203125" defaultRowHeight="15" zeroHeight="false" outlineLevelRow="0" outlineLevelCol="0"/>
  <cols>
    <col collapsed="false" customWidth="true" hidden="false" outlineLevel="0" max="3" min="3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97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n">
        <v>9.02</v>
      </c>
    </row>
    <row r="3" customFormat="false" ht="15" hidden="false" customHeight="false" outlineLevel="0" collapsed="false">
      <c r="A3" s="1" t="n">
        <v>2</v>
      </c>
      <c r="B3" s="2" t="s">
        <v>16</v>
      </c>
      <c r="C3" s="1" t="s">
        <v>16</v>
      </c>
      <c r="D3" s="1" t="n">
        <v>9.22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n">
        <v>9.22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26</v>
      </c>
      <c r="C6" s="1" t="s">
        <v>26</v>
      </c>
      <c r="D6" s="1" t="n">
        <v>9.22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n">
        <v>8.04</v>
      </c>
    </row>
    <row r="9" customFormat="false" ht="15" hidden="false" customHeight="false" outlineLevel="0" collapsed="false">
      <c r="A9" s="1" t="n">
        <v>8</v>
      </c>
      <c r="B9" s="2" t="s">
        <v>36</v>
      </c>
      <c r="C9" s="1" t="s">
        <v>36</v>
      </c>
      <c r="D9" s="1" t="n">
        <v>9.22</v>
      </c>
    </row>
    <row r="10" customFormat="false" ht="15" hidden="false" customHeight="false" outlineLevel="0" collapsed="false">
      <c r="A10" s="1" t="n">
        <v>9</v>
      </c>
      <c r="B10" s="2" t="s">
        <v>40</v>
      </c>
      <c r="C10" s="1" t="s">
        <v>40</v>
      </c>
      <c r="D10" s="1" t="n">
        <v>9.02</v>
      </c>
    </row>
    <row r="11" customFormat="false" ht="15" hidden="false" customHeight="false" outlineLevel="0" collapsed="false">
      <c r="A11" s="1" t="n">
        <v>10</v>
      </c>
      <c r="B11" s="2" t="s">
        <v>43</v>
      </c>
      <c r="C11" s="1" t="s">
        <v>43</v>
      </c>
      <c r="D11" s="1" t="n">
        <v>9.22</v>
      </c>
    </row>
    <row r="12" customFormat="false" ht="15" hidden="false" customHeight="false" outlineLevel="0" collapsed="false">
      <c r="A12" s="1" t="n">
        <v>11</v>
      </c>
      <c r="B12" s="2" t="s">
        <v>46</v>
      </c>
      <c r="C12" s="1" t="s">
        <v>46</v>
      </c>
      <c r="D12" s="1" t="n">
        <v>9.22</v>
      </c>
    </row>
    <row r="13" customFormat="false" ht="15" hidden="false" customHeight="false" outlineLevel="0" collapsed="false">
      <c r="A13" s="1" t="n">
        <v>12</v>
      </c>
      <c r="B13" s="2" t="s">
        <v>49</v>
      </c>
      <c r="C13" s="1" t="s">
        <v>49</v>
      </c>
      <c r="D13" s="1" t="n">
        <v>9.12</v>
      </c>
    </row>
    <row r="14" customFormat="false" ht="15" hidden="false" customHeight="false" outlineLevel="0" collapsed="false">
      <c r="A14" s="1" t="n">
        <v>13</v>
      </c>
      <c r="B14" s="2" t="s">
        <v>52</v>
      </c>
      <c r="C14" s="1" t="s">
        <v>52</v>
      </c>
      <c r="D14" s="1" t="n">
        <v>10</v>
      </c>
    </row>
    <row r="15" customFormat="false" ht="15" hidden="false" customHeight="false" outlineLevel="0" collapsed="false">
      <c r="A15" s="1" t="n">
        <v>14</v>
      </c>
      <c r="B15" s="2" t="s">
        <v>55</v>
      </c>
      <c r="C15" s="1" t="s">
        <v>55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59</v>
      </c>
      <c r="C16" s="1" t="s">
        <v>59</v>
      </c>
      <c r="D16" s="1" t="n">
        <v>9.22</v>
      </c>
    </row>
    <row r="17" customFormat="false" ht="15" hidden="false" customHeight="false" outlineLevel="0" collapsed="false">
      <c r="A17" s="1" t="n">
        <v>16</v>
      </c>
      <c r="B17" s="2" t="s">
        <v>62</v>
      </c>
      <c r="D17" s="1" t="n">
        <v>1</v>
      </c>
    </row>
    <row r="18" customFormat="false" ht="15" hidden="false" customHeight="false" outlineLevel="0" collapsed="false">
      <c r="A18" s="1" t="n">
        <v>17</v>
      </c>
      <c r="B18" s="2" t="s">
        <v>65</v>
      </c>
      <c r="C18" s="1" t="s">
        <v>65</v>
      </c>
      <c r="D18" s="1" t="n">
        <v>9.22</v>
      </c>
    </row>
    <row r="19" customFormat="false" ht="15" hidden="false" customHeight="false" outlineLevel="0" collapsed="false">
      <c r="A19" s="1" t="n">
        <v>18</v>
      </c>
      <c r="B19" s="2" t="s">
        <v>69</v>
      </c>
      <c r="C19" s="1" t="s">
        <v>69</v>
      </c>
      <c r="D19" s="1" t="n">
        <v>8.04</v>
      </c>
    </row>
    <row r="20" customFormat="false" ht="15" hidden="false" customHeight="false" outlineLevel="0" collapsed="false">
      <c r="A20" s="1" t="n">
        <v>19</v>
      </c>
      <c r="B20" s="2" t="s">
        <v>72</v>
      </c>
      <c r="C20" s="1" t="s">
        <v>72</v>
      </c>
      <c r="D20" s="1" t="n">
        <v>8.43</v>
      </c>
    </row>
    <row r="21" customFormat="false" ht="15" hidden="false" customHeight="false" outlineLevel="0" collapsed="false">
      <c r="A21" s="1" t="n">
        <v>20</v>
      </c>
      <c r="B21" s="2" t="s">
        <v>75</v>
      </c>
      <c r="C21" s="1" t="s">
        <v>75</v>
      </c>
      <c r="D21" s="1" t="n">
        <v>8.82</v>
      </c>
    </row>
    <row r="22" customFormat="false" ht="15" hidden="false" customHeight="false" outlineLevel="0" collapsed="false">
      <c r="A22" s="1" t="n">
        <v>21</v>
      </c>
      <c r="B22" s="2" t="s">
        <v>78</v>
      </c>
      <c r="C22" s="1" t="s">
        <v>78</v>
      </c>
      <c r="D22" s="1" t="n">
        <v>6.86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2026-06-20T08:02:05Z</dcterms:modified>
  <cp:revision>105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