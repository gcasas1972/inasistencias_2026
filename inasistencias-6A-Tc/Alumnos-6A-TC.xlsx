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rl serie" sheetId="4" state="visible" r:id="rId6"/>
    <sheet name="2-rl-Serie" sheetId="5" state="visible" r:id="rId7"/>
    <sheet name="3-Rl paralelo" sheetId="6" state="visible" r:id="rId8"/>
    <sheet name="4-RC paralelo" sheetId="7" state="visible" r:id="rId9"/>
    <sheet name="evaluacion" sheetId="8" state="visible" r:id="rId10"/>
    <sheet name="7-ctosCombinados" sheetId="9" state="visible" r:id="rId11"/>
    <sheet name="8-CtosComb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<sst xmlns="http://schemas.openxmlformats.org/spreadsheetml/2006/main" count="1290" uniqueCount="109">
  <si>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</si>
  <si>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</si>
  <si>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</si>
  <si>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</si>
  <si>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</si>
  <si>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</si>
  <si>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</si>
  <si>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ausente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</si>
  <si>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</si>
  <si>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</si>
  <si>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</si>
  <si>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</si>
  <si>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</si>
  <si>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</si>
  <si>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</si>
  <si>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</si>
  <si>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</si>
  <si>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</si>
  <si>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p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</si>
  <si>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</si>
  <si>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</si>
  <si>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</si>
  <si>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</si>
  <si>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</si>
  <si>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</si>
  <si>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</si>
  <si>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</si>
  <si>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</si>
  <si>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M</t>
  </si>
  <si>
    <t xml:space="preserve">T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</si>
  <si>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</si>
  <si>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</si>
  <si>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</si>
  <si>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</si>
  <si>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</si>
  <si>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</si>
  <si>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</si>
  <si>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</si>
  <si>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</si>
  <si>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O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</si>
  <si>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</si>
  <si>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</si>
  <si>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</si>
  <si>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</si>
  <si>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</si>
  <si>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</si>
  <si>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</si>
  <si>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</si>
  <si>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</si>
  <si>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pendiente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</si>
  <si>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</si>
  <si>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</si>
  <si>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</si>
  <si>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</si>
  <si>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</si>
  <si>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</si>
  <si>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</si>
  <si>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</si>
  <si>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</si>
  <si>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traumatologo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</si>
  <si>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</si>
  <si>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</si>
  <si>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</si>
  <si>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</si>
  <si>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</si>
  <si>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</si>
  <si>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</si>
  <si>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</si>
  <si>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</si>
  <si>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Se retiro 19:30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</si>
  <si>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</si>
  <si>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</si>
  <si>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</si>
  <si>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</si>
  <si>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</si>
  <si>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</si>
  <si>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</si>
  <si>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</si>
  <si>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</si>
  <si>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</si>
  <si>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</si>
  <si>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</si>
  <si>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</si>
  <si>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tarde</t>
  </si>
  <si>
    <t xml:space="preserve">olimpiadas</t>
  </si>
  <si>
    <t xml:space="preserve">toal</t>
  </si>
  <si>
    <t xml:space="preserve">Carpeta</t>
  </si>
  <si>
    <t xml:space="preserve">1-RL Serie</t>
  </si>
  <si>
    <t xml:space="preserve">recupero</t>
  </si>
  <si>
    <t xml:space="preserve">2-Rl serie</t>
  </si>
  <si>
    <t xml:space="preserve">Recup</t>
  </si>
  <si>
    <t xml:space="preserve">3-rl paralelo</t>
  </si>
  <si>
    <t xml:space="preserve">4-RC paralelo</t>
  </si>
  <si>
    <t xml:space="preserve">asistencia</t>
  </si>
  <si>
    <t xml:space="preserve">Evaluacion</t>
  </si>
  <si>
    <t xml:space="preserve">valoracion</t>
  </si>
  <si>
    <t xml:space="preserve">Grupo</t>
  </si>
  <si>
    <t xml:space="preserve">5 -1A-2A</t>
  </si>
  <si>
    <t xml:space="preserve">6-Ctos Comb</t>
  </si>
  <si>
    <t xml:space="preserve">7-Ctos Comb</t>
  </si>
  <si>
    <t xml:space="preserve">8-Ctos Comb</t>
  </si>
  <si>
    <t xml:space="preserve">cañon de Gauss</t>
  </si>
  <si>
    <t xml:space="preserve">evaluacion</t>
  </si>
  <si>
    <t xml:space="preserve">-</t>
  </si>
  <si>
    <t xml:space="preserve">Calificación/10,00</t>
  </si>
  <si>
    <t xml:space="preserve">promedio</t>
  </si>
  <si>
    <t xml:space="preserve">segundo</t>
  </si>
  <si>
    <t xml:space="preserve">maximo</t>
  </si>
  <si>
    <t xml:space="preserve">final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</si>
</sst>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AY28" activeCellId="0" sqref="AY28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19" min="6" style="1" width="8.75"/>
    <col collapsed="false" customWidth="true" hidden="true" outlineLevel="0" max="20" min="20" style="1" width="13.25"/>
    <col collapsed="false" customWidth="false" hidden="true" outlineLevel="0" max="40" min="21" style="1" width="8.75"/>
    <col collapsed="false" customWidth="true" hidden="false" outlineLevel="0" max="16384" min="16200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F2" s="3" t="n">
        <v>46097</v>
      </c>
      <c r="G2" s="3" t="n">
        <v>46108</v>
      </c>
      <c r="H2" s="3" t="n">
        <v>46111</v>
      </c>
      <c r="I2" s="3" t="s">
        <v>4</v>
      </c>
      <c r="J2" s="3" t="n">
        <v>46118</v>
      </c>
      <c r="K2" s="3" t="n">
        <v>46122</v>
      </c>
      <c r="L2" s="3" t="n">
        <v>46125</v>
      </c>
      <c r="M2" s="3" t="n">
        <v>46129</v>
      </c>
      <c r="N2" s="3" t="n">
        <v>46132</v>
      </c>
      <c r="O2" s="3" t="n">
        <v>46136</v>
      </c>
      <c r="P2" s="3" t="n">
        <v>46139</v>
      </c>
      <c r="Q2" s="3" t="n">
        <v>46146</v>
      </c>
      <c r="R2" s="3" t="n">
        <v>46150</v>
      </c>
      <c r="S2" s="3" t="n">
        <v>46157</v>
      </c>
      <c r="T2" s="3" t="s">
        <v>4</v>
      </c>
      <c r="U2" s="3" t="n">
        <v>46160</v>
      </c>
      <c r="V2" s="3"/>
      <c r="W2" s="3" t="n">
        <v>46164</v>
      </c>
      <c r="X2" s="3" t="n">
        <v>46171</v>
      </c>
      <c r="Y2" s="3" t="s">
        <v>5</v>
      </c>
      <c r="Z2" s="3" t="s">
        <v>6</v>
      </c>
      <c r="AA2" s="3" t="s">
        <v>7</v>
      </c>
      <c r="AB2" s="3" t="s">
        <v>8</v>
      </c>
      <c r="AC2" s="3" t="s">
        <v>9</v>
      </c>
      <c r="AD2" s="3" t="n">
        <v>46174</v>
      </c>
      <c r="AE2" s="3" t="n">
        <v>46178</v>
      </c>
      <c r="AF2" s="3" t="n">
        <v>46181</v>
      </c>
      <c r="AG2" s="3" t="n">
        <v>46185</v>
      </c>
      <c r="AH2" s="3" t="n">
        <v>46192</v>
      </c>
      <c r="AI2" s="3" t="n">
        <v>46199</v>
      </c>
      <c r="AJ2" s="3" t="n">
        <v>46180</v>
      </c>
      <c r="AK2" s="3" t="n">
        <v>46216</v>
      </c>
      <c r="AL2" s="3" t="n">
        <v>46220</v>
      </c>
      <c r="AM2" s="3" t="s">
        <v>4</v>
      </c>
      <c r="AN2" s="3" t="n">
        <v>46237</v>
      </c>
      <c r="AO2" s="3" t="n">
        <v>46241</v>
      </c>
      <c r="AP2" s="3" t="n">
        <v>46227</v>
      </c>
      <c r="AQ2" s="3" t="s">
        <v>4</v>
      </c>
      <c r="AR2" s="3" t="n">
        <v>46262</v>
      </c>
      <c r="AS2" s="3" t="n">
        <v>46265</v>
      </c>
      <c r="AT2" s="3" t="n">
        <v>46269</v>
      </c>
      <c r="AU2" s="3" t="n">
        <v>46272</v>
      </c>
      <c r="AV2" s="3" t="n">
        <v>46279</v>
      </c>
      <c r="AW2" s="3" t="n">
        <v>46283</v>
      </c>
      <c r="AX2" s="3" t="n">
        <v>46290</v>
      </c>
      <c r="AY2" s="3" t="n">
        <v>46297</v>
      </c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 t="s">
        <v>12</v>
      </c>
      <c r="E3" s="1" t="s">
        <v>13</v>
      </c>
      <c r="F3" s="2" t="s">
        <v>13</v>
      </c>
      <c r="G3" s="2" t="s">
        <v>13</v>
      </c>
      <c r="H3" s="2" t="s">
        <v>13</v>
      </c>
      <c r="J3" s="2" t="s">
        <v>13</v>
      </c>
      <c r="K3" s="2" t="s">
        <v>14</v>
      </c>
      <c r="L3" s="2" t="s">
        <v>13</v>
      </c>
      <c r="M3" s="2" t="s">
        <v>13</v>
      </c>
      <c r="N3" s="2" t="s">
        <v>13</v>
      </c>
      <c r="O3" s="2" t="s">
        <v>13</v>
      </c>
      <c r="P3" s="2" t="s">
        <v>13</v>
      </c>
      <c r="Q3" s="2" t="s">
        <v>13</v>
      </c>
      <c r="R3" s="2" t="s">
        <v>13</v>
      </c>
      <c r="S3" s="2" t="s">
        <v>13</v>
      </c>
      <c r="U3" s="2" t="s">
        <v>13</v>
      </c>
      <c r="V3" s="2"/>
      <c r="W3" s="2" t="s">
        <v>13</v>
      </c>
      <c r="X3" s="2" t="s">
        <v>13</v>
      </c>
      <c r="Y3" s="2" t="n">
        <f aca="false">COUNTIF(E3:X3,"P")</f>
        <v>16</v>
      </c>
      <c r="Z3" s="2" t="n">
        <f aca="false">COUNTIF(E3:X3,"M")</f>
        <v>0</v>
      </c>
      <c r="AA3" s="2" t="n">
        <f aca="false">COUNTIF(E3:X3,"A")</f>
        <v>1</v>
      </c>
      <c r="AB3" s="2" t="n">
        <f aca="false">SUM(Y3:AA3)</f>
        <v>17</v>
      </c>
      <c r="AC3" s="4" t="n">
        <f aca="false">ROUND((Y3+Z3/2)*10/AB3,0)</f>
        <v>9</v>
      </c>
      <c r="AD3" s="2" t="s">
        <v>13</v>
      </c>
      <c r="AE3" s="2" t="s">
        <v>13</v>
      </c>
      <c r="AF3" s="2" t="s">
        <v>13</v>
      </c>
      <c r="AG3" s="2" t="s">
        <v>13</v>
      </c>
      <c r="AH3" s="2" t="s">
        <v>13</v>
      </c>
      <c r="AI3" s="2" t="s">
        <v>13</v>
      </c>
      <c r="AJ3" s="1" t="s">
        <v>13</v>
      </c>
      <c r="AK3" s="2" t="s">
        <v>13</v>
      </c>
      <c r="AL3" s="2" t="s">
        <v>13</v>
      </c>
      <c r="AN3" s="2" t="s">
        <v>13</v>
      </c>
      <c r="AO3" s="2" t="s">
        <v>13</v>
      </c>
      <c r="AP3" s="2" t="s">
        <v>13</v>
      </c>
      <c r="AR3" s="2" t="s">
        <v>13</v>
      </c>
      <c r="AS3" s="2" t="s">
        <v>13</v>
      </c>
      <c r="AT3" s="2" t="s">
        <v>13</v>
      </c>
      <c r="AU3" s="2" t="s">
        <v>13</v>
      </c>
      <c r="AV3" s="2" t="s">
        <v>13</v>
      </c>
      <c r="AW3" s="2" t="s">
        <v>13</v>
      </c>
      <c r="AX3" s="2" t="s">
        <v>13</v>
      </c>
      <c r="AY3" s="5" t="s">
        <v>13</v>
      </c>
    </row>
    <row r="4" customFormat="false" ht="15" hidden="false" customHeight="false" outlineLevel="0" collapsed="false">
      <c r="A4" s="1" t="n">
        <v>2</v>
      </c>
      <c r="B4" s="2" t="s">
        <v>15</v>
      </c>
      <c r="C4" s="2" t="s">
        <v>16</v>
      </c>
      <c r="D4" s="2" t="s">
        <v>17</v>
      </c>
      <c r="E4" s="1" t="s">
        <v>13</v>
      </c>
      <c r="F4" s="2" t="s">
        <v>13</v>
      </c>
      <c r="G4" s="2" t="s">
        <v>13</v>
      </c>
      <c r="H4" s="2" t="s">
        <v>13</v>
      </c>
      <c r="J4" s="2" t="s">
        <v>13</v>
      </c>
      <c r="K4" s="2" t="s">
        <v>13</v>
      </c>
      <c r="L4" s="2" t="s">
        <v>13</v>
      </c>
      <c r="M4" s="2" t="s">
        <v>13</v>
      </c>
      <c r="N4" s="2" t="s">
        <v>13</v>
      </c>
      <c r="O4" s="2" t="s">
        <v>13</v>
      </c>
      <c r="P4" s="2" t="s">
        <v>13</v>
      </c>
      <c r="Q4" s="2" t="s">
        <v>13</v>
      </c>
      <c r="R4" s="2" t="s">
        <v>13</v>
      </c>
      <c r="S4" s="2" t="s">
        <v>13</v>
      </c>
      <c r="U4" s="2" t="s">
        <v>13</v>
      </c>
      <c r="V4" s="2"/>
      <c r="W4" s="2" t="s">
        <v>13</v>
      </c>
      <c r="X4" s="2" t="s">
        <v>13</v>
      </c>
      <c r="Y4" s="2" t="n">
        <f aca="false">COUNTIF(E4:X4,"P")</f>
        <v>17</v>
      </c>
      <c r="Z4" s="2" t="n">
        <f aca="false">COUNTIF(E4:X4,"M")</f>
        <v>0</v>
      </c>
      <c r="AA4" s="2" t="n">
        <f aca="false">COUNTIF(E4:X4,"A")</f>
        <v>0</v>
      </c>
      <c r="AB4" s="2" t="n">
        <f aca="false">SUM(Y4:AA4)</f>
        <v>17</v>
      </c>
      <c r="AC4" s="4" t="n">
        <f aca="false">ROUND((Y4+Z4/2)*10/AB4,0)</f>
        <v>10</v>
      </c>
      <c r="AD4" s="2" t="s">
        <v>13</v>
      </c>
      <c r="AE4" s="2" t="s">
        <v>13</v>
      </c>
      <c r="AF4" s="2" t="s">
        <v>13</v>
      </c>
      <c r="AG4" s="2" t="s">
        <v>13</v>
      </c>
      <c r="AH4" s="2" t="s">
        <v>18</v>
      </c>
      <c r="AI4" s="2" t="s">
        <v>13</v>
      </c>
      <c r="AJ4" s="1" t="s">
        <v>13</v>
      </c>
      <c r="AK4" s="2" t="s">
        <v>13</v>
      </c>
      <c r="AL4" s="2" t="s">
        <v>13</v>
      </c>
      <c r="AN4" s="2" t="s">
        <v>13</v>
      </c>
      <c r="AO4" s="2" t="s">
        <v>13</v>
      </c>
      <c r="AP4" s="2" t="s">
        <v>13</v>
      </c>
      <c r="AR4" s="2" t="s">
        <v>13</v>
      </c>
      <c r="AS4" s="2" t="s">
        <v>13</v>
      </c>
      <c r="AT4" s="2" t="s">
        <v>13</v>
      </c>
      <c r="AU4" s="2" t="s">
        <v>18</v>
      </c>
      <c r="AV4" s="2" t="s">
        <v>13</v>
      </c>
      <c r="AW4" s="2" t="s">
        <v>13</v>
      </c>
      <c r="AX4" s="2" t="s">
        <v>13</v>
      </c>
      <c r="AY4" s="5" t="s">
        <v>13</v>
      </c>
    </row>
    <row r="5" customFormat="false" ht="15" hidden="false" customHeight="false" outlineLevel="0" collapsed="false">
      <c r="A5" s="1" t="n">
        <v>3</v>
      </c>
      <c r="B5" s="2" t="s">
        <v>19</v>
      </c>
      <c r="C5" s="2" t="s">
        <v>20</v>
      </c>
      <c r="D5" s="2" t="s">
        <v>21</v>
      </c>
      <c r="E5" s="1" t="s">
        <v>13</v>
      </c>
      <c r="F5" s="2" t="s">
        <v>13</v>
      </c>
      <c r="G5" s="2" t="s">
        <v>13</v>
      </c>
      <c r="H5" s="2" t="s">
        <v>13</v>
      </c>
      <c r="J5" s="2" t="s">
        <v>13</v>
      </c>
      <c r="K5" s="2" t="s">
        <v>13</v>
      </c>
      <c r="L5" s="2" t="s">
        <v>13</v>
      </c>
      <c r="M5" s="2" t="s">
        <v>13</v>
      </c>
      <c r="N5" s="2" t="s">
        <v>13</v>
      </c>
      <c r="O5" s="2" t="s">
        <v>13</v>
      </c>
      <c r="P5" s="2" t="s">
        <v>13</v>
      </c>
      <c r="Q5" s="2" t="s">
        <v>13</v>
      </c>
      <c r="R5" s="2" t="s">
        <v>13</v>
      </c>
      <c r="S5" s="2" t="s">
        <v>14</v>
      </c>
      <c r="U5" s="2" t="s">
        <v>13</v>
      </c>
      <c r="V5" s="2"/>
      <c r="W5" s="2" t="s">
        <v>13</v>
      </c>
      <c r="X5" s="2" t="s">
        <v>14</v>
      </c>
      <c r="Y5" s="2" t="n">
        <f aca="false">COUNTIF(E5:X5,"P")</f>
        <v>15</v>
      </c>
      <c r="Z5" s="2" t="n">
        <f aca="false">COUNTIF(E5:X5,"M")</f>
        <v>0</v>
      </c>
      <c r="AA5" s="2" t="n">
        <f aca="false">COUNTIF(E5:X5,"A")</f>
        <v>2</v>
      </c>
      <c r="AB5" s="2" t="n">
        <f aca="false">SUM(Y5:AA5)</f>
        <v>17</v>
      </c>
      <c r="AC5" s="4" t="n">
        <f aca="false">ROUND((Y5+Z5/2)*10/AB5,0)</f>
        <v>9</v>
      </c>
      <c r="AD5" s="2" t="s">
        <v>13</v>
      </c>
      <c r="AE5" s="2" t="s">
        <v>13</v>
      </c>
      <c r="AF5" s="2" t="s">
        <v>13</v>
      </c>
      <c r="AG5" s="2" t="s">
        <v>13</v>
      </c>
      <c r="AH5" s="2" t="s">
        <v>13</v>
      </c>
      <c r="AI5" s="2" t="s">
        <v>13</v>
      </c>
      <c r="AJ5" s="1" t="s">
        <v>13</v>
      </c>
      <c r="AK5" s="2" t="s">
        <v>14</v>
      </c>
      <c r="AL5" s="2" t="s">
        <v>13</v>
      </c>
      <c r="AN5" s="2" t="s">
        <v>13</v>
      </c>
      <c r="AO5" s="2" t="s">
        <v>13</v>
      </c>
      <c r="AP5" s="2" t="s">
        <v>13</v>
      </c>
      <c r="AR5" s="2" t="s">
        <v>13</v>
      </c>
      <c r="AS5" s="2" t="s">
        <v>13</v>
      </c>
      <c r="AT5" s="2" t="s">
        <v>13</v>
      </c>
      <c r="AU5" s="2" t="s">
        <v>13</v>
      </c>
      <c r="AV5" s="2" t="s">
        <v>13</v>
      </c>
      <c r="AW5" s="2" t="s">
        <v>13</v>
      </c>
      <c r="AX5" s="2" t="s">
        <v>13</v>
      </c>
      <c r="AY5" s="5" t="s">
        <v>14</v>
      </c>
    </row>
    <row r="6" customFormat="false" ht="15" hidden="false" customHeight="false" outlineLevel="0" collapsed="false">
      <c r="A6" s="1" t="n">
        <v>4</v>
      </c>
      <c r="B6" s="2" t="s">
        <v>22</v>
      </c>
      <c r="C6" s="2" t="s">
        <v>23</v>
      </c>
      <c r="D6" s="2" t="s">
        <v>24</v>
      </c>
      <c r="E6" s="1" t="s">
        <v>13</v>
      </c>
      <c r="F6" s="2" t="s">
        <v>13</v>
      </c>
      <c r="G6" s="2" t="s">
        <v>13</v>
      </c>
      <c r="H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2" t="s">
        <v>13</v>
      </c>
      <c r="P6" s="2" t="s">
        <v>13</v>
      </c>
      <c r="Q6" s="2" t="s">
        <v>13</v>
      </c>
      <c r="R6" s="2" t="s">
        <v>13</v>
      </c>
      <c r="S6" s="2" t="s">
        <v>13</v>
      </c>
      <c r="U6" s="2" t="s">
        <v>13</v>
      </c>
      <c r="V6" s="2"/>
      <c r="W6" s="2" t="s">
        <v>13</v>
      </c>
      <c r="X6" s="2" t="s">
        <v>13</v>
      </c>
      <c r="Y6" s="2" t="n">
        <f aca="false">COUNTIF(E6:X6,"P")</f>
        <v>17</v>
      </c>
      <c r="Z6" s="2" t="n">
        <f aca="false">COUNTIF(E6:X6,"M")</f>
        <v>0</v>
      </c>
      <c r="AA6" s="2" t="n">
        <f aca="false">COUNTIF(E6:X6,"A")</f>
        <v>0</v>
      </c>
      <c r="AB6" s="2" t="n">
        <f aca="false">SUM(Y6:AA6)</f>
        <v>17</v>
      </c>
      <c r="AC6" s="4" t="n">
        <f aca="false">ROUND((Y6+Z6/2)*10/AB6,0)</f>
        <v>10</v>
      </c>
      <c r="AD6" s="2" t="s">
        <v>13</v>
      </c>
      <c r="AE6" s="2" t="s">
        <v>18</v>
      </c>
      <c r="AF6" s="2" t="s">
        <v>14</v>
      </c>
      <c r="AG6" s="2" t="s">
        <v>13</v>
      </c>
      <c r="AH6" s="2" t="s">
        <v>13</v>
      </c>
      <c r="AI6" s="2" t="s">
        <v>13</v>
      </c>
      <c r="AJ6" s="1" t="s">
        <v>13</v>
      </c>
      <c r="AK6" s="2" t="s">
        <v>13</v>
      </c>
      <c r="AL6" s="2" t="s">
        <v>13</v>
      </c>
      <c r="AN6" s="2" t="s">
        <v>18</v>
      </c>
      <c r="AO6" s="2" t="s">
        <v>13</v>
      </c>
      <c r="AP6" s="2" t="s">
        <v>13</v>
      </c>
      <c r="AR6" s="2" t="s">
        <v>13</v>
      </c>
      <c r="AS6" s="2" t="s">
        <v>13</v>
      </c>
      <c r="AT6" s="2" t="s">
        <v>13</v>
      </c>
      <c r="AU6" s="2" t="s">
        <v>13</v>
      </c>
      <c r="AV6" s="2" t="s">
        <v>13</v>
      </c>
      <c r="AW6" s="2" t="s">
        <v>13</v>
      </c>
      <c r="AX6" s="2" t="s">
        <v>13</v>
      </c>
      <c r="AY6" s="5" t="s">
        <v>13</v>
      </c>
    </row>
    <row r="7" customFormat="false" ht="15" hidden="false" customHeight="false" outlineLevel="0" collapsed="false">
      <c r="A7" s="1" t="n">
        <v>5</v>
      </c>
      <c r="B7" s="2" t="s">
        <v>25</v>
      </c>
      <c r="C7" s="2" t="s">
        <v>26</v>
      </c>
      <c r="D7" s="2" t="s">
        <v>27</v>
      </c>
      <c r="E7" s="1" t="s">
        <v>13</v>
      </c>
      <c r="F7" s="2" t="s">
        <v>13</v>
      </c>
      <c r="G7" s="2" t="s">
        <v>13</v>
      </c>
      <c r="H7" s="2" t="s">
        <v>28</v>
      </c>
      <c r="I7" s="6" t="n">
        <v>0.638888888888889</v>
      </c>
      <c r="J7" s="2" t="s">
        <v>13</v>
      </c>
      <c r="K7" s="2" t="s">
        <v>13</v>
      </c>
      <c r="L7" s="2" t="s">
        <v>13</v>
      </c>
      <c r="M7" s="2" t="s">
        <v>13</v>
      </c>
      <c r="N7" s="2" t="s">
        <v>14</v>
      </c>
      <c r="O7" s="2" t="s">
        <v>13</v>
      </c>
      <c r="P7" s="2" t="s">
        <v>13</v>
      </c>
      <c r="Q7" s="2" t="s">
        <v>13</v>
      </c>
      <c r="R7" s="2" t="s">
        <v>13</v>
      </c>
      <c r="S7" s="2" t="s">
        <v>13</v>
      </c>
      <c r="U7" s="2" t="s">
        <v>13</v>
      </c>
      <c r="V7" s="2"/>
      <c r="W7" s="2" t="s">
        <v>14</v>
      </c>
      <c r="X7" s="2" t="s">
        <v>13</v>
      </c>
      <c r="Y7" s="2" t="n">
        <f aca="false">COUNTIF(E7:X7,"P")</f>
        <v>14</v>
      </c>
      <c r="Z7" s="2" t="n">
        <f aca="false">COUNTIF(E7:X7,"M")</f>
        <v>1</v>
      </c>
      <c r="AA7" s="2" t="n">
        <f aca="false">COUNTIF(E7:X7,"A")</f>
        <v>2</v>
      </c>
      <c r="AB7" s="2" t="n">
        <f aca="false">SUM(Y7:AA7)</f>
        <v>17</v>
      </c>
      <c r="AC7" s="4" t="n">
        <f aca="false">ROUND((Y7+Z7/2)*10/AB7,0)</f>
        <v>9</v>
      </c>
      <c r="AD7" s="2" t="s">
        <v>13</v>
      </c>
      <c r="AE7" s="2" t="s">
        <v>13</v>
      </c>
      <c r="AF7" s="2" t="s">
        <v>14</v>
      </c>
      <c r="AG7" s="2" t="s">
        <v>13</v>
      </c>
      <c r="AH7" s="2" t="s">
        <v>13</v>
      </c>
      <c r="AI7" s="2" t="s">
        <v>14</v>
      </c>
      <c r="AJ7" s="1" t="s">
        <v>14</v>
      </c>
      <c r="AK7" s="2" t="s">
        <v>13</v>
      </c>
      <c r="AL7" s="2" t="s">
        <v>29</v>
      </c>
      <c r="AM7" s="6" t="n">
        <v>0.847222222222222</v>
      </c>
      <c r="AN7" s="2" t="s">
        <v>14</v>
      </c>
      <c r="AO7" s="2" t="s">
        <v>13</v>
      </c>
      <c r="AP7" s="2" t="s">
        <v>14</v>
      </c>
      <c r="AR7" s="2" t="s">
        <v>13</v>
      </c>
      <c r="AS7" s="2" t="s">
        <v>13</v>
      </c>
      <c r="AT7" s="2" t="s">
        <v>13</v>
      </c>
      <c r="AU7" s="2" t="s">
        <v>14</v>
      </c>
      <c r="AV7" s="2" t="s">
        <v>13</v>
      </c>
      <c r="AW7" s="2" t="s">
        <v>13</v>
      </c>
      <c r="AX7" s="2" t="s">
        <v>13</v>
      </c>
      <c r="AY7" s="5" t="s">
        <v>13</v>
      </c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  <c r="XFD7" s="2"/>
    </row>
    <row r="8" s="2" customFormat="true" ht="15" hidden="false" customHeight="false" outlineLevel="0" collapsed="false">
      <c r="A8" s="1" t="n">
        <v>6</v>
      </c>
      <c r="B8" s="2" t="s">
        <v>30</v>
      </c>
      <c r="C8" s="2" t="s">
        <v>31</v>
      </c>
      <c r="D8" s="2" t="s">
        <v>32</v>
      </c>
      <c r="E8" s="1" t="s">
        <v>14</v>
      </c>
      <c r="F8" s="1" t="s">
        <v>13</v>
      </c>
      <c r="G8" s="1" t="s">
        <v>13</v>
      </c>
      <c r="H8" s="1" t="s">
        <v>13</v>
      </c>
      <c r="I8" s="1"/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  <c r="Q8" s="1" t="s">
        <v>14</v>
      </c>
      <c r="R8" s="1" t="s">
        <v>13</v>
      </c>
      <c r="S8" s="1" t="s">
        <v>13</v>
      </c>
      <c r="T8" s="1"/>
      <c r="U8" s="1" t="s">
        <v>13</v>
      </c>
      <c r="V8" s="1"/>
      <c r="W8" s="1" t="s">
        <v>13</v>
      </c>
      <c r="X8" s="1" t="s">
        <v>13</v>
      </c>
      <c r="Y8" s="2" t="n">
        <f aca="false">COUNTIF(E8:X8,"P")</f>
        <v>15</v>
      </c>
      <c r="Z8" s="2" t="n">
        <f aca="false">COUNTIF(E8:X8,"M")</f>
        <v>0</v>
      </c>
      <c r="AA8" s="2" t="n">
        <f aca="false">COUNTIF(E8:X8,"A")</f>
        <v>2</v>
      </c>
      <c r="AB8" s="2" t="n">
        <f aca="false">SUM(Y8:AA8)</f>
        <v>17</v>
      </c>
      <c r="AC8" s="4" t="n">
        <f aca="false">ROUND((Y8+Z8/2)*10/AB8,0)</f>
        <v>9</v>
      </c>
      <c r="AD8" s="1" t="s">
        <v>13</v>
      </c>
      <c r="AE8" s="1" t="s">
        <v>13</v>
      </c>
      <c r="AF8" s="1" t="s">
        <v>14</v>
      </c>
      <c r="AG8" s="1" t="s">
        <v>13</v>
      </c>
      <c r="AH8" s="1" t="s">
        <v>13</v>
      </c>
      <c r="AI8" s="1" t="s">
        <v>14</v>
      </c>
      <c r="AJ8" s="1" t="s">
        <v>14</v>
      </c>
      <c r="AK8" s="1" t="s">
        <v>13</v>
      </c>
      <c r="AL8" s="1" t="s">
        <v>13</v>
      </c>
      <c r="AM8" s="1"/>
      <c r="AN8" s="1" t="s">
        <v>13</v>
      </c>
      <c r="AO8" s="1" t="s">
        <v>13</v>
      </c>
      <c r="AP8" s="1" t="s">
        <v>14</v>
      </c>
      <c r="AQ8" s="1"/>
      <c r="AR8" s="1" t="s">
        <v>13</v>
      </c>
      <c r="AS8" s="1" t="s">
        <v>13</v>
      </c>
      <c r="AT8" s="1" t="s">
        <v>13</v>
      </c>
      <c r="AU8" s="1" t="s">
        <v>13</v>
      </c>
      <c r="AV8" s="1" t="s">
        <v>13</v>
      </c>
      <c r="AW8" s="1" t="s">
        <v>13</v>
      </c>
      <c r="AX8" s="1" t="s">
        <v>14</v>
      </c>
      <c r="AY8" s="1" t="s">
        <v>13</v>
      </c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false" ht="15" hidden="false" customHeight="false" outlineLevel="0" collapsed="false">
      <c r="A9" s="1" t="n">
        <v>7</v>
      </c>
      <c r="B9" s="2" t="s">
        <v>33</v>
      </c>
      <c r="C9" s="2" t="s">
        <v>34</v>
      </c>
      <c r="D9" s="2" t="s">
        <v>35</v>
      </c>
      <c r="E9" s="1" t="s">
        <v>13</v>
      </c>
      <c r="F9" s="2" t="s">
        <v>13</v>
      </c>
      <c r="G9" s="2" t="s">
        <v>13</v>
      </c>
      <c r="H9" s="2" t="s">
        <v>13</v>
      </c>
      <c r="J9" s="2" t="s">
        <v>14</v>
      </c>
      <c r="K9" s="2" t="s">
        <v>13</v>
      </c>
      <c r="L9" s="2" t="s">
        <v>13</v>
      </c>
      <c r="M9" s="2" t="s">
        <v>14</v>
      </c>
      <c r="N9" s="2" t="s">
        <v>13</v>
      </c>
      <c r="O9" s="2" t="s">
        <v>13</v>
      </c>
      <c r="P9" s="2" t="s">
        <v>13</v>
      </c>
      <c r="Q9" s="2" t="s">
        <v>13</v>
      </c>
      <c r="R9" s="2" t="s">
        <v>13</v>
      </c>
      <c r="S9" s="2" t="s">
        <v>13</v>
      </c>
      <c r="U9" s="2" t="s">
        <v>13</v>
      </c>
      <c r="V9" s="2"/>
      <c r="W9" s="2" t="s">
        <v>13</v>
      </c>
      <c r="X9" s="2" t="s">
        <v>13</v>
      </c>
      <c r="Y9" s="2" t="n">
        <f aca="false">COUNTIF(E9:X9,"P")</f>
        <v>15</v>
      </c>
      <c r="Z9" s="2" t="n">
        <f aca="false">COUNTIF(E9:X9,"M")</f>
        <v>0</v>
      </c>
      <c r="AA9" s="2" t="n">
        <f aca="false">COUNTIF(E9:X9,"A")</f>
        <v>2</v>
      </c>
      <c r="AB9" s="2" t="n">
        <f aca="false">SUM(Y9:AA9)</f>
        <v>17</v>
      </c>
      <c r="AC9" s="4" t="n">
        <f aca="false">ROUND((Y9+Z9/2)*10/AB9,0)</f>
        <v>9</v>
      </c>
      <c r="AD9" s="2" t="s">
        <v>13</v>
      </c>
      <c r="AE9" s="2" t="s">
        <v>13</v>
      </c>
      <c r="AF9" s="2" t="s">
        <v>13</v>
      </c>
      <c r="AG9" s="2" t="s">
        <v>13</v>
      </c>
      <c r="AH9" s="2" t="s">
        <v>13</v>
      </c>
      <c r="AI9" s="2" t="s">
        <v>13</v>
      </c>
      <c r="AJ9" s="1" t="s">
        <v>13</v>
      </c>
      <c r="AK9" s="2" t="s">
        <v>13</v>
      </c>
      <c r="AL9" s="2" t="s">
        <v>13</v>
      </c>
      <c r="AN9" s="2" t="s">
        <v>13</v>
      </c>
      <c r="AO9" s="2" t="s">
        <v>13</v>
      </c>
      <c r="AP9" s="2" t="s">
        <v>13</v>
      </c>
      <c r="AR9" s="2" t="s">
        <v>13</v>
      </c>
      <c r="AS9" s="2" t="s">
        <v>13</v>
      </c>
      <c r="AT9" s="2" t="s">
        <v>13</v>
      </c>
      <c r="AU9" s="2" t="s">
        <v>13</v>
      </c>
      <c r="AV9" s="2" t="s">
        <v>13</v>
      </c>
      <c r="AW9" s="2" t="s">
        <v>13</v>
      </c>
      <c r="AX9" s="2" t="s">
        <v>13</v>
      </c>
      <c r="AY9" s="5" t="s">
        <v>13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2" t="s">
        <v>37</v>
      </c>
      <c r="D10" s="2" t="s">
        <v>38</v>
      </c>
      <c r="E10" s="1" t="s">
        <v>13</v>
      </c>
      <c r="F10" s="2" t="s">
        <v>13</v>
      </c>
      <c r="G10" s="2" t="s">
        <v>13</v>
      </c>
      <c r="H10" s="2" t="s">
        <v>13</v>
      </c>
      <c r="J10" s="2" t="s">
        <v>13</v>
      </c>
      <c r="K10" s="2" t="s">
        <v>13</v>
      </c>
      <c r="L10" s="2" t="s">
        <v>13</v>
      </c>
      <c r="M10" s="2" t="s">
        <v>13</v>
      </c>
      <c r="N10" s="2" t="s">
        <v>13</v>
      </c>
      <c r="O10" s="2" t="s">
        <v>13</v>
      </c>
      <c r="P10" s="2" t="s">
        <v>13</v>
      </c>
      <c r="Q10" s="2" t="s">
        <v>13</v>
      </c>
      <c r="R10" s="2" t="s">
        <v>13</v>
      </c>
      <c r="S10" s="2" t="s">
        <v>13</v>
      </c>
      <c r="U10" s="2" t="s">
        <v>13</v>
      </c>
      <c r="V10" s="2"/>
      <c r="W10" s="2" t="s">
        <v>13</v>
      </c>
      <c r="X10" s="2" t="s">
        <v>13</v>
      </c>
      <c r="Y10" s="2" t="n">
        <f aca="false">COUNTIF(E10:X10,"P")</f>
        <v>17</v>
      </c>
      <c r="Z10" s="2" t="n">
        <f aca="false">COUNTIF(E10:X10,"M")</f>
        <v>0</v>
      </c>
      <c r="AA10" s="2" t="n">
        <f aca="false">COUNTIF(E10:X10,"A")</f>
        <v>0</v>
      </c>
      <c r="AB10" s="2" t="n">
        <f aca="false">SUM(Y10:AA10)</f>
        <v>17</v>
      </c>
      <c r="AC10" s="4" t="n">
        <f aca="false">ROUND((Y10+Z10/2)*10/AB10,0)</f>
        <v>10</v>
      </c>
      <c r="AD10" s="2" t="s">
        <v>13</v>
      </c>
      <c r="AE10" s="2" t="s">
        <v>39</v>
      </c>
      <c r="AF10" s="2" t="s">
        <v>13</v>
      </c>
      <c r="AG10" s="2" t="s">
        <v>13</v>
      </c>
      <c r="AH10" s="2" t="s">
        <v>13</v>
      </c>
      <c r="AI10" s="2" t="s">
        <v>13</v>
      </c>
      <c r="AJ10" s="1" t="s">
        <v>13</v>
      </c>
      <c r="AK10" s="2" t="s">
        <v>13</v>
      </c>
      <c r="AL10" s="2" t="s">
        <v>13</v>
      </c>
      <c r="AN10" s="2" t="s">
        <v>13</v>
      </c>
      <c r="AO10" s="2" t="s">
        <v>13</v>
      </c>
      <c r="AP10" s="2" t="s">
        <v>13</v>
      </c>
      <c r="AR10" s="2" t="s">
        <v>13</v>
      </c>
      <c r="AS10" s="2" t="s">
        <v>13</v>
      </c>
      <c r="AT10" s="2" t="s">
        <v>13</v>
      </c>
      <c r="AU10" s="2" t="s">
        <v>13</v>
      </c>
      <c r="AV10" s="2" t="s">
        <v>13</v>
      </c>
      <c r="AW10" s="2" t="s">
        <v>13</v>
      </c>
      <c r="AX10" s="2" t="s">
        <v>13</v>
      </c>
      <c r="AY10" s="5" t="s">
        <v>39</v>
      </c>
    </row>
    <row r="11" customFormat="false" ht="15" hidden="false" customHeight="false" outlineLevel="0" collapsed="false">
      <c r="A11" s="1" t="n">
        <v>9</v>
      </c>
      <c r="B11" s="2" t="s">
        <v>40</v>
      </c>
      <c r="C11" s="2" t="s">
        <v>41</v>
      </c>
      <c r="D11" s="2" t="s">
        <v>42</v>
      </c>
      <c r="E11" s="1" t="s">
        <v>13</v>
      </c>
      <c r="F11" s="2" t="s">
        <v>13</v>
      </c>
      <c r="G11" s="2" t="s">
        <v>13</v>
      </c>
      <c r="H11" s="2" t="s">
        <v>13</v>
      </c>
      <c r="J11" s="2" t="s">
        <v>14</v>
      </c>
      <c r="K11" s="2" t="s">
        <v>13</v>
      </c>
      <c r="L11" s="2" t="s">
        <v>13</v>
      </c>
      <c r="M11" s="2" t="s">
        <v>13</v>
      </c>
      <c r="N11" s="2" t="s">
        <v>13</v>
      </c>
      <c r="O11" s="2" t="s">
        <v>13</v>
      </c>
      <c r="P11" s="2" t="s">
        <v>13</v>
      </c>
      <c r="Q11" s="2" t="s">
        <v>13</v>
      </c>
      <c r="R11" s="2" t="s">
        <v>13</v>
      </c>
      <c r="S11" s="2" t="s">
        <v>13</v>
      </c>
      <c r="U11" s="2" t="s">
        <v>13</v>
      </c>
      <c r="V11" s="2"/>
      <c r="W11" s="2" t="s">
        <v>13</v>
      </c>
      <c r="X11" s="2" t="s">
        <v>14</v>
      </c>
      <c r="Y11" s="2" t="n">
        <f aca="false">COUNTIF(E11:X11,"P")</f>
        <v>15</v>
      </c>
      <c r="Z11" s="2" t="n">
        <f aca="false">COUNTIF(E11:X11,"M")</f>
        <v>0</v>
      </c>
      <c r="AA11" s="2" t="n">
        <f aca="false">COUNTIF(E11:X11,"A")</f>
        <v>2</v>
      </c>
      <c r="AB11" s="2" t="n">
        <f aca="false">SUM(Y11:AA11)</f>
        <v>17</v>
      </c>
      <c r="AC11" s="4" t="n">
        <f aca="false">ROUND((Y11+Z11/2)*10/AB11,0)</f>
        <v>9</v>
      </c>
      <c r="AD11" s="2" t="s">
        <v>13</v>
      </c>
      <c r="AE11" s="2" t="s">
        <v>13</v>
      </c>
      <c r="AF11" s="2" t="s">
        <v>13</v>
      </c>
      <c r="AG11" s="2" t="s">
        <v>13</v>
      </c>
      <c r="AH11" s="2" t="s">
        <v>13</v>
      </c>
      <c r="AI11" s="2" t="s">
        <v>13</v>
      </c>
      <c r="AJ11" s="1" t="s">
        <v>18</v>
      </c>
      <c r="AK11" s="2" t="s">
        <v>14</v>
      </c>
      <c r="AL11" s="2" t="s">
        <v>13</v>
      </c>
      <c r="AN11" s="2" t="s">
        <v>13</v>
      </c>
      <c r="AO11" s="2" t="s">
        <v>13</v>
      </c>
      <c r="AP11" s="2" t="s">
        <v>13</v>
      </c>
      <c r="AR11" s="2" t="s">
        <v>13</v>
      </c>
      <c r="AS11" s="2" t="s">
        <v>13</v>
      </c>
      <c r="AT11" s="2" t="s">
        <v>13</v>
      </c>
      <c r="AU11" s="2" t="s">
        <v>13</v>
      </c>
      <c r="AV11" s="2" t="s">
        <v>13</v>
      </c>
      <c r="AW11" s="2" t="s">
        <v>13</v>
      </c>
      <c r="AX11" s="2" t="s">
        <v>13</v>
      </c>
      <c r="AY11" s="5" t="s">
        <v>13</v>
      </c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"/>
    </row>
    <row r="12" s="2" customFormat="true" ht="15" hidden="false" customHeight="false" outlineLevel="0" collapsed="false">
      <c r="A12" s="1" t="n">
        <v>10</v>
      </c>
      <c r="B12" s="2" t="s">
        <v>43</v>
      </c>
      <c r="C12" s="2" t="s">
        <v>44</v>
      </c>
      <c r="D12" s="2" t="s">
        <v>45</v>
      </c>
      <c r="E12" s="1" t="s">
        <v>13</v>
      </c>
      <c r="F12" s="1" t="s">
        <v>13</v>
      </c>
      <c r="G12" s="1" t="s">
        <v>13</v>
      </c>
      <c r="H12" s="1" t="s">
        <v>13</v>
      </c>
      <c r="I12" s="1"/>
      <c r="J12" s="1" t="s">
        <v>13</v>
      </c>
      <c r="K12" s="1" t="s">
        <v>13</v>
      </c>
      <c r="L12" s="1" t="s">
        <v>13</v>
      </c>
      <c r="M12" s="1" t="s">
        <v>13</v>
      </c>
      <c r="N12" s="1" t="s">
        <v>13</v>
      </c>
      <c r="O12" s="1" t="s">
        <v>13</v>
      </c>
      <c r="P12" s="1" t="s">
        <v>13</v>
      </c>
      <c r="Q12" s="1" t="s">
        <v>13</v>
      </c>
      <c r="R12" s="1" t="s">
        <v>13</v>
      </c>
      <c r="S12" s="1" t="s">
        <v>13</v>
      </c>
      <c r="T12" s="1"/>
      <c r="U12" s="1" t="s">
        <v>13</v>
      </c>
      <c r="V12" s="1"/>
      <c r="W12" s="1" t="s">
        <v>13</v>
      </c>
      <c r="X12" s="1" t="s">
        <v>13</v>
      </c>
      <c r="Y12" s="2" t="n">
        <f aca="false">COUNTIF(E12:X12,"P")</f>
        <v>17</v>
      </c>
      <c r="Z12" s="2" t="n">
        <f aca="false">COUNTIF(E12:X12,"M")</f>
        <v>0</v>
      </c>
      <c r="AA12" s="2" t="n">
        <f aca="false">COUNTIF(E12:X12,"A")</f>
        <v>0</v>
      </c>
      <c r="AB12" s="2" t="n">
        <f aca="false">SUM(Y12:AA12)</f>
        <v>17</v>
      </c>
      <c r="AC12" s="4" t="n">
        <f aca="false">ROUND((Y12+Z12/2)*10/AB12,0)</f>
        <v>10</v>
      </c>
      <c r="AD12" s="1" t="s">
        <v>13</v>
      </c>
      <c r="AE12" s="1" t="s">
        <v>13</v>
      </c>
      <c r="AF12" s="1" t="s">
        <v>13</v>
      </c>
      <c r="AG12" s="1" t="s">
        <v>13</v>
      </c>
      <c r="AH12" s="1" t="s">
        <v>13</v>
      </c>
      <c r="AI12" s="1" t="s">
        <v>13</v>
      </c>
      <c r="AJ12" s="1" t="s">
        <v>13</v>
      </c>
      <c r="AK12" s="1" t="s">
        <v>13</v>
      </c>
      <c r="AL12" s="1" t="s">
        <v>13</v>
      </c>
      <c r="AM12" s="1"/>
      <c r="AN12" s="1" t="s">
        <v>13</v>
      </c>
      <c r="AO12" s="1" t="s">
        <v>13</v>
      </c>
      <c r="AP12" s="1" t="s">
        <v>13</v>
      </c>
      <c r="AQ12" s="1"/>
      <c r="AR12" s="1" t="s">
        <v>13</v>
      </c>
      <c r="AS12" s="1" t="s">
        <v>13</v>
      </c>
      <c r="AT12" s="1" t="s">
        <v>13</v>
      </c>
      <c r="AU12" s="1" t="s">
        <v>13</v>
      </c>
      <c r="AV12" s="1" t="s">
        <v>13</v>
      </c>
      <c r="AW12" s="1" t="s">
        <v>13</v>
      </c>
      <c r="AX12" s="1" t="s">
        <v>13</v>
      </c>
      <c r="AY12" s="1" t="s">
        <v>14</v>
      </c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46</v>
      </c>
      <c r="C13" s="2" t="s">
        <v>47</v>
      </c>
      <c r="D13" s="2" t="s">
        <v>48</v>
      </c>
      <c r="E13" s="1" t="s">
        <v>13</v>
      </c>
      <c r="F13" s="1" t="s">
        <v>13</v>
      </c>
      <c r="G13" s="1" t="s">
        <v>14</v>
      </c>
      <c r="H13" s="1" t="s">
        <v>13</v>
      </c>
      <c r="J13" s="1" t="s">
        <v>13</v>
      </c>
      <c r="K13" s="1" t="s">
        <v>13</v>
      </c>
      <c r="L13" s="1" t="s">
        <v>13</v>
      </c>
      <c r="M13" s="1" t="s">
        <v>13</v>
      </c>
      <c r="N13" s="1" t="s">
        <v>13</v>
      </c>
      <c r="O13" s="1" t="s">
        <v>13</v>
      </c>
      <c r="P13" s="1" t="s">
        <v>13</v>
      </c>
      <c r="Q13" s="1" t="s">
        <v>14</v>
      </c>
      <c r="R13" s="1" t="s">
        <v>13</v>
      </c>
      <c r="S13" s="1" t="s">
        <v>13</v>
      </c>
      <c r="U13" s="1" t="s">
        <v>13</v>
      </c>
      <c r="W13" s="1" t="s">
        <v>13</v>
      </c>
      <c r="X13" s="1" t="s">
        <v>13</v>
      </c>
      <c r="Y13" s="2" t="n">
        <f aca="false">COUNTIF(E13:X13,"P")</f>
        <v>15</v>
      </c>
      <c r="Z13" s="2" t="n">
        <f aca="false">COUNTIF(E13:X13,"M")</f>
        <v>0</v>
      </c>
      <c r="AA13" s="2" t="n">
        <f aca="false">COUNTIF(E13:X13,"A")</f>
        <v>2</v>
      </c>
      <c r="AB13" s="2" t="n">
        <f aca="false">SUM(Y13:AA13)</f>
        <v>17</v>
      </c>
      <c r="AC13" s="4" t="n">
        <f aca="false">ROUND((Y13+Z13/2)*10/AB13,0)</f>
        <v>9</v>
      </c>
      <c r="AD13" s="1" t="s">
        <v>13</v>
      </c>
      <c r="AE13" s="1" t="s">
        <v>13</v>
      </c>
      <c r="AF13" s="1" t="s">
        <v>13</v>
      </c>
      <c r="AG13" s="1" t="s">
        <v>13</v>
      </c>
      <c r="AH13" s="1" t="s">
        <v>13</v>
      </c>
      <c r="AI13" s="1" t="s">
        <v>13</v>
      </c>
      <c r="AJ13" s="1" t="s">
        <v>13</v>
      </c>
      <c r="AK13" s="1" t="s">
        <v>13</v>
      </c>
      <c r="AL13" s="1" t="s">
        <v>13</v>
      </c>
      <c r="AN13" s="1" t="s">
        <v>13</v>
      </c>
      <c r="AO13" s="1" t="s">
        <v>13</v>
      </c>
      <c r="AP13" s="1" t="s">
        <v>13</v>
      </c>
      <c r="AQ13" s="1" t="s">
        <v>49</v>
      </c>
      <c r="AR13" s="1" t="s">
        <v>13</v>
      </c>
      <c r="AS13" s="1" t="s">
        <v>13</v>
      </c>
      <c r="AT13" s="1" t="s">
        <v>13</v>
      </c>
      <c r="AU13" s="1" t="s">
        <v>13</v>
      </c>
      <c r="AV13" s="1" t="s">
        <v>13</v>
      </c>
      <c r="AW13" s="1" t="s">
        <v>13</v>
      </c>
      <c r="AX13" s="1" t="s">
        <v>13</v>
      </c>
      <c r="AY13" s="1" t="s">
        <v>13</v>
      </c>
    </row>
    <row r="14" s="1" customFormat="true" ht="15" hidden="false" customHeight="false" outlineLevel="0" collapsed="false">
      <c r="A14" s="1" t="n">
        <v>12</v>
      </c>
      <c r="B14" s="2" t="s">
        <v>50</v>
      </c>
      <c r="C14" s="2" t="s">
        <v>51</v>
      </c>
      <c r="D14" s="2" t="s">
        <v>52</v>
      </c>
      <c r="E14" s="1" t="s">
        <v>13</v>
      </c>
      <c r="F14" s="1" t="s">
        <v>13</v>
      </c>
      <c r="G14" s="1" t="s">
        <v>13</v>
      </c>
      <c r="H14" s="1" t="s">
        <v>13</v>
      </c>
      <c r="J14" s="1" t="s">
        <v>13</v>
      </c>
      <c r="K14" s="1" t="s">
        <v>13</v>
      </c>
      <c r="L14" s="1" t="s">
        <v>13</v>
      </c>
      <c r="M14" s="1" t="s">
        <v>13</v>
      </c>
      <c r="N14" s="1" t="s">
        <v>13</v>
      </c>
      <c r="O14" s="1" t="s">
        <v>13</v>
      </c>
      <c r="P14" s="1" t="s">
        <v>13</v>
      </c>
      <c r="Q14" s="1" t="s">
        <v>13</v>
      </c>
      <c r="R14" s="1" t="s">
        <v>13</v>
      </c>
      <c r="S14" s="1" t="s">
        <v>13</v>
      </c>
      <c r="U14" s="1" t="s">
        <v>13</v>
      </c>
      <c r="W14" s="1" t="s">
        <v>13</v>
      </c>
      <c r="X14" s="1" t="s">
        <v>13</v>
      </c>
      <c r="Y14" s="2" t="n">
        <f aca="false">COUNTIF(E14:X14,"P")</f>
        <v>17</v>
      </c>
      <c r="Z14" s="2" t="n">
        <f aca="false">COUNTIF(E14:X14,"M")</f>
        <v>0</v>
      </c>
      <c r="AA14" s="2" t="n">
        <f aca="false">COUNTIF(E14:X14,"A")</f>
        <v>0</v>
      </c>
      <c r="AB14" s="2" t="n">
        <f aca="false">SUM(Y14:AA14)</f>
        <v>17</v>
      </c>
      <c r="AC14" s="4" t="n">
        <f aca="false">ROUND((Y14+Z14/2)*10/AB14,0)</f>
        <v>10</v>
      </c>
      <c r="AD14" s="1" t="s">
        <v>13</v>
      </c>
      <c r="AE14" s="1" t="s">
        <v>13</v>
      </c>
      <c r="AF14" s="1" t="s">
        <v>14</v>
      </c>
      <c r="AG14" s="1" t="s">
        <v>13</v>
      </c>
      <c r="AH14" s="1" t="s">
        <v>13</v>
      </c>
      <c r="AI14" s="1" t="s">
        <v>13</v>
      </c>
      <c r="AJ14" s="1" t="s">
        <v>13</v>
      </c>
      <c r="AK14" s="1" t="s">
        <v>13</v>
      </c>
      <c r="AL14" s="1" t="s">
        <v>13</v>
      </c>
      <c r="AN14" s="1" t="s">
        <v>13</v>
      </c>
      <c r="AO14" s="1" t="s">
        <v>13</v>
      </c>
      <c r="AP14" s="1" t="s">
        <v>13</v>
      </c>
      <c r="AR14" s="1" t="s">
        <v>13</v>
      </c>
      <c r="AS14" s="1" t="s">
        <v>18</v>
      </c>
      <c r="AT14" s="1" t="s">
        <v>13</v>
      </c>
      <c r="AU14" s="1" t="s">
        <v>18</v>
      </c>
      <c r="AV14" s="1" t="s">
        <v>13</v>
      </c>
      <c r="AW14" s="1" t="s">
        <v>13</v>
      </c>
      <c r="AX14" s="1" t="s">
        <v>13</v>
      </c>
      <c r="AY14" s="1" t="s">
        <v>13</v>
      </c>
    </row>
    <row r="15" s="2" customFormat="true" ht="15" hidden="false" customHeight="false" outlineLevel="0" collapsed="false">
      <c r="A15" s="1" t="n">
        <v>13</v>
      </c>
      <c r="B15" s="2" t="s">
        <v>53</v>
      </c>
      <c r="C15" s="2" t="s">
        <v>54</v>
      </c>
      <c r="D15" s="2" t="s">
        <v>55</v>
      </c>
      <c r="E15" s="1" t="s">
        <v>13</v>
      </c>
      <c r="F15" s="1" t="s">
        <v>13</v>
      </c>
      <c r="G15" s="1" t="s">
        <v>13</v>
      </c>
      <c r="H15" s="1" t="s">
        <v>13</v>
      </c>
      <c r="I15" s="1"/>
      <c r="J15" s="1" t="s">
        <v>13</v>
      </c>
      <c r="K15" s="1" t="s">
        <v>13</v>
      </c>
      <c r="L15" s="1" t="s">
        <v>13</v>
      </c>
      <c r="M15" s="1" t="s">
        <v>13</v>
      </c>
      <c r="N15" s="1" t="s">
        <v>13</v>
      </c>
      <c r="O15" s="1" t="s">
        <v>13</v>
      </c>
      <c r="P15" s="1" t="s">
        <v>13</v>
      </c>
      <c r="Q15" s="1" t="s">
        <v>13</v>
      </c>
      <c r="R15" s="1" t="s">
        <v>13</v>
      </c>
      <c r="S15" s="1" t="s">
        <v>13</v>
      </c>
      <c r="T15" s="1"/>
      <c r="U15" s="1" t="s">
        <v>13</v>
      </c>
      <c r="V15" s="1"/>
      <c r="W15" s="1" t="s">
        <v>13</v>
      </c>
      <c r="X15" s="1" t="s">
        <v>13</v>
      </c>
      <c r="Y15" s="2" t="n">
        <f aca="false">COUNTIF(E15:X15,"P")</f>
        <v>17</v>
      </c>
      <c r="Z15" s="2" t="n">
        <f aca="false">COUNTIF(E15:X15,"M")</f>
        <v>0</v>
      </c>
      <c r="AA15" s="2" t="n">
        <f aca="false">COUNTIF(E15:X15,"A")</f>
        <v>0</v>
      </c>
      <c r="AB15" s="2" t="n">
        <f aca="false">SUM(Y15:AA15)</f>
        <v>17</v>
      </c>
      <c r="AC15" s="4" t="n">
        <f aca="false">ROUND((Y15+Z15/2)*10/AB15,0)</f>
        <v>10</v>
      </c>
      <c r="AD15" s="1" t="s">
        <v>13</v>
      </c>
      <c r="AE15" s="1" t="s">
        <v>13</v>
      </c>
      <c r="AF15" s="1" t="s">
        <v>14</v>
      </c>
      <c r="AG15" s="1" t="s">
        <v>13</v>
      </c>
      <c r="AH15" s="1" t="s">
        <v>13</v>
      </c>
      <c r="AI15" s="1" t="s">
        <v>14</v>
      </c>
      <c r="AJ15" s="1" t="s">
        <v>13</v>
      </c>
      <c r="AK15" s="1" t="s">
        <v>13</v>
      </c>
      <c r="AL15" s="1" t="s">
        <v>14</v>
      </c>
      <c r="AM15" s="1"/>
      <c r="AN15" s="1" t="s">
        <v>13</v>
      </c>
      <c r="AO15" s="1" t="s">
        <v>13</v>
      </c>
      <c r="AP15" s="1" t="s">
        <v>13</v>
      </c>
      <c r="AQ15" s="1"/>
      <c r="AR15" s="1" t="s">
        <v>13</v>
      </c>
      <c r="AS15" s="1" t="s">
        <v>13</v>
      </c>
      <c r="AT15" s="1" t="s">
        <v>13</v>
      </c>
      <c r="AU15" s="1" t="s">
        <v>14</v>
      </c>
      <c r="AV15" s="1" t="s">
        <v>18</v>
      </c>
      <c r="AW15" s="1" t="s">
        <v>13</v>
      </c>
      <c r="AX15" s="1" t="s">
        <v>13</v>
      </c>
      <c r="AY15" s="1" t="s">
        <v>13</v>
      </c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56</v>
      </c>
      <c r="C16" s="2" t="s">
        <v>57</v>
      </c>
      <c r="D16" s="2" t="s">
        <v>58</v>
      </c>
      <c r="E16" s="1" t="s">
        <v>13</v>
      </c>
      <c r="F16" s="1" t="s">
        <v>13</v>
      </c>
      <c r="G16" s="1" t="s">
        <v>13</v>
      </c>
      <c r="H16" s="1" t="s">
        <v>13</v>
      </c>
      <c r="J16" s="1" t="s">
        <v>13</v>
      </c>
      <c r="K16" s="1" t="s">
        <v>13</v>
      </c>
      <c r="L16" s="1" t="s">
        <v>13</v>
      </c>
      <c r="M16" s="1" t="s">
        <v>13</v>
      </c>
      <c r="N16" s="1" t="s">
        <v>13</v>
      </c>
      <c r="O16" s="1" t="s">
        <v>13</v>
      </c>
      <c r="P16" s="1" t="s">
        <v>13</v>
      </c>
      <c r="Q16" s="1" t="s">
        <v>13</v>
      </c>
      <c r="R16" s="1" t="s">
        <v>13</v>
      </c>
      <c r="S16" s="1" t="s">
        <v>13</v>
      </c>
      <c r="U16" s="1" t="s">
        <v>13</v>
      </c>
      <c r="V16" s="1" t="s">
        <v>59</v>
      </c>
      <c r="W16" s="1" t="s">
        <v>13</v>
      </c>
      <c r="X16" s="1" t="s">
        <v>13</v>
      </c>
      <c r="Y16" s="2" t="n">
        <f aca="false">COUNTIF(E16:X16,"P")</f>
        <v>17</v>
      </c>
      <c r="Z16" s="2" t="n">
        <f aca="false">COUNTIF(E16:X16,"M")</f>
        <v>0</v>
      </c>
      <c r="AA16" s="2" t="n">
        <f aca="false">COUNTIF(E16:X16,"A")</f>
        <v>0</v>
      </c>
      <c r="AB16" s="2" t="n">
        <f aca="false">SUM(Y16:AA16)</f>
        <v>17</v>
      </c>
      <c r="AC16" s="4" t="n">
        <f aca="false">ROUND((Y16+Z16/2)*10/AB16,0)</f>
        <v>10</v>
      </c>
      <c r="AD16" s="1" t="s">
        <v>13</v>
      </c>
      <c r="AE16" s="1" t="s">
        <v>13</v>
      </c>
      <c r="AF16" s="1" t="s">
        <v>13</v>
      </c>
      <c r="AG16" s="1" t="s">
        <v>13</v>
      </c>
      <c r="AH16" s="1" t="s">
        <v>13</v>
      </c>
      <c r="AI16" s="1" t="s">
        <v>13</v>
      </c>
      <c r="AJ16" s="1" t="s">
        <v>13</v>
      </c>
      <c r="AK16" s="1" t="s">
        <v>14</v>
      </c>
      <c r="AL16" s="1" t="s">
        <v>13</v>
      </c>
      <c r="AN16" s="1" t="s">
        <v>13</v>
      </c>
      <c r="AO16" s="1" t="s">
        <v>13</v>
      </c>
      <c r="AP16" s="1" t="s">
        <v>13</v>
      </c>
      <c r="AR16" s="1" t="s">
        <v>13</v>
      </c>
      <c r="AS16" s="1" t="s">
        <v>13</v>
      </c>
      <c r="AT16" s="1" t="s">
        <v>13</v>
      </c>
      <c r="AU16" s="1" t="s">
        <v>13</v>
      </c>
      <c r="AV16" s="1" t="s">
        <v>13</v>
      </c>
      <c r="AW16" s="1" t="s">
        <v>13</v>
      </c>
      <c r="AX16" s="1" t="s">
        <v>13</v>
      </c>
      <c r="AY16" s="1" t="s">
        <v>13</v>
      </c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2" t="s">
        <v>60</v>
      </c>
      <c r="C17" s="2" t="s">
        <v>61</v>
      </c>
      <c r="D17" s="2" t="s">
        <v>62</v>
      </c>
      <c r="E17" s="1" t="s">
        <v>13</v>
      </c>
      <c r="F17" s="1" t="s">
        <v>13</v>
      </c>
      <c r="G17" s="1" t="s">
        <v>13</v>
      </c>
      <c r="H17" s="1" t="s">
        <v>13</v>
      </c>
      <c r="J17" s="1" t="s">
        <v>13</v>
      </c>
      <c r="K17" s="1" t="s">
        <v>13</v>
      </c>
      <c r="L17" s="1" t="s">
        <v>13</v>
      </c>
      <c r="M17" s="1" t="s">
        <v>13</v>
      </c>
      <c r="N17" s="1" t="s">
        <v>13</v>
      </c>
      <c r="O17" s="1" t="s">
        <v>13</v>
      </c>
      <c r="P17" s="1" t="s">
        <v>13</v>
      </c>
      <c r="Q17" s="1" t="s">
        <v>13</v>
      </c>
      <c r="R17" s="1" t="s">
        <v>13</v>
      </c>
      <c r="S17" s="1" t="s">
        <v>13</v>
      </c>
      <c r="U17" s="1" t="s">
        <v>13</v>
      </c>
      <c r="W17" s="1" t="s">
        <v>14</v>
      </c>
      <c r="X17" s="1" t="s">
        <v>13</v>
      </c>
      <c r="Y17" s="2" t="n">
        <f aca="false">COUNTIF(E17:X17,"P")</f>
        <v>16</v>
      </c>
      <c r="Z17" s="2" t="n">
        <f aca="false">COUNTIF(E17:X17,"M")</f>
        <v>0</v>
      </c>
      <c r="AA17" s="2" t="n">
        <f aca="false">COUNTIF(E17:X17,"A")</f>
        <v>1</v>
      </c>
      <c r="AB17" s="2" t="n">
        <f aca="false">SUM(Y17:AA17)</f>
        <v>17</v>
      </c>
      <c r="AC17" s="4" t="n">
        <f aca="false">ROUND((Y17+Z17/2)*10/AB17,0)</f>
        <v>9</v>
      </c>
      <c r="AD17" s="1" t="s">
        <v>13</v>
      </c>
      <c r="AE17" s="1" t="s">
        <v>13</v>
      </c>
      <c r="AF17" s="1" t="s">
        <v>13</v>
      </c>
      <c r="AG17" s="1" t="s">
        <v>13</v>
      </c>
      <c r="AH17" s="1" t="s">
        <v>13</v>
      </c>
      <c r="AI17" s="1" t="s">
        <v>13</v>
      </c>
      <c r="AJ17" s="1" t="s">
        <v>13</v>
      </c>
      <c r="AK17" s="1" t="s">
        <v>13</v>
      </c>
      <c r="AL17" s="1" t="s">
        <v>13</v>
      </c>
      <c r="AN17" s="1" t="s">
        <v>13</v>
      </c>
      <c r="AO17" s="1" t="s">
        <v>13</v>
      </c>
      <c r="AP17" s="1" t="s">
        <v>13</v>
      </c>
      <c r="AR17" s="1" t="s">
        <v>13</v>
      </c>
      <c r="AS17" s="1" t="s">
        <v>13</v>
      </c>
      <c r="AT17" s="1" t="s">
        <v>13</v>
      </c>
      <c r="AU17" s="1" t="s">
        <v>13</v>
      </c>
      <c r="AV17" s="1" t="s">
        <v>13</v>
      </c>
      <c r="AW17" s="1" t="s">
        <v>13</v>
      </c>
      <c r="AX17" s="1" t="s">
        <v>13</v>
      </c>
      <c r="AY17" s="1" t="s">
        <v>14</v>
      </c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2" t="s">
        <v>63</v>
      </c>
      <c r="C18" s="2" t="s">
        <v>64</v>
      </c>
      <c r="D18" s="2" t="s">
        <v>65</v>
      </c>
      <c r="E18" s="1" t="s">
        <v>13</v>
      </c>
      <c r="F18" s="1" t="s">
        <v>14</v>
      </c>
      <c r="G18" s="1" t="s">
        <v>13</v>
      </c>
      <c r="H18" s="1" t="s">
        <v>14</v>
      </c>
      <c r="I18" s="1"/>
      <c r="J18" s="1" t="s">
        <v>14</v>
      </c>
      <c r="K18" s="1" t="s">
        <v>14</v>
      </c>
      <c r="L18" s="1" t="s">
        <v>14</v>
      </c>
      <c r="M18" s="1" t="s">
        <v>13</v>
      </c>
      <c r="N18" s="1" t="s">
        <v>14</v>
      </c>
      <c r="O18" s="1" t="s">
        <v>13</v>
      </c>
      <c r="P18" s="1" t="s">
        <v>14</v>
      </c>
      <c r="Q18" s="1" t="s">
        <v>14</v>
      </c>
      <c r="R18" s="1" t="s">
        <v>14</v>
      </c>
      <c r="S18" s="1" t="s">
        <v>14</v>
      </c>
      <c r="T18" s="1"/>
      <c r="U18" s="1" t="s">
        <v>14</v>
      </c>
      <c r="V18" s="1"/>
      <c r="W18" s="1" t="s">
        <v>13</v>
      </c>
      <c r="X18" s="1" t="s">
        <v>14</v>
      </c>
      <c r="Y18" s="2" t="n">
        <f aca="false">COUNTIF(E18:X18,"P")</f>
        <v>5</v>
      </c>
      <c r="Z18" s="2" t="n">
        <f aca="false">COUNTIF(E18:X18,"M")</f>
        <v>0</v>
      </c>
      <c r="AA18" s="2" t="n">
        <f aca="false">COUNTIF(E18:X18,"A")</f>
        <v>12</v>
      </c>
      <c r="AB18" s="2" t="n">
        <f aca="false">SUM(Y18:AA18)</f>
        <v>17</v>
      </c>
      <c r="AC18" s="4" t="n">
        <f aca="false">ROUND((Y18+Z18/2)*10/AB18,0)</f>
        <v>3</v>
      </c>
      <c r="AD18" s="1" t="s">
        <v>14</v>
      </c>
      <c r="AE18" s="1" t="s">
        <v>13</v>
      </c>
      <c r="AF18" s="1" t="s">
        <v>14</v>
      </c>
      <c r="AG18" s="1" t="s">
        <v>13</v>
      </c>
      <c r="AH18" s="1" t="s">
        <v>13</v>
      </c>
      <c r="AI18" s="1" t="s">
        <v>13</v>
      </c>
      <c r="AJ18" s="1" t="s">
        <v>14</v>
      </c>
      <c r="AK18" s="1" t="s">
        <v>14</v>
      </c>
      <c r="AL18" s="1" t="s">
        <v>29</v>
      </c>
      <c r="AM18" s="6" t="n">
        <v>0.847222222222222</v>
      </c>
      <c r="AN18" s="1" t="s">
        <v>14</v>
      </c>
      <c r="AO18" s="1" t="s">
        <v>14</v>
      </c>
      <c r="AP18" s="1" t="s">
        <v>14</v>
      </c>
      <c r="AQ18" s="1"/>
      <c r="AR18" s="1" t="s">
        <v>14</v>
      </c>
      <c r="AS18" s="1" t="s">
        <v>14</v>
      </c>
      <c r="AT18" s="1" t="s">
        <v>14</v>
      </c>
      <c r="AU18" s="1" t="s">
        <v>14</v>
      </c>
      <c r="AV18" s="1" t="s">
        <v>14</v>
      </c>
      <c r="AW18" s="1" t="s">
        <v>14</v>
      </c>
      <c r="AX18" s="1" t="s">
        <v>14</v>
      </c>
      <c r="AY18" s="1" t="s">
        <v>13</v>
      </c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2" t="s">
        <v>66</v>
      </c>
      <c r="C19" s="2" t="s">
        <v>67</v>
      </c>
      <c r="D19" s="2" t="s">
        <v>68</v>
      </c>
      <c r="E19" s="1" t="s">
        <v>13</v>
      </c>
      <c r="F19" s="1" t="s">
        <v>13</v>
      </c>
      <c r="G19" s="1" t="s">
        <v>13</v>
      </c>
      <c r="H19" s="1" t="s">
        <v>13</v>
      </c>
      <c r="I19" s="1"/>
      <c r="J19" s="1" t="s">
        <v>13</v>
      </c>
      <c r="K19" s="1" t="s">
        <v>14</v>
      </c>
      <c r="L19" s="1" t="s">
        <v>13</v>
      </c>
      <c r="M19" s="1" t="s">
        <v>13</v>
      </c>
      <c r="N19" s="1" t="s">
        <v>13</v>
      </c>
      <c r="O19" s="1" t="s">
        <v>14</v>
      </c>
      <c r="P19" s="1" t="s">
        <v>14</v>
      </c>
      <c r="Q19" s="1" t="s">
        <v>14</v>
      </c>
      <c r="R19" s="1" t="s">
        <v>13</v>
      </c>
      <c r="S19" s="1" t="s">
        <v>14</v>
      </c>
      <c r="T19" s="1" t="s">
        <v>69</v>
      </c>
      <c r="U19" s="1" t="s">
        <v>13</v>
      </c>
      <c r="V19" s="1"/>
      <c r="W19" s="1" t="s">
        <v>14</v>
      </c>
      <c r="X19" s="1" t="s">
        <v>14</v>
      </c>
      <c r="Y19" s="2" t="n">
        <f aca="false">COUNTIF(E19:X19,"P")</f>
        <v>10</v>
      </c>
      <c r="Z19" s="2" t="n">
        <f aca="false">COUNTIF(E19:X19,"M")</f>
        <v>0</v>
      </c>
      <c r="AA19" s="2" t="n">
        <f aca="false">COUNTIF(E19:X19,"A")</f>
        <v>7</v>
      </c>
      <c r="AB19" s="2" t="n">
        <f aca="false">SUM(Y19:AA19)</f>
        <v>17</v>
      </c>
      <c r="AC19" s="4" t="n">
        <f aca="false">ROUND((Y19+Z19/2)*10/AB19,0)</f>
        <v>6</v>
      </c>
      <c r="AD19" s="1" t="s">
        <v>14</v>
      </c>
      <c r="AE19" s="1" t="s">
        <v>14</v>
      </c>
      <c r="AF19" s="1" t="s">
        <v>14</v>
      </c>
      <c r="AG19" s="1" t="s">
        <v>13</v>
      </c>
      <c r="AH19" s="1" t="s">
        <v>13</v>
      </c>
      <c r="AI19" s="1" t="s">
        <v>13</v>
      </c>
      <c r="AJ19" s="1" t="s">
        <v>13</v>
      </c>
      <c r="AK19" s="1" t="s">
        <v>13</v>
      </c>
      <c r="AL19" s="1" t="s">
        <v>29</v>
      </c>
      <c r="AM19" s="6" t="n">
        <v>0.847222222222222</v>
      </c>
      <c r="AN19" s="1" t="s">
        <v>14</v>
      </c>
      <c r="AO19" s="1" t="s">
        <v>13</v>
      </c>
      <c r="AP19" s="1" t="s">
        <v>14</v>
      </c>
      <c r="AQ19" s="1"/>
      <c r="AR19" s="1" t="s">
        <v>13</v>
      </c>
      <c r="AS19" s="1" t="s">
        <v>13</v>
      </c>
      <c r="AT19" s="1" t="s">
        <v>13</v>
      </c>
      <c r="AU19" s="1" t="s">
        <v>14</v>
      </c>
      <c r="AV19" s="1" t="s">
        <v>13</v>
      </c>
      <c r="AW19" s="1" t="s">
        <v>13</v>
      </c>
      <c r="AX19" s="1" t="s">
        <v>13</v>
      </c>
      <c r="AY19" s="1" t="s">
        <v>13</v>
      </c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70</v>
      </c>
      <c r="C20" s="2" t="s">
        <v>71</v>
      </c>
      <c r="D20" s="2" t="s">
        <v>72</v>
      </c>
      <c r="E20" s="1" t="s">
        <v>13</v>
      </c>
      <c r="F20" s="1" t="s">
        <v>13</v>
      </c>
      <c r="G20" s="1" t="s">
        <v>14</v>
      </c>
      <c r="H20" s="1" t="s">
        <v>13</v>
      </c>
      <c r="J20" s="1" t="s">
        <v>13</v>
      </c>
      <c r="K20" s="1" t="s">
        <v>13</v>
      </c>
      <c r="L20" s="1" t="s">
        <v>13</v>
      </c>
      <c r="M20" s="1" t="s">
        <v>13</v>
      </c>
      <c r="N20" s="1" t="s">
        <v>13</v>
      </c>
      <c r="O20" s="1" t="s">
        <v>14</v>
      </c>
      <c r="P20" s="1" t="s">
        <v>13</v>
      </c>
      <c r="Q20" s="1" t="s">
        <v>13</v>
      </c>
      <c r="R20" s="1" t="s">
        <v>13</v>
      </c>
      <c r="S20" s="1" t="s">
        <v>13</v>
      </c>
      <c r="U20" s="1" t="s">
        <v>13</v>
      </c>
      <c r="W20" s="1" t="s">
        <v>13</v>
      </c>
      <c r="X20" s="1" t="s">
        <v>14</v>
      </c>
      <c r="Y20" s="2" t="n">
        <f aca="false">COUNTIF(E20:X20,"P")</f>
        <v>14</v>
      </c>
      <c r="Z20" s="2" t="n">
        <f aca="false">COUNTIF(E20:X20,"M")</f>
        <v>0</v>
      </c>
      <c r="AA20" s="2" t="n">
        <f aca="false">COUNTIF(E20:X20,"A")</f>
        <v>3</v>
      </c>
      <c r="AB20" s="2" t="n">
        <f aca="false">SUM(Y20:AA20)</f>
        <v>17</v>
      </c>
      <c r="AC20" s="4" t="n">
        <f aca="false">ROUND((Y20+Z20/2)*10/AB20,0)</f>
        <v>8</v>
      </c>
      <c r="AD20" s="1" t="s">
        <v>13</v>
      </c>
      <c r="AE20" s="1" t="s">
        <v>13</v>
      </c>
      <c r="AF20" s="1" t="s">
        <v>14</v>
      </c>
      <c r="AG20" s="1" t="s">
        <v>13</v>
      </c>
      <c r="AH20" s="1" t="s">
        <v>13</v>
      </c>
      <c r="AI20" s="1" t="s">
        <v>13</v>
      </c>
      <c r="AJ20" s="1" t="s">
        <v>13</v>
      </c>
      <c r="AK20" s="1" t="s">
        <v>13</v>
      </c>
      <c r="AL20" s="1" t="s">
        <v>13</v>
      </c>
      <c r="AN20" s="1" t="s">
        <v>13</v>
      </c>
      <c r="AO20" s="1" t="s">
        <v>13</v>
      </c>
      <c r="AP20" s="1" t="s">
        <v>13</v>
      </c>
      <c r="AR20" s="1" t="s">
        <v>13</v>
      </c>
      <c r="AS20" s="1" t="s">
        <v>13</v>
      </c>
      <c r="AT20" s="1" t="s">
        <v>13</v>
      </c>
      <c r="AU20" s="1" t="s">
        <v>13</v>
      </c>
      <c r="AV20" s="1" t="s">
        <v>14</v>
      </c>
      <c r="AW20" s="1" t="s">
        <v>13</v>
      </c>
      <c r="AX20" s="1" t="s">
        <v>13</v>
      </c>
      <c r="AY20" s="1" t="s">
        <v>13</v>
      </c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"/>
    </row>
    <row r="21" s="1" customFormat="true" ht="15" hidden="false" customHeight="false" outlineLevel="0" collapsed="false">
      <c r="A21" s="1" t="n">
        <v>19</v>
      </c>
      <c r="B21" s="2" t="s">
        <v>73</v>
      </c>
      <c r="C21" s="2" t="s">
        <v>74</v>
      </c>
      <c r="D21" s="2" t="s">
        <v>75</v>
      </c>
      <c r="E21" s="1" t="s">
        <v>13</v>
      </c>
      <c r="F21" s="1" t="s">
        <v>13</v>
      </c>
      <c r="G21" s="1" t="s">
        <v>13</v>
      </c>
      <c r="H21" s="1" t="s">
        <v>13</v>
      </c>
      <c r="J21" s="1" t="s">
        <v>13</v>
      </c>
      <c r="K21" s="1" t="s">
        <v>13</v>
      </c>
      <c r="L21" s="1" t="s">
        <v>14</v>
      </c>
      <c r="M21" s="1" t="s">
        <v>13</v>
      </c>
      <c r="N21" s="1" t="s">
        <v>13</v>
      </c>
      <c r="O21" s="1" t="s">
        <v>13</v>
      </c>
      <c r="P21" s="1" t="s">
        <v>13</v>
      </c>
      <c r="Q21" s="1" t="s">
        <v>13</v>
      </c>
      <c r="R21" s="1" t="s">
        <v>13</v>
      </c>
      <c r="S21" s="1" t="s">
        <v>13</v>
      </c>
      <c r="U21" s="1" t="s">
        <v>13</v>
      </c>
      <c r="W21" s="1" t="s">
        <v>13</v>
      </c>
      <c r="X21" s="1" t="s">
        <v>13</v>
      </c>
      <c r="Y21" s="2" t="n">
        <f aca="false">COUNTIF(E21:X21,"P")</f>
        <v>16</v>
      </c>
      <c r="Z21" s="2" t="n">
        <f aca="false">COUNTIF(E21:X21,"M")</f>
        <v>0</v>
      </c>
      <c r="AA21" s="2" t="n">
        <f aca="false">COUNTIF(E21:X21,"A")</f>
        <v>1</v>
      </c>
      <c r="AB21" s="2" t="n">
        <f aca="false">SUM(Y21:AA21)</f>
        <v>17</v>
      </c>
      <c r="AC21" s="4" t="n">
        <f aca="false">ROUND((Y21+Z21/2)*10/AB21,0)</f>
        <v>9</v>
      </c>
      <c r="AD21" s="1" t="s">
        <v>13</v>
      </c>
      <c r="AE21" s="1" t="s">
        <v>13</v>
      </c>
      <c r="AF21" s="1" t="s">
        <v>13</v>
      </c>
      <c r="AG21" s="1" t="s">
        <v>13</v>
      </c>
      <c r="AH21" s="1" t="s">
        <v>13</v>
      </c>
      <c r="AI21" s="1" t="s">
        <v>13</v>
      </c>
      <c r="AJ21" s="1" t="s">
        <v>13</v>
      </c>
      <c r="AK21" s="1" t="s">
        <v>13</v>
      </c>
      <c r="AL21" s="1" t="s">
        <v>13</v>
      </c>
      <c r="AN21" s="1" t="s">
        <v>13</v>
      </c>
      <c r="AO21" s="1" t="s">
        <v>13</v>
      </c>
      <c r="AP21" s="1" t="s">
        <v>13</v>
      </c>
      <c r="AR21" s="1" t="s">
        <v>13</v>
      </c>
      <c r="AS21" s="1" t="s">
        <v>13</v>
      </c>
      <c r="AT21" s="1" t="s">
        <v>13</v>
      </c>
      <c r="AU21" s="1" t="s">
        <v>13</v>
      </c>
      <c r="AV21" s="1" t="s">
        <v>13</v>
      </c>
      <c r="AW21" s="1" t="s">
        <v>13</v>
      </c>
      <c r="AX21" s="1" t="s">
        <v>13</v>
      </c>
      <c r="AY21" s="1" t="s">
        <v>13</v>
      </c>
    </row>
    <row r="22" s="1" customFormat="true" ht="15" hidden="false" customHeight="false" outlineLevel="0" collapsed="false">
      <c r="A22" s="1" t="n">
        <v>20</v>
      </c>
      <c r="B22" s="2" t="s">
        <v>76</v>
      </c>
      <c r="C22" s="2" t="s">
        <v>77</v>
      </c>
      <c r="D22" s="2" t="s">
        <v>78</v>
      </c>
      <c r="E22" s="1" t="s">
        <v>14</v>
      </c>
      <c r="F22" s="1" t="s">
        <v>13</v>
      </c>
      <c r="G22" s="1" t="s">
        <v>13</v>
      </c>
      <c r="H22" s="1" t="s">
        <v>13</v>
      </c>
      <c r="J22" s="1" t="s">
        <v>13</v>
      </c>
      <c r="K22" s="1" t="s">
        <v>13</v>
      </c>
      <c r="L22" s="1" t="s">
        <v>13</v>
      </c>
      <c r="M22" s="1" t="s">
        <v>13</v>
      </c>
      <c r="N22" s="1" t="s">
        <v>13</v>
      </c>
      <c r="O22" s="1" t="s">
        <v>13</v>
      </c>
      <c r="P22" s="1" t="s">
        <v>13</v>
      </c>
      <c r="Q22" s="1" t="s">
        <v>13</v>
      </c>
      <c r="R22" s="1" t="s">
        <v>13</v>
      </c>
      <c r="S22" s="1" t="s">
        <v>13</v>
      </c>
      <c r="U22" s="1" t="s">
        <v>13</v>
      </c>
      <c r="W22" s="1" t="s">
        <v>13</v>
      </c>
      <c r="X22" s="1" t="s">
        <v>13</v>
      </c>
      <c r="Y22" s="2" t="n">
        <f aca="false">COUNTIF(E22:X22,"P")</f>
        <v>16</v>
      </c>
      <c r="Z22" s="2" t="n">
        <f aca="false">COUNTIF(E22:X22,"M")</f>
        <v>0</v>
      </c>
      <c r="AA22" s="2" t="n">
        <f aca="false">COUNTIF(E22:X22,"A")</f>
        <v>1</v>
      </c>
      <c r="AB22" s="2" t="n">
        <f aca="false">SUM(Y22:AA22)</f>
        <v>17</v>
      </c>
      <c r="AC22" s="4" t="n">
        <f aca="false">ROUND((Y22+Z22/2)*10/AB22,0)</f>
        <v>9</v>
      </c>
      <c r="AD22" s="1" t="s">
        <v>13</v>
      </c>
      <c r="AE22" s="1" t="s">
        <v>39</v>
      </c>
      <c r="AF22" s="1" t="s">
        <v>13</v>
      </c>
      <c r="AG22" s="1" t="s">
        <v>13</v>
      </c>
      <c r="AH22" s="1" t="s">
        <v>13</v>
      </c>
      <c r="AI22" s="1" t="s">
        <v>13</v>
      </c>
      <c r="AJ22" s="1" t="s">
        <v>13</v>
      </c>
      <c r="AK22" s="1" t="s">
        <v>13</v>
      </c>
      <c r="AL22" s="1" t="s">
        <v>13</v>
      </c>
      <c r="AN22" s="1" t="s">
        <v>13</v>
      </c>
      <c r="AO22" s="1" t="s">
        <v>13</v>
      </c>
      <c r="AP22" s="1" t="s">
        <v>13</v>
      </c>
      <c r="AR22" s="1" t="s">
        <v>13</v>
      </c>
      <c r="AS22" s="1" t="s">
        <v>13</v>
      </c>
      <c r="AT22" s="1" t="s">
        <v>13</v>
      </c>
      <c r="AU22" s="1" t="s">
        <v>13</v>
      </c>
      <c r="AV22" s="1" t="s">
        <v>13</v>
      </c>
      <c r="AW22" s="1" t="s">
        <v>13</v>
      </c>
      <c r="AX22" s="1" t="s">
        <v>13</v>
      </c>
      <c r="AY22" s="1" t="s">
        <v>14</v>
      </c>
    </row>
    <row r="23" s="2" customFormat="true" ht="15" hidden="false" customHeight="false" outlineLevel="0" collapsed="false">
      <c r="A23" s="1" t="n">
        <v>21</v>
      </c>
      <c r="B23" s="2" t="s">
        <v>79</v>
      </c>
      <c r="C23" s="2" t="s">
        <v>80</v>
      </c>
      <c r="D23" s="2" t="s">
        <v>81</v>
      </c>
      <c r="E23" s="1" t="s">
        <v>13</v>
      </c>
      <c r="F23" s="1" t="s">
        <v>13</v>
      </c>
      <c r="G23" s="1" t="s">
        <v>13</v>
      </c>
      <c r="H23" s="1" t="s">
        <v>13</v>
      </c>
      <c r="I23" s="1"/>
      <c r="J23" s="1" t="s">
        <v>13</v>
      </c>
      <c r="K23" s="1" t="s">
        <v>13</v>
      </c>
      <c r="L23" s="1" t="s">
        <v>13</v>
      </c>
      <c r="M23" s="1" t="s">
        <v>13</v>
      </c>
      <c r="N23" s="1" t="s">
        <v>13</v>
      </c>
      <c r="O23" s="1" t="s">
        <v>13</v>
      </c>
      <c r="P23" s="1" t="s">
        <v>13</v>
      </c>
      <c r="Q23" s="1" t="s">
        <v>13</v>
      </c>
      <c r="R23" s="1" t="s">
        <v>13</v>
      </c>
      <c r="S23" s="1" t="s">
        <v>13</v>
      </c>
      <c r="T23" s="1"/>
      <c r="U23" s="1" t="s">
        <v>13</v>
      </c>
      <c r="V23" s="1"/>
      <c r="W23" s="1" t="s">
        <v>13</v>
      </c>
      <c r="X23" s="1" t="s">
        <v>13</v>
      </c>
      <c r="Y23" s="2" t="n">
        <f aca="false">COUNTIF(E23:X23,"P")</f>
        <v>17</v>
      </c>
      <c r="Z23" s="2" t="n">
        <f aca="false">COUNTIF(E23:X23,"M")</f>
        <v>0</v>
      </c>
      <c r="AA23" s="2" t="n">
        <f aca="false">COUNTIF(E23:X23,"A")</f>
        <v>0</v>
      </c>
      <c r="AB23" s="2" t="n">
        <f aca="false">SUM(Y23:AA23)</f>
        <v>17</v>
      </c>
      <c r="AC23" s="4" t="n">
        <f aca="false">ROUND((Y23+Z23/2)*10/AB23,0)</f>
        <v>10</v>
      </c>
      <c r="AD23" s="1" t="s">
        <v>13</v>
      </c>
      <c r="AE23" s="1" t="s">
        <v>13</v>
      </c>
      <c r="AF23" s="1" t="s">
        <v>14</v>
      </c>
      <c r="AG23" s="1" t="s">
        <v>13</v>
      </c>
      <c r="AH23" s="1" t="s">
        <v>13</v>
      </c>
      <c r="AI23" s="1" t="s">
        <v>13</v>
      </c>
      <c r="AJ23" s="1" t="s">
        <v>14</v>
      </c>
      <c r="AK23" s="1" t="s">
        <v>13</v>
      </c>
      <c r="AL23" s="1" t="s">
        <v>29</v>
      </c>
      <c r="AM23" s="6" t="n">
        <v>0.847222222222222</v>
      </c>
      <c r="AN23" s="1" t="s">
        <v>13</v>
      </c>
      <c r="AO23" s="1" t="s">
        <v>13</v>
      </c>
      <c r="AP23" s="1" t="s">
        <v>13</v>
      </c>
      <c r="AQ23" s="1"/>
      <c r="AR23" s="1" t="s">
        <v>13</v>
      </c>
      <c r="AS23" s="1" t="s">
        <v>13</v>
      </c>
      <c r="AT23" s="1" t="s">
        <v>13</v>
      </c>
      <c r="AU23" s="1" t="s">
        <v>14</v>
      </c>
      <c r="AV23" s="1" t="s">
        <v>13</v>
      </c>
      <c r="AW23" s="1" t="s">
        <v>13</v>
      </c>
      <c r="AX23" s="1" t="s">
        <v>13</v>
      </c>
      <c r="AY23" s="1" t="s">
        <v>13</v>
      </c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5</v>
      </c>
      <c r="D24" s="1" t="s">
        <v>5</v>
      </c>
      <c r="E24" s="1" t="n">
        <f aca="false">COUNTIF(E3:E23,"P")</f>
        <v>19</v>
      </c>
      <c r="F24" s="1" t="n">
        <f aca="false">COUNTIF(F3:F23,"P")</f>
        <v>20</v>
      </c>
      <c r="G24" s="1" t="n">
        <f aca="false">COUNTIF(G3:G23,"P")</f>
        <v>19</v>
      </c>
      <c r="H24" s="1" t="n">
        <f aca="false">COUNTIF(H3:H23,"P")</f>
        <v>19</v>
      </c>
      <c r="J24" s="1" t="n">
        <f aca="false">COUNTIF(J3:J23,"P")</f>
        <v>18</v>
      </c>
      <c r="K24" s="1" t="n">
        <f aca="false">COUNTIF(K3:K23,"P")</f>
        <v>18</v>
      </c>
      <c r="L24" s="1" t="n">
        <f aca="false">COUNTIF(L3:L23,"P")</f>
        <v>19</v>
      </c>
      <c r="M24" s="1" t="n">
        <f aca="false">COUNTIF(M3:M23,"P")</f>
        <v>20</v>
      </c>
      <c r="N24" s="1" t="n">
        <f aca="false">COUNTIF(N3:N23,"P")</f>
        <v>19</v>
      </c>
      <c r="O24" s="1" t="n">
        <f aca="false">COUNTIF(O3:O23,"P")</f>
        <v>19</v>
      </c>
      <c r="P24" s="1" t="n">
        <f aca="false">COUNTIF(P3:P23,"P")</f>
        <v>19</v>
      </c>
      <c r="Q24" s="1" t="n">
        <f aca="false">COUNTIF(Q3:Q23,"P")</f>
        <v>17</v>
      </c>
      <c r="R24" s="1" t="n">
        <f aca="false">COUNTIF(R3:R23,"P")</f>
        <v>20</v>
      </c>
      <c r="S24" s="1" t="n">
        <f aca="false">COUNTIF(S3:S23,"P")</f>
        <v>18</v>
      </c>
      <c r="U24" s="1" t="n">
        <f aca="false">COUNTIF(U3:U23,"P")</f>
        <v>20</v>
      </c>
      <c r="W24" s="1" t="n">
        <f aca="false">COUNTIF(W3:W23,"P")</f>
        <v>18</v>
      </c>
      <c r="X24" s="1" t="n">
        <f aca="false">COUNTIF(X3:X23,"P")</f>
        <v>16</v>
      </c>
      <c r="AD24" s="1" t="n">
        <f aca="false">COUNTIF(AD3:AD23,"P")</f>
        <v>19</v>
      </c>
      <c r="AE24" s="1" t="n">
        <f aca="false">COUNTIF(AE3:AE23,"P")</f>
        <v>18</v>
      </c>
      <c r="AF24" s="1" t="n">
        <f aca="false">COUNTIF(AF3:AF23,"P")</f>
        <v>12</v>
      </c>
      <c r="AG24" s="1" t="n">
        <f aca="false">COUNTIF(AG3:AG23,"P")</f>
        <v>21</v>
      </c>
      <c r="AH24" s="1" t="n">
        <f aca="false">COUNTIF(AH3:AH23,"P")</f>
        <v>21</v>
      </c>
      <c r="AI24" s="1" t="n">
        <f aca="false">COUNTIF(AI3:AI23,"P")</f>
        <v>18</v>
      </c>
      <c r="AJ24" s="1" t="n">
        <f aca="false">COUNTIF(AJ3:AJ23,"P")</f>
        <v>17</v>
      </c>
      <c r="AK24" s="1" t="n">
        <f aca="false">COUNTIF(AK3:AK23,"P")</f>
        <v>17</v>
      </c>
      <c r="AL24" s="1" t="n">
        <f aca="false">COUNTIF(AL3:AL23,"P")</f>
        <v>16</v>
      </c>
      <c r="AN24" s="1" t="n">
        <f aca="false">COUNTIF(AN3:AN23,"P")</f>
        <v>18</v>
      </c>
      <c r="AO24" s="1" t="n">
        <f aca="false">COUNTIF(AO3:AO23,"P")</f>
        <v>20</v>
      </c>
      <c r="AP24" s="1" t="n">
        <f aca="false">COUNTIF(AP3:AP23,"P")</f>
        <v>17</v>
      </c>
      <c r="AR24" s="1" t="n">
        <f aca="false">COUNTIF(AR3:AR23,"P")</f>
        <v>20</v>
      </c>
      <c r="AS24" s="1" t="n">
        <f aca="false">COUNTIF(AS3:AS23,"P")</f>
        <v>20</v>
      </c>
      <c r="AT24" s="1" t="n">
        <f aca="false">COUNTIF(AT3:AT23,"P")</f>
        <v>20</v>
      </c>
      <c r="AU24" s="1" t="n">
        <f aca="false">COUNTIF(AU3:AU23,"P")</f>
        <v>16</v>
      </c>
      <c r="AV24" s="1" t="n">
        <f aca="false">COUNTIF(AV3:AV23,"P")</f>
        <v>19</v>
      </c>
      <c r="AW24" s="1" t="n">
        <f aca="false">COUNTIF(AW3:AW23,"P")</f>
        <v>20</v>
      </c>
      <c r="AX24" s="1" t="n">
        <f aca="false">COUNTIF(AX3:AX23,"P")</f>
        <v>19</v>
      </c>
      <c r="AY24" s="1" t="n">
        <f aca="false">COUNTIF(AY3:AY23,"P")</f>
        <v>16</v>
      </c>
    </row>
    <row r="25" customFormat="false" ht="15" hidden="false" customHeight="false" outlineLevel="0" collapsed="false">
      <c r="C25" s="1" t="s">
        <v>82</v>
      </c>
      <c r="E25" s="1" t="n">
        <f aca="false">COUNTIF(E3:E23,"M")</f>
        <v>0</v>
      </c>
      <c r="F25" s="1" t="n">
        <f aca="false">COUNTIF(F3:F23,"M")</f>
        <v>0</v>
      </c>
      <c r="G25" s="1" t="n">
        <f aca="false">COUNTIF(G3:G23,"M")</f>
        <v>0</v>
      </c>
      <c r="H25" s="1" t="n">
        <f aca="false">COUNTIF(H3:H23,"M")</f>
        <v>1</v>
      </c>
      <c r="J25" s="1" t="n">
        <f aca="false">COUNTIF(J3:J23,"M")</f>
        <v>0</v>
      </c>
      <c r="K25" s="1" t="n">
        <f aca="false">COUNTIF(K3:K23,"M")</f>
        <v>0</v>
      </c>
      <c r="L25" s="1" t="n">
        <f aca="false">COUNTIF(L3:L23,"M")</f>
        <v>0</v>
      </c>
      <c r="M25" s="1" t="n">
        <f aca="false">COUNTIF(M3:M23,"M")</f>
        <v>0</v>
      </c>
      <c r="N25" s="1" t="n">
        <f aca="false">COUNTIF(N3:N23,"M")</f>
        <v>0</v>
      </c>
      <c r="O25" s="1" t="n">
        <f aca="false">COUNTIF(O3:O23,"M")</f>
        <v>0</v>
      </c>
      <c r="P25" s="1" t="n">
        <f aca="false">COUNTIF(P3:P23,"M")</f>
        <v>0</v>
      </c>
      <c r="Q25" s="1" t="n">
        <f aca="false">COUNTIF(Q3:Q23,"M")</f>
        <v>0</v>
      </c>
      <c r="R25" s="1" t="n">
        <f aca="false">COUNTIF(R3:R23,"M")</f>
        <v>0</v>
      </c>
      <c r="S25" s="1" t="n">
        <f aca="false">COUNTIF(S3:S23,"M")</f>
        <v>0</v>
      </c>
      <c r="U25" s="1" t="n">
        <f aca="false">COUNTIF(U3:U23,"M")</f>
        <v>0</v>
      </c>
      <c r="W25" s="1" t="n">
        <f aca="false">COUNTIF(W3:W23,"M")</f>
        <v>0</v>
      </c>
      <c r="X25" s="1" t="n">
        <f aca="false">COUNTIF(X3:X23,"M")</f>
        <v>0</v>
      </c>
      <c r="AD25" s="1" t="n">
        <f aca="false">COUNTIF(AD3:AD23,"M")</f>
        <v>0</v>
      </c>
      <c r="AE25" s="1" t="n">
        <f aca="false">COUNTIF(AE3:AE23,"M")</f>
        <v>0</v>
      </c>
      <c r="AF25" s="1" t="n">
        <f aca="false">COUNTIF(AF3:AF23,"M")</f>
        <v>0</v>
      </c>
      <c r="AG25" s="1" t="n">
        <f aca="false">COUNTIF(AG3:AG23,"M")</f>
        <v>0</v>
      </c>
      <c r="AH25" s="1" t="n">
        <f aca="false">COUNTIF(AH3:AH23,"M")</f>
        <v>0</v>
      </c>
      <c r="AI25" s="1" t="n">
        <f aca="false">COUNTIF(AI3:AI23,"M")</f>
        <v>0</v>
      </c>
      <c r="AJ25" s="1" t="n">
        <f aca="false">COUNTIF(AJ3:AJ23,"M")</f>
        <v>0</v>
      </c>
      <c r="AK25" s="1" t="n">
        <f aca="false">COUNTIF(AK3:AK23,"M")</f>
        <v>0</v>
      </c>
      <c r="AL25" s="1" t="n">
        <f aca="false">COUNTIF(AL3:AL23,"M")</f>
        <v>0</v>
      </c>
      <c r="AN25" s="1" t="n">
        <f aca="false">COUNTIF(AN3:AN23,"M")</f>
        <v>0</v>
      </c>
      <c r="AO25" s="1" t="n">
        <f aca="false">COUNTIF(AO3:AO23,"M")</f>
        <v>0</v>
      </c>
      <c r="AP25" s="1" t="n">
        <f aca="false">COUNTIF(AP3:AP23,"M")</f>
        <v>0</v>
      </c>
      <c r="AR25" s="1" t="n">
        <f aca="false">COUNTIF(AR3:AR23,"M")</f>
        <v>0</v>
      </c>
      <c r="AS25" s="1" t="n">
        <f aca="false">COUNTIF(AS3:AS23,"M")</f>
        <v>0</v>
      </c>
      <c r="AT25" s="1" t="n">
        <f aca="false">COUNTIF(AT3:AT23,"M")</f>
        <v>0</v>
      </c>
      <c r="AU25" s="1" t="n">
        <f aca="false">COUNTIF(AU3:AU23,"M")</f>
        <v>0</v>
      </c>
      <c r="AV25" s="1" t="n">
        <f aca="false">COUNTIF(AV3:AV23,"M")</f>
        <v>0</v>
      </c>
      <c r="AW25" s="1" t="n">
        <f aca="false">COUNTIF(AW3:AW23,"M")</f>
        <v>0</v>
      </c>
      <c r="AX25" s="1" t="n">
        <f aca="false">COUNTIF(AX3:AX23,"M")</f>
        <v>0</v>
      </c>
      <c r="AY25" s="1" t="n">
        <f aca="false">COUNTIF(AY3:AY23,"M")</f>
        <v>0</v>
      </c>
    </row>
    <row r="26" customFormat="false" ht="15" hidden="false" customHeight="false" outlineLevel="0" collapsed="false">
      <c r="C26" s="1" t="s">
        <v>83</v>
      </c>
      <c r="E26" s="1" t="n">
        <f aca="false">COUNTIF(E3:E23,"T")</f>
        <v>0</v>
      </c>
      <c r="F26" s="1" t="n">
        <f aca="false">COUNTIF(F3:F23,"T")</f>
        <v>0</v>
      </c>
      <c r="G26" s="1" t="n">
        <f aca="false">COUNTIF(G3:G23,"T")</f>
        <v>0</v>
      </c>
      <c r="H26" s="1" t="n">
        <f aca="false">COUNTIF(H3:H23,"T")</f>
        <v>0</v>
      </c>
      <c r="J26" s="1" t="n">
        <f aca="false">COUNTIF(J3:J23,"T")</f>
        <v>0</v>
      </c>
      <c r="K26" s="1" t="n">
        <f aca="false">COUNTIF(K3:K23,"T")</f>
        <v>0</v>
      </c>
      <c r="L26" s="1" t="n">
        <f aca="false">COUNTIF(L3:L23,"T")</f>
        <v>0</v>
      </c>
      <c r="M26" s="1" t="n">
        <f aca="false">COUNTIF(M3:M23,"T")</f>
        <v>0</v>
      </c>
      <c r="N26" s="1" t="n">
        <f aca="false">COUNTIF(N3:N23,"T")</f>
        <v>0</v>
      </c>
      <c r="O26" s="1" t="n">
        <f aca="false">COUNTIF(O3:O23,"T")</f>
        <v>0</v>
      </c>
      <c r="P26" s="1" t="n">
        <f aca="false">COUNTIF(P3:P23,"T")</f>
        <v>0</v>
      </c>
      <c r="Q26" s="1" t="n">
        <f aca="false">COUNTIF(Q3:Q23,"T")</f>
        <v>0</v>
      </c>
      <c r="R26" s="1" t="n">
        <f aca="false">COUNTIF(R3:R23,"T")</f>
        <v>0</v>
      </c>
      <c r="S26" s="1" t="n">
        <f aca="false">COUNTIF(S3:S23,"T")</f>
        <v>0</v>
      </c>
      <c r="U26" s="1" t="n">
        <f aca="false">COUNTIF(U3:U23,"T")</f>
        <v>0</v>
      </c>
      <c r="W26" s="1" t="n">
        <f aca="false">COUNTIF(W3:W23,"T")</f>
        <v>0</v>
      </c>
      <c r="X26" s="1" t="n">
        <f aca="false">COUNTIF(X3:X23,"T")</f>
        <v>0</v>
      </c>
      <c r="AD26" s="1" t="n">
        <f aca="false">COUNTIF(AD3:AD23,"T")</f>
        <v>0</v>
      </c>
      <c r="AE26" s="1" t="n">
        <f aca="false">COUNTIF(AE3:AE23,"T")</f>
        <v>0</v>
      </c>
      <c r="AF26" s="1" t="n">
        <f aca="false">COUNTIF(AF3:AF23,"T")</f>
        <v>0</v>
      </c>
      <c r="AG26" s="1" t="n">
        <f aca="false">COUNTIF(AG3:AG23,"T")</f>
        <v>0</v>
      </c>
      <c r="AH26" s="1" t="n">
        <f aca="false">COUNTIF(AH3:AH23,"T")</f>
        <v>0</v>
      </c>
      <c r="AI26" s="1" t="n">
        <f aca="false">COUNTIF(AI3:AI23,"T")</f>
        <v>0</v>
      </c>
      <c r="AJ26" s="1" t="n">
        <f aca="false">COUNTIF(AJ3:AJ23,"T")</f>
        <v>0</v>
      </c>
      <c r="AK26" s="1" t="n">
        <f aca="false">COUNTIF(AK3:AK23,"T")</f>
        <v>0</v>
      </c>
      <c r="AL26" s="1" t="n">
        <f aca="false">COUNTIF(AL3:AL23,"T")</f>
        <v>4</v>
      </c>
      <c r="AN26" s="1" t="n">
        <f aca="false">COUNTIF(AN3:AN23,"T")</f>
        <v>0</v>
      </c>
      <c r="AO26" s="1" t="n">
        <f aca="false">COUNTIF(AO3:AO23,"T")</f>
        <v>0</v>
      </c>
      <c r="AP26" s="1" t="n">
        <f aca="false">COUNTIF(AP3:AP23,"T")</f>
        <v>0</v>
      </c>
      <c r="AR26" s="1" t="n">
        <f aca="false">COUNTIF(AR3:AR23,"T")</f>
        <v>0</v>
      </c>
      <c r="AS26" s="1" t="n">
        <f aca="false">COUNTIF(AS3:AS23,"T")</f>
        <v>0</v>
      </c>
      <c r="AT26" s="1" t="n">
        <f aca="false">COUNTIF(AT3:AT23,"T")</f>
        <v>0</v>
      </c>
      <c r="AU26" s="1" t="n">
        <f aca="false">COUNTIF(AU3:AU23,"T")</f>
        <v>0</v>
      </c>
      <c r="AV26" s="1" t="n">
        <f aca="false">COUNTIF(AV3:AV23,"T")</f>
        <v>0</v>
      </c>
      <c r="AW26" s="1" t="n">
        <f aca="false">COUNTIF(AW3:AW23,"T")</f>
        <v>0</v>
      </c>
      <c r="AX26" s="1" t="n">
        <f aca="false">COUNTIF(AX3:AX23,"T")</f>
        <v>0</v>
      </c>
      <c r="AY26" s="1" t="n">
        <f aca="false">COUNTIF(AY3:AY23,"T")</f>
        <v>0</v>
      </c>
    </row>
    <row r="27" customFormat="false" ht="15" hidden="false" customHeight="false" outlineLevel="0" collapsed="false">
      <c r="C27" s="1" t="s">
        <v>84</v>
      </c>
      <c r="E27" s="1" t="n">
        <f aca="false">COUNTIF(E3:E23,"O")</f>
        <v>0</v>
      </c>
      <c r="F27" s="1" t="n">
        <f aca="false">COUNTIF(F3:F23,"O")</f>
        <v>0</v>
      </c>
      <c r="G27" s="1" t="n">
        <f aca="false">COUNTIF(G3:G23,"O")</f>
        <v>0</v>
      </c>
      <c r="H27" s="1" t="n">
        <f aca="false">COUNTIF(H3:H23,"O")</f>
        <v>0</v>
      </c>
      <c r="J27" s="1" t="n">
        <f aca="false">COUNTIF(J3:J23,"O")</f>
        <v>0</v>
      </c>
      <c r="K27" s="1" t="n">
        <f aca="false">COUNTIF(K3:K23,"O")</f>
        <v>0</v>
      </c>
      <c r="L27" s="1" t="n">
        <f aca="false">COUNTIF(L3:L23,"O")</f>
        <v>0</v>
      </c>
      <c r="M27" s="1" t="n">
        <f aca="false">COUNTIF(M3:M23,"O")</f>
        <v>0</v>
      </c>
      <c r="N27" s="1" t="n">
        <f aca="false">COUNTIF(N3:N23,"O")</f>
        <v>0</v>
      </c>
      <c r="O27" s="1" t="n">
        <f aca="false">COUNTIF(O3:O23,"O")</f>
        <v>0</v>
      </c>
      <c r="P27" s="1" t="n">
        <f aca="false">COUNTIF(P3:P23,"O")</f>
        <v>0</v>
      </c>
      <c r="Q27" s="1" t="n">
        <f aca="false">COUNTIF(Q3:Q23,"O")</f>
        <v>0</v>
      </c>
      <c r="R27" s="1" t="n">
        <f aca="false">COUNTIF(R3:R23,"O")</f>
        <v>0</v>
      </c>
      <c r="S27" s="1" t="n">
        <f aca="false">COUNTIF(S3:S23,"O")</f>
        <v>0</v>
      </c>
      <c r="U27" s="1" t="n">
        <f aca="false">COUNTIF(U3:U23,"O")</f>
        <v>0</v>
      </c>
      <c r="W27" s="1" t="n">
        <f aca="false">COUNTIF(W3:W23,"O")</f>
        <v>0</v>
      </c>
      <c r="X27" s="1" t="n">
        <f aca="false">COUNTIF(X3:X23,"O")</f>
        <v>0</v>
      </c>
      <c r="AD27" s="1" t="n">
        <f aca="false">COUNTIF(AD3:AD23,"O")</f>
        <v>0</v>
      </c>
      <c r="AE27" s="1" t="n">
        <f aca="false">COUNTIF(AE3:AE23,"O")</f>
        <v>2</v>
      </c>
      <c r="AF27" s="1" t="n">
        <f aca="false">COUNTIF(AF3:AF23,"O")</f>
        <v>0</v>
      </c>
      <c r="AG27" s="1" t="n">
        <f aca="false">COUNTIF(AG3:AG23,"O")</f>
        <v>0</v>
      </c>
      <c r="AH27" s="1" t="n">
        <f aca="false">COUNTIF(AH3:AH23,"O")</f>
        <v>0</v>
      </c>
      <c r="AI27" s="1" t="n">
        <f aca="false">COUNTIF(AI3:AI23,"O")</f>
        <v>0</v>
      </c>
      <c r="AJ27" s="1" t="n">
        <f aca="false">COUNTIF(AJ3:AJ23,"O")</f>
        <v>0</v>
      </c>
      <c r="AK27" s="1" t="n">
        <f aca="false">COUNTIF(AK3:AK23,"O")</f>
        <v>0</v>
      </c>
      <c r="AL27" s="1" t="n">
        <f aca="false">COUNTIF(AL3:AL23,"O")</f>
        <v>0</v>
      </c>
      <c r="AN27" s="1" t="n">
        <f aca="false">COUNTIF(AN3:AN23,"O")</f>
        <v>0</v>
      </c>
      <c r="AO27" s="1" t="n">
        <f aca="false">COUNTIF(AO3:AO23,"O")</f>
        <v>0</v>
      </c>
      <c r="AP27" s="1" t="n">
        <f aca="false">COUNTIF(AP3:AP23,"O")</f>
        <v>0</v>
      </c>
      <c r="AR27" s="1" t="n">
        <f aca="false">COUNTIF(AR3:AR23,"O")</f>
        <v>0</v>
      </c>
      <c r="AS27" s="1" t="n">
        <f aca="false">COUNTIF(AS3:AS23,"O")</f>
        <v>0</v>
      </c>
      <c r="AT27" s="1" t="n">
        <f aca="false">COUNTIF(AT3:AT23,"O")</f>
        <v>0</v>
      </c>
      <c r="AU27" s="1" t="n">
        <f aca="false">COUNTIF(AU3:AU23,"O")</f>
        <v>0</v>
      </c>
      <c r="AV27" s="1" t="n">
        <f aca="false">COUNTIF(AV3:AV23,"O")</f>
        <v>0</v>
      </c>
      <c r="AW27" s="1" t="n">
        <f aca="false">COUNTIF(AW3:AW23,"O")</f>
        <v>0</v>
      </c>
      <c r="AX27" s="1" t="n">
        <f aca="false">COUNTIF(AX3:AX23,"O")</f>
        <v>0</v>
      </c>
      <c r="AY27" s="1" t="n">
        <f aca="false">COUNTIF(AY3:AY23,"O")</f>
        <v>1</v>
      </c>
    </row>
    <row r="28" customFormat="false" ht="15" hidden="false" customHeight="false" outlineLevel="0" collapsed="false">
      <c r="C28" s="1" t="s">
        <v>85</v>
      </c>
      <c r="E28" s="1" t="n">
        <f aca="false">SUM(E24:E27)</f>
        <v>19</v>
      </c>
      <c r="F28" s="1" t="n">
        <f aca="false">SUM(F24:F27)</f>
        <v>20</v>
      </c>
      <c r="G28" s="1" t="n">
        <f aca="false">SUM(G24:G27)</f>
        <v>19</v>
      </c>
      <c r="H28" s="1" t="n">
        <f aca="false">SUM(H24:H27)</f>
        <v>20</v>
      </c>
      <c r="J28" s="1" t="n">
        <f aca="false">SUM(J24:J27)</f>
        <v>18</v>
      </c>
      <c r="K28" s="1" t="n">
        <f aca="false">SUM(K24:K27)</f>
        <v>18</v>
      </c>
      <c r="L28" s="1" t="n">
        <f aca="false">SUM(L24:L27)</f>
        <v>19</v>
      </c>
      <c r="M28" s="1" t="n">
        <f aca="false">SUM(M24:M27)</f>
        <v>20</v>
      </c>
      <c r="N28" s="1" t="n">
        <f aca="false">SUM(N24:N27)</f>
        <v>19</v>
      </c>
      <c r="O28" s="1" t="n">
        <f aca="false">SUM(O24:O27)</f>
        <v>19</v>
      </c>
      <c r="P28" s="1" t="n">
        <f aca="false">SUM(P24:P27)</f>
        <v>19</v>
      </c>
      <c r="Q28" s="1" t="n">
        <f aca="false">SUM(Q24:Q27)</f>
        <v>17</v>
      </c>
      <c r="R28" s="1" t="n">
        <f aca="false">SUM(R24:R27)</f>
        <v>20</v>
      </c>
      <c r="S28" s="1" t="n">
        <f aca="false">SUM(S24:S27)</f>
        <v>18</v>
      </c>
      <c r="U28" s="1" t="n">
        <f aca="false">SUM(U24:U27)</f>
        <v>20</v>
      </c>
      <c r="W28" s="1" t="n">
        <f aca="false">SUM(W24:W27)</f>
        <v>18</v>
      </c>
      <c r="X28" s="1" t="n">
        <f aca="false">SUM(X24:X27)</f>
        <v>16</v>
      </c>
      <c r="AD28" s="1" t="n">
        <f aca="false">SUM(AD24:AD27)</f>
        <v>19</v>
      </c>
      <c r="AE28" s="1" t="n">
        <f aca="false">SUM(AE24:AE26)</f>
        <v>18</v>
      </c>
      <c r="AF28" s="1" t="n">
        <f aca="false">SUM(AF24:AF26)</f>
        <v>12</v>
      </c>
      <c r="AG28" s="1" t="n">
        <f aca="false">SUM(AG24:AG26)</f>
        <v>21</v>
      </c>
      <c r="AH28" s="1" t="n">
        <f aca="false">SUM(AH24:AH26)</f>
        <v>21</v>
      </c>
      <c r="AI28" s="1" t="n">
        <f aca="false">SUM(AI24:AI26)</f>
        <v>18</v>
      </c>
      <c r="AJ28" s="1" t="n">
        <f aca="false">SUM(AJ24:AJ26)</f>
        <v>17</v>
      </c>
      <c r="AK28" s="1" t="n">
        <f aca="false">SUM(AK24:AK26)</f>
        <v>17</v>
      </c>
      <c r="AL28" s="1" t="n">
        <f aca="false">SUM(AL24:AL26)</f>
        <v>20</v>
      </c>
      <c r="AN28" s="1" t="n">
        <f aca="false">SUM(AN24:AN26)</f>
        <v>18</v>
      </c>
      <c r="AO28" s="1" t="n">
        <f aca="false">SUM(AO24:AO26)</f>
        <v>20</v>
      </c>
      <c r="AP28" s="1" t="n">
        <f aca="false">SUM(AP24:AP26)</f>
        <v>17</v>
      </c>
      <c r="AR28" s="1" t="n">
        <f aca="false">SUM(AR24:AR26)</f>
        <v>20</v>
      </c>
      <c r="AS28" s="1" t="n">
        <f aca="false">SUM(AS24:AS26)</f>
        <v>20</v>
      </c>
      <c r="AT28" s="1" t="n">
        <f aca="false">SUM(AT24:AT26)</f>
        <v>20</v>
      </c>
      <c r="AU28" s="1" t="n">
        <f aca="false">SUM(AU24:AU26)</f>
        <v>16</v>
      </c>
      <c r="AV28" s="1" t="n">
        <f aca="false">SUM(AV24:AV26)</f>
        <v>19</v>
      </c>
      <c r="AW28" s="1" t="n">
        <f aca="false">SUM(AW24:AW26)</f>
        <v>20</v>
      </c>
      <c r="AX28" s="1" t="n">
        <f aca="false">SUM(AX24:AX26)</f>
        <v>19</v>
      </c>
      <c r="AY28" s="1" t="n">
        <f aca="false">SUM(AY24:AY26)</f>
        <v>16</v>
      </c>
    </row>
  </sheetData>
  <conditionalFormatting sqref="AC3:AC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V24" activeCellId="0" sqref="V24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8" min="3" style="1" width="9.6"/>
    <col collapsed="false" customWidth="true" hidden="true" outlineLevel="0" max="10" min="9" style="1" width="12.8"/>
    <col collapsed="false" customWidth="false" hidden="true" outlineLevel="0" max="18" min="11" style="1" width="9.6"/>
    <col collapsed="false" customWidth="true" hidden="true" outlineLevel="0" max="20" min="19" style="1" width="16.46"/>
    <col collapsed="false" customWidth="true" hidden="false" outlineLevel="0" max="21" min="21" style="1" width="16.46"/>
    <col collapsed="false" customWidth="true" hidden="false" outlineLevel="0" max="980" min="980" style="1" width="9.33"/>
    <col collapsed="false" customWidth="true" hidden="false" outlineLevel="0" max="16384" min="16338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86</v>
      </c>
      <c r="D2" s="2" t="s">
        <v>87</v>
      </c>
      <c r="E2" s="2" t="s">
        <v>88</v>
      </c>
      <c r="F2" s="2" t="s">
        <v>89</v>
      </c>
      <c r="G2" s="2" t="s">
        <v>90</v>
      </c>
      <c r="H2" s="2" t="s">
        <v>91</v>
      </c>
      <c r="I2" s="2" t="s">
        <v>90</v>
      </c>
      <c r="J2" s="2" t="s">
        <v>92</v>
      </c>
      <c r="K2" s="2" t="s">
        <v>90</v>
      </c>
      <c r="L2" s="2" t="s">
        <v>93</v>
      </c>
      <c r="M2" s="2" t="s">
        <v>94</v>
      </c>
      <c r="N2" s="2" t="s">
        <v>9</v>
      </c>
      <c r="O2" s="2" t="s">
        <v>95</v>
      </c>
      <c r="P2" s="2" t="s">
        <v>96</v>
      </c>
      <c r="Q2" s="2" t="s">
        <v>97</v>
      </c>
      <c r="R2" s="2" t="s">
        <v>98</v>
      </c>
      <c r="S2" s="2" t="s">
        <v>99</v>
      </c>
      <c r="T2" s="2" t="s">
        <v>100</v>
      </c>
      <c r="U2" s="2" t="s">
        <v>101</v>
      </c>
      <c r="V2" s="2" t="s">
        <v>102</v>
      </c>
    </row>
    <row r="3" s="1" customFormat="true" ht="15" hidden="false" customHeight="false" outlineLevel="0" collapsed="false">
      <c r="A3" s="1" t="n">
        <v>1</v>
      </c>
      <c r="B3" s="2" t="s">
        <v>11</v>
      </c>
      <c r="C3" s="4" t="n">
        <v>10</v>
      </c>
      <c r="D3" s="4" t="n">
        <v>9</v>
      </c>
      <c r="E3" s="4"/>
      <c r="F3" s="4" t="n">
        <v>6</v>
      </c>
      <c r="G3" s="3" t="n">
        <v>46171</v>
      </c>
      <c r="H3" s="4" t="n">
        <v>4</v>
      </c>
      <c r="I3" s="3" t="n">
        <v>46171</v>
      </c>
      <c r="J3" s="4" t="n">
        <v>9</v>
      </c>
      <c r="K3" s="4"/>
      <c r="L3" s="4" t="n">
        <v>9</v>
      </c>
      <c r="M3" s="1" t="n">
        <v>9.02</v>
      </c>
      <c r="N3" s="4" t="n">
        <f aca="false">ROUND(AVERAGE(C3,D3,F3,H3,J3,L3,M2),0)</f>
        <v>8</v>
      </c>
      <c r="O3" s="4" t="str">
        <f aca="false">IF(N3&gt;6,"TEA",IF(N3&gt;3,"TEP","TED"))</f>
        <v>TEA</v>
      </c>
      <c r="Q3" s="1" t="n">
        <v>1</v>
      </c>
      <c r="S3" s="1" t="n">
        <v>1</v>
      </c>
      <c r="T3" s="1" t="n">
        <v>1</v>
      </c>
      <c r="V3" s="1" t="n">
        <v>1</v>
      </c>
    </row>
    <row r="4" s="1" customFormat="true" ht="15" hidden="false" customHeight="false" outlineLevel="0" collapsed="false">
      <c r="A4" s="1" t="n">
        <v>2</v>
      </c>
      <c r="B4" s="2" t="s">
        <v>16</v>
      </c>
      <c r="C4" s="4" t="n">
        <v>10</v>
      </c>
      <c r="D4" s="4" t="n">
        <v>4</v>
      </c>
      <c r="E4" s="4"/>
      <c r="F4" s="4" t="n">
        <v>9</v>
      </c>
      <c r="G4" s="4"/>
      <c r="H4" s="4" t="n">
        <v>8</v>
      </c>
      <c r="I4" s="4"/>
      <c r="J4" s="4" t="n">
        <v>10</v>
      </c>
      <c r="K4" s="4"/>
      <c r="L4" s="4" t="n">
        <v>10</v>
      </c>
      <c r="M4" s="1" t="n">
        <v>9.22</v>
      </c>
      <c r="N4" s="4" t="n">
        <f aca="false">ROUND(AVERAGE(C4,D4,F4,H4,J4,L4,M3),0)</f>
        <v>9</v>
      </c>
      <c r="O4" s="4" t="str">
        <f aca="false">IF(N4&gt;6,"TEA",IF(N4&gt;3,"TEP","TED"))</f>
        <v>TEA</v>
      </c>
      <c r="S4" s="1" t="n">
        <v>9</v>
      </c>
      <c r="T4" s="1" t="n">
        <v>7</v>
      </c>
      <c r="V4" s="1" t="n">
        <v>2</v>
      </c>
    </row>
    <row r="5" s="1" customFormat="true" ht="15" hidden="false" customHeight="false" outlineLevel="0" collapsed="false">
      <c r="A5" s="1" t="n">
        <v>3</v>
      </c>
      <c r="B5" s="2" t="s">
        <v>20</v>
      </c>
      <c r="C5" s="4" t="n">
        <v>1</v>
      </c>
      <c r="D5" s="4" t="n">
        <v>4</v>
      </c>
      <c r="E5" s="4"/>
      <c r="F5" s="4" t="n">
        <v>10</v>
      </c>
      <c r="G5" s="4"/>
      <c r="H5" s="4" t="n">
        <v>6</v>
      </c>
      <c r="I5" s="3" t="n">
        <v>46220</v>
      </c>
      <c r="J5" s="4" t="n">
        <v>8</v>
      </c>
      <c r="K5" s="4"/>
      <c r="L5" s="4" t="n">
        <v>9</v>
      </c>
      <c r="M5" s="1" t="n">
        <v>9.22</v>
      </c>
      <c r="N5" s="4" t="n">
        <f aca="false">ROUND(AVERAGE(C5,D5,F5,H5,J5,L5,M4),0)</f>
        <v>7</v>
      </c>
      <c r="O5" s="4" t="str">
        <f aca="false">IF(N5&gt;6,"TEA",IF(N5&gt;3,"TEP","TED"))</f>
        <v>TEA</v>
      </c>
      <c r="Q5" s="1" t="n">
        <v>1</v>
      </c>
      <c r="S5" s="1" t="n">
        <v>5</v>
      </c>
      <c r="T5" s="1" t="n">
        <v>1</v>
      </c>
      <c r="V5" s="1" t="n">
        <v>1</v>
      </c>
    </row>
    <row r="6" s="1" customFormat="true" ht="15" hidden="false" customHeight="false" outlineLevel="0" collapsed="false">
      <c r="A6" s="1" t="n">
        <v>4</v>
      </c>
      <c r="B6" s="2" t="s">
        <v>23</v>
      </c>
      <c r="C6" s="4" t="n">
        <v>10</v>
      </c>
      <c r="D6" s="4" t="n">
        <v>7</v>
      </c>
      <c r="E6" s="4"/>
      <c r="F6" s="4" t="n">
        <v>9</v>
      </c>
      <c r="G6" s="4"/>
      <c r="H6" s="4" t="n">
        <v>8</v>
      </c>
      <c r="I6" s="4"/>
      <c r="J6" s="4" t="n">
        <v>10</v>
      </c>
      <c r="K6" s="4"/>
      <c r="L6" s="4" t="n">
        <v>10</v>
      </c>
      <c r="M6" s="1" t="n">
        <v>10</v>
      </c>
      <c r="N6" s="4" t="n">
        <f aca="false">ROUND(AVERAGE(C6,D6,F6,H6,J6,L6,M5),0)</f>
        <v>9</v>
      </c>
      <c r="O6" s="4" t="str">
        <f aca="false">IF(N6&gt;6,"TEA",IF(N6&gt;3,"TEP","TED"))</f>
        <v>TEA</v>
      </c>
      <c r="S6" s="1" t="n">
        <v>10</v>
      </c>
      <c r="T6" s="1" t="n">
        <v>4</v>
      </c>
      <c r="U6" s="1" t="n">
        <v>10</v>
      </c>
      <c r="V6" s="1" t="n">
        <v>4</v>
      </c>
    </row>
    <row r="7" s="1" customFormat="true" ht="15" hidden="false" customHeight="false" outlineLevel="0" collapsed="false">
      <c r="A7" s="1" t="n">
        <v>5</v>
      </c>
      <c r="B7" s="2" t="s">
        <v>26</v>
      </c>
      <c r="C7" s="4" t="n">
        <v>10</v>
      </c>
      <c r="D7" s="2" t="n">
        <v>8</v>
      </c>
      <c r="E7" s="4"/>
      <c r="F7" s="4" t="n">
        <v>10</v>
      </c>
      <c r="G7" s="4"/>
      <c r="H7" s="4" t="n">
        <v>9</v>
      </c>
      <c r="I7" s="4"/>
      <c r="J7" s="4" t="n">
        <v>10</v>
      </c>
      <c r="K7" s="4"/>
      <c r="L7" s="4" t="n">
        <v>9</v>
      </c>
      <c r="M7" s="1" t="n">
        <v>9.22</v>
      </c>
      <c r="N7" s="4" t="n">
        <f aca="false">ROUND(AVERAGE(C7,D7,F7,H7,J7,L7,M6),0)</f>
        <v>9</v>
      </c>
      <c r="O7" s="4" t="str">
        <f aca="false">IF(N7&gt;6,"TEA",IF(N7&gt;3,"TEP","TED"))</f>
        <v>TEA</v>
      </c>
      <c r="S7" s="1" t="n">
        <v>9</v>
      </c>
      <c r="T7" s="1" t="n">
        <v>1</v>
      </c>
      <c r="V7" s="1" t="n">
        <v>3</v>
      </c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</row>
    <row r="8" s="2" customFormat="true" ht="15" hidden="false" customHeight="false" outlineLevel="0" collapsed="false">
      <c r="A8" s="1" t="n">
        <v>6</v>
      </c>
      <c r="B8" s="2" t="s">
        <v>31</v>
      </c>
      <c r="C8" s="2" t="n">
        <v>5</v>
      </c>
      <c r="D8" s="7" t="n">
        <v>9</v>
      </c>
      <c r="E8" s="8" t="n">
        <v>46102</v>
      </c>
      <c r="F8" s="4" t="n">
        <v>10</v>
      </c>
      <c r="G8" s="4"/>
      <c r="H8" s="2" t="n">
        <v>9</v>
      </c>
      <c r="J8" s="4" t="n">
        <v>9</v>
      </c>
      <c r="K8" s="3" t="n">
        <v>46171</v>
      </c>
      <c r="L8" s="4" t="n">
        <v>9</v>
      </c>
      <c r="M8" s="1" t="n">
        <v>10</v>
      </c>
      <c r="N8" s="4" t="n">
        <f aca="false">ROUND(AVERAGE(C8,D8,F8,H8,J8,L8,M7),0)</f>
        <v>9</v>
      </c>
      <c r="O8" s="4" t="str">
        <f aca="false">IF(N8&gt;6,"TEA",IF(N8&gt;3,"TEP","TED"))</f>
        <v>TEA</v>
      </c>
      <c r="P8" s="1"/>
      <c r="Q8" s="1" t="n">
        <v>1</v>
      </c>
      <c r="R8" s="1"/>
      <c r="S8" s="1" t="n">
        <v>5</v>
      </c>
      <c r="T8" s="1" t="n">
        <v>7</v>
      </c>
      <c r="U8" s="2" t="n">
        <v>9</v>
      </c>
      <c r="V8" s="2" t="n">
        <v>4</v>
      </c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1" customFormat="true" ht="15" hidden="false" customHeight="false" outlineLevel="0" collapsed="false">
      <c r="A9" s="1" t="n">
        <v>7</v>
      </c>
      <c r="B9" s="2" t="s">
        <v>34</v>
      </c>
      <c r="C9" s="4" t="n">
        <v>9</v>
      </c>
      <c r="D9" s="4" t="n">
        <v>6</v>
      </c>
      <c r="E9" s="4"/>
      <c r="F9" s="4" t="n">
        <v>10</v>
      </c>
      <c r="G9" s="4"/>
      <c r="H9" s="4" t="n">
        <v>8</v>
      </c>
      <c r="I9" s="4"/>
      <c r="J9" s="4" t="n">
        <v>7</v>
      </c>
      <c r="K9" s="3" t="n">
        <v>46171</v>
      </c>
      <c r="L9" s="4" t="n">
        <v>9</v>
      </c>
      <c r="M9" s="1" t="n">
        <v>8.04</v>
      </c>
      <c r="N9" s="4" t="n">
        <f aca="false">ROUND(AVERAGE(C9,D9,F9,H9,J9,L9,M8),0)</f>
        <v>8</v>
      </c>
      <c r="O9" s="4" t="str">
        <f aca="false">IF(N9&gt;6,"TEA",IF(N9&gt;3,"TEP","TED"))</f>
        <v>TEA</v>
      </c>
      <c r="S9" s="1" t="n">
        <v>5</v>
      </c>
      <c r="T9" s="1" t="n">
        <v>8</v>
      </c>
      <c r="V9" s="1" t="n">
        <v>3</v>
      </c>
    </row>
    <row r="10" s="1" customFormat="true" ht="15" hidden="false" customHeight="false" outlineLevel="0" collapsed="false">
      <c r="A10" s="1" t="n">
        <v>8</v>
      </c>
      <c r="B10" s="2" t="s">
        <v>37</v>
      </c>
      <c r="C10" s="4" t="n">
        <v>10</v>
      </c>
      <c r="D10" s="4" t="n">
        <v>8</v>
      </c>
      <c r="E10" s="4"/>
      <c r="F10" s="4" t="n">
        <v>10</v>
      </c>
      <c r="G10" s="4"/>
      <c r="H10" s="4" t="n">
        <v>9</v>
      </c>
      <c r="I10" s="4"/>
      <c r="J10" s="2" t="n">
        <v>9</v>
      </c>
      <c r="K10" s="2"/>
      <c r="L10" s="2" t="n">
        <v>10</v>
      </c>
      <c r="M10" s="1" t="n">
        <v>9.22</v>
      </c>
      <c r="N10" s="4" t="n">
        <f aca="false">ROUND(AVERAGE(C10,D10,F10,H10,J10,L10,M9),0)</f>
        <v>9</v>
      </c>
      <c r="O10" s="4" t="str">
        <f aca="false">IF(N10&gt;6,"TEA",IF(N10&gt;3,"TEP","TED"))</f>
        <v>TEA</v>
      </c>
      <c r="S10" s="1" t="n">
        <v>9</v>
      </c>
      <c r="T10" s="1" t="n">
        <v>4</v>
      </c>
      <c r="V10" s="1" t="n">
        <v>10</v>
      </c>
    </row>
    <row r="11" s="1" customFormat="true" ht="15" hidden="false" customHeight="false" outlineLevel="0" collapsed="false">
      <c r="A11" s="1" t="n">
        <v>9</v>
      </c>
      <c r="B11" s="2" t="s">
        <v>41</v>
      </c>
      <c r="C11" s="4" t="n">
        <v>10</v>
      </c>
      <c r="D11" s="4" t="n">
        <v>9</v>
      </c>
      <c r="E11" s="4"/>
      <c r="F11" s="4" t="n">
        <v>9</v>
      </c>
      <c r="G11" s="4"/>
      <c r="H11" s="4" t="n">
        <v>10</v>
      </c>
      <c r="I11" s="4"/>
      <c r="J11" s="4" t="n">
        <v>9</v>
      </c>
      <c r="K11" s="4"/>
      <c r="L11" s="4" t="n">
        <v>9</v>
      </c>
      <c r="M11" s="1" t="n">
        <v>9.02</v>
      </c>
      <c r="N11" s="4" t="n">
        <f aca="false">ROUND(AVERAGE(C11,D11,F11,H11,J11,L11,M10),0)</f>
        <v>9</v>
      </c>
      <c r="O11" s="4" t="str">
        <f aca="false">IF(N11&gt;6,"TEA",IF(N11&gt;3,"TEP","TED"))</f>
        <v>TEA</v>
      </c>
      <c r="S11" s="1" t="n">
        <v>10</v>
      </c>
      <c r="T11" s="1" t="n">
        <v>10</v>
      </c>
      <c r="U11" s="1" t="n">
        <v>8</v>
      </c>
      <c r="V11" s="1" t="n">
        <v>7</v>
      </c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</row>
    <row r="12" s="2" customFormat="true" ht="15" hidden="false" customHeight="false" outlineLevel="0" collapsed="false">
      <c r="A12" s="1" t="n">
        <v>10</v>
      </c>
      <c r="B12" s="2" t="s">
        <v>44</v>
      </c>
      <c r="C12" s="2" t="n">
        <v>10</v>
      </c>
      <c r="D12" s="4" t="n">
        <v>10</v>
      </c>
      <c r="F12" s="4" t="n">
        <v>9</v>
      </c>
      <c r="G12" s="4"/>
      <c r="H12" s="2" t="n">
        <v>10</v>
      </c>
      <c r="J12" s="4" t="n">
        <v>8</v>
      </c>
      <c r="K12" s="4"/>
      <c r="L12" s="4" t="n">
        <v>10</v>
      </c>
      <c r="M12" s="1" t="n">
        <v>9.22</v>
      </c>
      <c r="N12" s="4" t="n">
        <f aca="false">ROUND(AVERAGE(C12,D12,F12,H12,J12,L12,M11),0)</f>
        <v>9</v>
      </c>
      <c r="O12" s="4" t="str">
        <f aca="false">IF(N12&gt;6,"TEA",IF(N12&gt;3,"TEP","TED"))</f>
        <v>TEA</v>
      </c>
      <c r="P12" s="1"/>
      <c r="Q12" s="1" t="n">
        <v>1</v>
      </c>
      <c r="R12" s="1"/>
      <c r="S12" s="1" t="n">
        <v>1</v>
      </c>
      <c r="T12" s="1" t="n">
        <v>1</v>
      </c>
      <c r="V12" s="2" t="n">
        <v>2</v>
      </c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47</v>
      </c>
      <c r="C13" s="4" t="n">
        <v>10</v>
      </c>
      <c r="D13" s="4" t="n">
        <v>7</v>
      </c>
      <c r="E13" s="4"/>
      <c r="F13" s="4" t="n">
        <v>6</v>
      </c>
      <c r="G13" s="3" t="n">
        <v>46171</v>
      </c>
      <c r="H13" s="4" t="n">
        <v>9</v>
      </c>
      <c r="I13" s="4"/>
      <c r="J13" s="2" t="n">
        <v>10</v>
      </c>
      <c r="K13" s="2"/>
      <c r="L13" s="2" t="n">
        <v>9</v>
      </c>
      <c r="M13" s="1" t="n">
        <v>9.22</v>
      </c>
      <c r="N13" s="4" t="n">
        <f aca="false">ROUND(AVERAGE(C13,D13,F13,H13,J13,L13,M12),0)</f>
        <v>9</v>
      </c>
      <c r="O13" s="4" t="str">
        <f aca="false">IF(N13&gt;6,"TEA",IF(N13&gt;3,"TEP","TED"))</f>
        <v>TEA</v>
      </c>
      <c r="S13" s="1" t="n">
        <v>1</v>
      </c>
      <c r="T13" s="1" t="n">
        <v>10</v>
      </c>
      <c r="V13" s="1" t="n">
        <v>5</v>
      </c>
    </row>
    <row r="14" s="1" customFormat="true" ht="15" hidden="false" customHeight="false" outlineLevel="0" collapsed="false">
      <c r="A14" s="1" t="n">
        <v>12</v>
      </c>
      <c r="B14" s="2" t="s">
        <v>51</v>
      </c>
      <c r="C14" s="4" t="n">
        <v>10</v>
      </c>
      <c r="D14" s="4" t="n">
        <v>9</v>
      </c>
      <c r="E14" s="4"/>
      <c r="F14" s="4" t="n">
        <v>10</v>
      </c>
      <c r="G14" s="4"/>
      <c r="H14" s="2" t="n">
        <v>9</v>
      </c>
      <c r="I14" s="2"/>
      <c r="J14" s="4" t="n">
        <v>10</v>
      </c>
      <c r="K14" s="4"/>
      <c r="L14" s="4" t="n">
        <v>10</v>
      </c>
      <c r="M14" s="1" t="n">
        <v>9.12</v>
      </c>
      <c r="N14" s="4" t="n">
        <f aca="false">ROUND(AVERAGE(C14,D14,F14,H14,J14,L14,M13),0)</f>
        <v>10</v>
      </c>
      <c r="O14" s="4" t="str">
        <f aca="false">IF(N14&gt;6,"TEA",IF(N14&gt;3,"TEP","TED"))</f>
        <v>TEA</v>
      </c>
      <c r="S14" s="1" t="n">
        <v>9</v>
      </c>
      <c r="T14" s="1" t="n">
        <v>8</v>
      </c>
      <c r="V14" s="1" t="n">
        <v>7</v>
      </c>
    </row>
    <row r="15" s="2" customFormat="true" ht="15" hidden="false" customHeight="false" outlineLevel="0" collapsed="false">
      <c r="A15" s="1" t="n">
        <v>13</v>
      </c>
      <c r="B15" s="2" t="s">
        <v>54</v>
      </c>
      <c r="C15" s="2" t="n">
        <v>8</v>
      </c>
      <c r="D15" s="4" t="n">
        <v>10</v>
      </c>
      <c r="F15" s="4" t="n">
        <v>1</v>
      </c>
      <c r="G15" s="4"/>
      <c r="H15" s="2" t="n">
        <v>5</v>
      </c>
      <c r="J15" s="4" t="n">
        <v>8</v>
      </c>
      <c r="K15" s="4"/>
      <c r="L15" s="4" t="n">
        <v>10</v>
      </c>
      <c r="M15" s="1" t="n">
        <v>10</v>
      </c>
      <c r="N15" s="4" t="n">
        <f aca="false">ROUND(AVERAGE(C15,D15,F15,H15,J15,L15,M14),0)</f>
        <v>7</v>
      </c>
      <c r="O15" s="4" t="str">
        <f aca="false">IF(N15&gt;6,"TEA",IF(N15&gt;3,"TEP","TED"))</f>
        <v>TEA</v>
      </c>
      <c r="P15" s="1"/>
      <c r="Q15" s="1" t="n">
        <v>1</v>
      </c>
      <c r="R15" s="1"/>
      <c r="S15" s="1" t="n">
        <v>1</v>
      </c>
      <c r="T15" s="1" t="n">
        <v>3</v>
      </c>
      <c r="V15" s="2" t="n">
        <v>3</v>
      </c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57</v>
      </c>
      <c r="C16" s="4" t="n">
        <v>10</v>
      </c>
      <c r="D16" s="4" t="n">
        <v>5</v>
      </c>
      <c r="E16" s="4"/>
      <c r="F16" s="4" t="n">
        <v>6</v>
      </c>
      <c r="G16" s="4"/>
      <c r="H16" s="4" t="n">
        <v>8</v>
      </c>
      <c r="I16" s="4"/>
      <c r="J16" s="2" t="n">
        <v>10</v>
      </c>
      <c r="K16" s="2"/>
      <c r="L16" s="2" t="n">
        <v>10</v>
      </c>
      <c r="M16" s="1" t="n">
        <v>10</v>
      </c>
      <c r="N16" s="4" t="n">
        <f aca="false">ROUND(AVERAGE(C16,D16,F16,H16,J16,L16,M15),0)</f>
        <v>8</v>
      </c>
      <c r="O16" s="4" t="str">
        <f aca="false">IF(N16&gt;6,"TEA",IF(N16&gt;3,"TEP","TED"))</f>
        <v>TEA</v>
      </c>
      <c r="S16" s="1" t="n">
        <v>1</v>
      </c>
      <c r="T16" s="1" t="n">
        <v>8</v>
      </c>
      <c r="V16" s="1" t="n">
        <v>2</v>
      </c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</row>
    <row r="17" s="1" customFormat="true" ht="15" hidden="false" customHeight="false" outlineLevel="0" collapsed="false">
      <c r="A17" s="1" t="n">
        <v>15</v>
      </c>
      <c r="B17" s="2" t="s">
        <v>61</v>
      </c>
      <c r="C17" s="4" t="n">
        <v>10</v>
      </c>
      <c r="D17" s="4" t="n">
        <v>7</v>
      </c>
      <c r="E17" s="4"/>
      <c r="F17" s="4" t="n">
        <v>10</v>
      </c>
      <c r="G17" s="4"/>
      <c r="H17" s="4" t="n">
        <v>9</v>
      </c>
      <c r="I17" s="4"/>
      <c r="J17" s="2" t="n">
        <v>9</v>
      </c>
      <c r="K17" s="2"/>
      <c r="L17" s="2" t="n">
        <v>9</v>
      </c>
      <c r="M17" s="1" t="n">
        <v>9.22</v>
      </c>
      <c r="N17" s="4" t="n">
        <f aca="false">ROUND(AVERAGE(C17,D17,F17,H17,J17,L17,M16),0)</f>
        <v>9</v>
      </c>
      <c r="O17" s="4" t="str">
        <f aca="false">IF(N17&gt;6,"TEA",IF(N17&gt;3,"TEP","TED"))</f>
        <v>TEA</v>
      </c>
      <c r="Q17" s="1" t="n">
        <v>1</v>
      </c>
      <c r="S17" s="1" t="n">
        <v>8</v>
      </c>
      <c r="T17" s="1" t="n">
        <v>9</v>
      </c>
      <c r="V17" s="1" t="n">
        <v>1</v>
      </c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</row>
    <row r="18" s="2" customFormat="true" ht="15" hidden="false" customHeight="false" outlineLevel="0" collapsed="false">
      <c r="A18" s="1" t="n">
        <v>16</v>
      </c>
      <c r="B18" s="2" t="s">
        <v>64</v>
      </c>
      <c r="C18" s="2" t="n">
        <v>5</v>
      </c>
      <c r="D18" s="4" t="n">
        <v>8</v>
      </c>
      <c r="F18" s="4" t="n">
        <v>3</v>
      </c>
      <c r="G18" s="3" t="n">
        <v>46220</v>
      </c>
      <c r="H18" s="2" t="n">
        <v>8</v>
      </c>
      <c r="J18" s="4" t="n">
        <v>1</v>
      </c>
      <c r="K18" s="4"/>
      <c r="L18" s="4" t="n">
        <v>3</v>
      </c>
      <c r="M18" s="1" t="n">
        <v>1</v>
      </c>
      <c r="N18" s="4" t="n">
        <f aca="false">ROUND(AVERAGE(C18,D18,F18,H18,J18,L18,M17),0)</f>
        <v>5</v>
      </c>
      <c r="O18" s="4" t="str">
        <f aca="false">IF(N18&gt;6,"TEA",IF(N18&gt;3,"TEP","TED"))</f>
        <v>TEP</v>
      </c>
      <c r="P18" s="1"/>
      <c r="Q18" s="1" t="n">
        <v>1</v>
      </c>
      <c r="R18" s="1"/>
      <c r="S18" s="1" t="n">
        <v>1</v>
      </c>
      <c r="T18" s="1" t="n">
        <v>6</v>
      </c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2" t="s">
        <v>67</v>
      </c>
      <c r="C19" s="2" t="n">
        <v>7</v>
      </c>
      <c r="D19" s="4" t="n">
        <v>8</v>
      </c>
      <c r="F19" s="4" t="n">
        <v>9</v>
      </c>
      <c r="G19" s="4"/>
      <c r="H19" s="4" t="n">
        <v>7</v>
      </c>
      <c r="I19" s="4"/>
      <c r="J19" s="4" t="n">
        <v>10</v>
      </c>
      <c r="K19" s="4"/>
      <c r="L19" s="4" t="n">
        <v>6</v>
      </c>
      <c r="M19" s="1" t="n">
        <v>9.22</v>
      </c>
      <c r="N19" s="4" t="n">
        <f aca="false">ROUND(AVERAGE(C19,D19,F19,H19,J19,L19,M18),0)</f>
        <v>7</v>
      </c>
      <c r="O19" s="4" t="str">
        <f aca="false">IF(N19&gt;6,"TEA",IF(N19&gt;3,"TEP","TED"))</f>
        <v>TEA</v>
      </c>
      <c r="P19" s="1"/>
      <c r="Q19" s="1" t="n">
        <v>1</v>
      </c>
      <c r="R19" s="1"/>
      <c r="S19" s="1" t="n">
        <v>6</v>
      </c>
      <c r="T19" s="1" t="n">
        <v>8</v>
      </c>
      <c r="V19" s="2" t="n">
        <v>1</v>
      </c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71</v>
      </c>
      <c r="C20" s="4" t="n">
        <v>10</v>
      </c>
      <c r="D20" s="4" t="n">
        <v>8</v>
      </c>
      <c r="E20" s="4"/>
      <c r="F20" s="4" t="n">
        <v>1</v>
      </c>
      <c r="G20" s="4"/>
      <c r="H20" s="4" t="n">
        <v>9</v>
      </c>
      <c r="I20" s="4"/>
      <c r="J20" s="4" t="n">
        <v>9</v>
      </c>
      <c r="K20" s="4"/>
      <c r="L20" s="4" t="n">
        <v>8</v>
      </c>
      <c r="M20" s="1" t="n">
        <v>8.04</v>
      </c>
      <c r="N20" s="4" t="n">
        <f aca="false">ROUND(AVERAGE(C20,D20,F20,H20,J20,L20,M19),0)</f>
        <v>8</v>
      </c>
      <c r="O20" s="4" t="str">
        <f aca="false">IF(N20&gt;6,"TEA",IF(N20&gt;3,"TEP","TED"))</f>
        <v>TEA</v>
      </c>
      <c r="Q20" s="1" t="n">
        <v>1</v>
      </c>
      <c r="S20" s="1" t="n">
        <v>9</v>
      </c>
      <c r="T20" s="1" t="n">
        <v>6</v>
      </c>
      <c r="V20" s="1" t="n">
        <v>1</v>
      </c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</row>
    <row r="21" s="1" customFormat="true" ht="15" hidden="false" customHeight="false" outlineLevel="0" collapsed="false">
      <c r="A21" s="1" t="n">
        <v>19</v>
      </c>
      <c r="B21" s="2" t="s">
        <v>74</v>
      </c>
      <c r="C21" s="4" t="n">
        <v>10</v>
      </c>
      <c r="D21" s="4" t="n">
        <v>10</v>
      </c>
      <c r="E21" s="4"/>
      <c r="F21" s="4" t="n">
        <v>5</v>
      </c>
      <c r="G21" s="3" t="n">
        <v>46171</v>
      </c>
      <c r="H21" s="4" t="n">
        <v>8</v>
      </c>
      <c r="I21" s="4"/>
      <c r="J21" s="2" t="n">
        <v>9</v>
      </c>
      <c r="K21" s="2"/>
      <c r="L21" s="2" t="n">
        <v>9</v>
      </c>
      <c r="M21" s="1" t="n">
        <v>8.43</v>
      </c>
      <c r="N21" s="4" t="n">
        <f aca="false">ROUND(AVERAGE(C21,D21,F21,H21,J21,L21,M20),0)</f>
        <v>8</v>
      </c>
      <c r="O21" s="4" t="str">
        <f aca="false">IF(N21&gt;6,"TEA",IF(N21&gt;3,"TEP","TED"))</f>
        <v>TEA</v>
      </c>
      <c r="Q21" s="1" t="n">
        <v>1</v>
      </c>
      <c r="S21" s="1" t="n">
        <v>1</v>
      </c>
      <c r="T21" s="1" t="n">
        <v>1</v>
      </c>
      <c r="V21" s="1" t="n">
        <v>1</v>
      </c>
    </row>
    <row r="22" s="2" customFormat="true" ht="15" hidden="false" customHeight="false" outlineLevel="0" collapsed="false">
      <c r="A22" s="1" t="n">
        <v>20</v>
      </c>
      <c r="B22" s="2" t="s">
        <v>77</v>
      </c>
      <c r="C22" s="4" t="n">
        <v>10</v>
      </c>
      <c r="D22" s="4" t="n">
        <v>8</v>
      </c>
      <c r="E22" s="3" t="n">
        <v>46171</v>
      </c>
      <c r="F22" s="4" t="n">
        <v>10</v>
      </c>
      <c r="G22" s="4"/>
      <c r="H22" s="4" t="n">
        <v>9</v>
      </c>
      <c r="I22" s="4"/>
      <c r="J22" s="4" t="n">
        <v>9</v>
      </c>
      <c r="K22" s="4"/>
      <c r="L22" s="4" t="n">
        <v>9</v>
      </c>
      <c r="M22" s="1" t="n">
        <v>8.82</v>
      </c>
      <c r="N22" s="4" t="n">
        <f aca="false">ROUND(AVERAGE(C22,D22,F22,H22,J22,L22,M21),0)</f>
        <v>9</v>
      </c>
      <c r="O22" s="4" t="str">
        <f aca="false">IF(N22&gt;6,"TEA",IF(N22&gt;3,"TEP","TED"))</f>
        <v>TEA</v>
      </c>
      <c r="P22" s="1"/>
      <c r="Q22" s="1"/>
      <c r="R22" s="1"/>
      <c r="S22" s="1" t="n">
        <v>8</v>
      </c>
      <c r="T22" s="1" t="n">
        <v>6</v>
      </c>
      <c r="U22" s="1"/>
      <c r="V22" s="1" t="n">
        <v>9</v>
      </c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1" customFormat="true" ht="15" hidden="false" customHeight="false" outlineLevel="0" collapsed="false">
      <c r="A23" s="1" t="n">
        <v>21</v>
      </c>
      <c r="B23" s="2" t="s">
        <v>80</v>
      </c>
      <c r="C23" s="2" t="n">
        <v>5</v>
      </c>
      <c r="D23" s="4" t="n">
        <v>5</v>
      </c>
      <c r="E23" s="2"/>
      <c r="F23" s="4" t="n">
        <v>8</v>
      </c>
      <c r="G23" s="4"/>
      <c r="H23" s="4" t="n">
        <v>4</v>
      </c>
      <c r="I23" s="3" t="n">
        <v>46171</v>
      </c>
      <c r="J23" s="4" t="n">
        <v>8</v>
      </c>
      <c r="K23" s="4"/>
      <c r="L23" s="4" t="n">
        <v>10</v>
      </c>
      <c r="M23" s="1" t="n">
        <v>6.86</v>
      </c>
      <c r="N23" s="4" t="n">
        <f aca="false">ROUND(AVERAGE(C23,D23,F23,H23,J23,L23,M22),0)</f>
        <v>7</v>
      </c>
      <c r="O23" s="4" t="str">
        <f aca="false">IF(N23&gt;6,"TEA",IF(N23&gt;3,"TEP","TED"))</f>
        <v>TEA</v>
      </c>
      <c r="Q23" s="1" t="n">
        <v>1</v>
      </c>
      <c r="S23" s="1" t="n">
        <v>1</v>
      </c>
      <c r="T23" s="1" t="n">
        <v>7</v>
      </c>
      <c r="U23" s="2"/>
      <c r="V23" s="2" t="n">
        <v>5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</row>
  </sheetData>
  <conditionalFormatting sqref="N3:O23 C3:L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M3:M23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16384" min="16360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46097</v>
      </c>
      <c r="D1" s="3" t="n">
        <v>46108</v>
      </c>
      <c r="E1" s="3" t="n">
        <v>46111</v>
      </c>
      <c r="F1" s="3" t="n">
        <v>46118</v>
      </c>
      <c r="G1" s="3" t="n">
        <v>46122</v>
      </c>
      <c r="H1" s="3" t="n">
        <v>46125</v>
      </c>
      <c r="I1" s="3" t="n">
        <v>46129</v>
      </c>
      <c r="J1" s="3" t="n">
        <v>46132</v>
      </c>
      <c r="K1" s="3" t="n">
        <v>46136</v>
      </c>
      <c r="L1" s="3" t="n">
        <v>46139</v>
      </c>
      <c r="M1" s="3" t="n">
        <v>46146</v>
      </c>
      <c r="N1" s="3" t="n">
        <v>46150</v>
      </c>
      <c r="O1" s="3" t="n">
        <v>46157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</row>
    <row r="2" customFormat="false" ht="15" hidden="false" customHeight="false" outlineLevel="0" collapsed="false">
      <c r="A2" s="1" t="n">
        <v>1</v>
      </c>
      <c r="B2" s="2" t="s">
        <v>11</v>
      </c>
      <c r="C2" s="2" t="s">
        <v>103</v>
      </c>
      <c r="D2" s="2" t="s">
        <v>103</v>
      </c>
      <c r="E2" s="1" t="s">
        <v>103</v>
      </c>
      <c r="F2" s="2" t="s">
        <v>103</v>
      </c>
      <c r="G2" s="2" t="s">
        <v>103</v>
      </c>
      <c r="H2" s="2" t="s">
        <v>103</v>
      </c>
      <c r="I2" s="2" t="s">
        <v>103</v>
      </c>
      <c r="J2" s="2" t="s">
        <v>103</v>
      </c>
      <c r="K2" s="2" t="s">
        <v>103</v>
      </c>
      <c r="L2" s="2" t="s">
        <v>103</v>
      </c>
      <c r="M2" s="2" t="s">
        <v>103</v>
      </c>
      <c r="N2" s="2" t="s">
        <v>103</v>
      </c>
      <c r="O2" s="2" t="s">
        <v>103</v>
      </c>
    </row>
    <row r="3" customFormat="false" ht="15" hidden="false" customHeight="false" outlineLevel="0" collapsed="false">
      <c r="A3" s="1" t="n">
        <v>2</v>
      </c>
      <c r="B3" s="2" t="s">
        <v>16</v>
      </c>
      <c r="C3" s="1"/>
      <c r="E3" s="1"/>
      <c r="F3" s="2"/>
    </row>
    <row r="4" customFormat="false" ht="15" hidden="false" customHeight="false" outlineLevel="0" collapsed="false">
      <c r="A4" s="1" t="n">
        <v>3</v>
      </c>
      <c r="B4" s="2" t="s">
        <v>20</v>
      </c>
      <c r="F4" s="2"/>
    </row>
    <row r="5" customFormat="false" ht="15" hidden="false" customHeight="false" outlineLevel="0" collapsed="false">
      <c r="A5" s="1" t="n">
        <v>4</v>
      </c>
      <c r="B5" s="2" t="s">
        <v>23</v>
      </c>
      <c r="E5" s="1"/>
      <c r="F5" s="2"/>
    </row>
    <row r="6" customFormat="false" ht="15" hidden="false" customHeight="false" outlineLevel="0" collapsed="false">
      <c r="A6" s="1" t="n">
        <v>5</v>
      </c>
      <c r="B6" s="2" t="s">
        <v>26</v>
      </c>
      <c r="C6" s="1"/>
      <c r="F6" s="2"/>
    </row>
    <row r="7" customFormat="false" ht="15" hidden="false" customHeight="false" outlineLevel="0" collapsed="false">
      <c r="A7" s="1" t="n">
        <v>6</v>
      </c>
      <c r="B7" s="2" t="s">
        <v>31</v>
      </c>
      <c r="C7" s="1"/>
      <c r="F7" s="2"/>
    </row>
    <row r="8" customFormat="false" ht="15" hidden="false" customHeight="false" outlineLevel="0" collapsed="false">
      <c r="A8" s="1" t="n">
        <v>7</v>
      </c>
      <c r="B8" s="2" t="s">
        <v>34</v>
      </c>
      <c r="C8" s="1"/>
      <c r="F8" s="2"/>
    </row>
    <row r="9" customFormat="false" ht="15" hidden="false" customHeight="false" outlineLevel="0" collapsed="false">
      <c r="A9" s="1" t="n">
        <v>8</v>
      </c>
      <c r="B9" s="2" t="s">
        <v>37</v>
      </c>
      <c r="C9" s="1"/>
      <c r="E9" s="1"/>
      <c r="F9" s="2"/>
    </row>
    <row r="10" customFormat="false" ht="15" hidden="false" customHeight="false" outlineLevel="0" collapsed="false">
      <c r="A10" s="1" t="n">
        <v>9</v>
      </c>
      <c r="B10" s="2" t="s">
        <v>41</v>
      </c>
      <c r="F10" s="2"/>
    </row>
    <row r="11" customFormat="false" ht="15" hidden="false" customHeight="false" outlineLevel="0" collapsed="false">
      <c r="A11" s="1" t="n">
        <v>10</v>
      </c>
      <c r="B11" s="2" t="s">
        <v>44</v>
      </c>
      <c r="F11" s="2"/>
    </row>
    <row r="12" customFormat="false" ht="15" hidden="false" customHeight="false" outlineLevel="0" collapsed="false">
      <c r="A12" s="1" t="n">
        <v>11</v>
      </c>
      <c r="B12" s="2" t="s">
        <v>47</v>
      </c>
      <c r="C12" s="1"/>
      <c r="E12" s="1"/>
      <c r="F12" s="2"/>
    </row>
    <row r="13" customFormat="false" ht="15" hidden="false" customHeight="false" outlineLevel="0" collapsed="false">
      <c r="A13" s="1" t="n">
        <v>12</v>
      </c>
      <c r="B13" s="2" t="s">
        <v>51</v>
      </c>
      <c r="F13" s="2"/>
    </row>
    <row r="14" customFormat="false" ht="15" hidden="false" customHeight="false" outlineLevel="0" collapsed="false">
      <c r="A14" s="1" t="n">
        <v>13</v>
      </c>
      <c r="B14" s="2" t="s">
        <v>54</v>
      </c>
      <c r="C14" s="1"/>
      <c r="E14" s="1"/>
      <c r="F14" s="2"/>
    </row>
    <row r="15" customFormat="false" ht="15" hidden="false" customHeight="false" outlineLevel="0" collapsed="false">
      <c r="A15" s="1" t="n">
        <v>14</v>
      </c>
      <c r="B15" s="2" t="s">
        <v>57</v>
      </c>
      <c r="C15" s="1"/>
      <c r="E15" s="1"/>
      <c r="F15" s="2"/>
    </row>
    <row r="16" customFormat="false" ht="15" hidden="false" customHeight="false" outlineLevel="0" collapsed="false">
      <c r="A16" s="1" t="n">
        <v>15</v>
      </c>
      <c r="B16" s="2" t="s">
        <v>61</v>
      </c>
      <c r="C16" s="1"/>
      <c r="F16" s="2"/>
    </row>
    <row r="17" customFormat="false" ht="15" hidden="false" customHeight="false" outlineLevel="0" collapsed="false">
      <c r="A17" s="1" t="n">
        <v>16</v>
      </c>
      <c r="B17" s="2" t="s">
        <v>64</v>
      </c>
      <c r="F17" s="2"/>
    </row>
    <row r="18" customFormat="false" ht="15" hidden="false" customHeight="false" outlineLevel="0" collapsed="false">
      <c r="A18" s="1" t="n">
        <v>17</v>
      </c>
      <c r="B18" s="2" t="s">
        <v>67</v>
      </c>
      <c r="E18" s="1"/>
      <c r="F18" s="2"/>
    </row>
    <row r="19" customFormat="false" ht="15" hidden="false" customHeight="false" outlineLevel="0" collapsed="false">
      <c r="A19" s="1" t="n">
        <v>18</v>
      </c>
      <c r="B19" s="2" t="s">
        <v>71</v>
      </c>
      <c r="E19" s="1"/>
      <c r="F19" s="2"/>
    </row>
    <row r="20" customFormat="false" ht="15" hidden="false" customHeight="false" outlineLevel="0" collapsed="false">
      <c r="A20" s="1" t="n">
        <v>19</v>
      </c>
      <c r="B20" s="2" t="s">
        <v>74</v>
      </c>
      <c r="F20" s="2"/>
    </row>
    <row r="21" customFormat="false" ht="15" hidden="false" customHeight="false" outlineLevel="0" collapsed="false">
      <c r="A21" s="1" t="n">
        <v>20</v>
      </c>
      <c r="B21" s="2" t="s">
        <v>77</v>
      </c>
      <c r="E21" s="1"/>
      <c r="F21" s="2"/>
    </row>
    <row r="22" customFormat="false" ht="15" hidden="false" customHeight="false" outlineLevel="0" collapsed="false">
      <c r="A22" s="1" t="n">
        <v>21</v>
      </c>
      <c r="B22" s="2" t="s">
        <v>80</v>
      </c>
      <c r="E22" s="1"/>
      <c r="F22" s="2"/>
    </row>
    <row r="23" customFormat="false" ht="15" hidden="false" customHeight="false" outlineLevel="0" collapsed="false">
      <c r="A23" s="1" t="n">
        <v>22</v>
      </c>
      <c r="B23" s="2" t="s">
        <v>80</v>
      </c>
      <c r="F2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G45" activeCellId="0" sqref="G45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104</v>
      </c>
      <c r="E1" s="1" t="s">
        <v>105</v>
      </c>
      <c r="F1" s="1" t="s">
        <v>106</v>
      </c>
      <c r="G1" s="1" t="s">
        <v>107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6</v>
      </c>
      <c r="E3" s="1" t="n">
        <f aca="false">ROUND(AVERAGE(D3:D5),0)</f>
        <v>4</v>
      </c>
      <c r="F3" s="1" t="n">
        <v>3</v>
      </c>
      <c r="G3" s="1" t="n">
        <f aca="false">MAX(F3,E3)</f>
        <v>4</v>
      </c>
    </row>
    <row r="4" customFormat="false" ht="15" hidden="false" customHeight="false" outlineLevel="0" collapsed="false">
      <c r="C4" s="1" t="s">
        <v>16</v>
      </c>
      <c r="D4" s="1" t="n">
        <v>3</v>
      </c>
    </row>
    <row r="5" customFormat="false" ht="15" hidden="false" customHeight="false" outlineLevel="0" collapsed="false">
      <c r="C5" s="1" t="s">
        <v>16</v>
      </c>
      <c r="D5" s="1" t="n">
        <v>2</v>
      </c>
    </row>
    <row r="6" customFormat="false" ht="15" hidden="false" customHeight="false" outlineLevel="0" collapsed="false">
      <c r="A6" s="1" t="n">
        <v>3</v>
      </c>
      <c r="B6" s="2" t="s">
        <v>20</v>
      </c>
      <c r="C6" s="1" t="s">
        <v>20</v>
      </c>
      <c r="D6" s="1" t="n">
        <v>7</v>
      </c>
      <c r="E6" s="1" t="n">
        <f aca="false">ROUND(AVERAGE(D6:D8),0)</f>
        <v>4</v>
      </c>
      <c r="F6" s="1" t="n">
        <v>4</v>
      </c>
      <c r="G6" s="1" t="n">
        <f aca="false">MAX(F6,E6)</f>
        <v>4</v>
      </c>
    </row>
    <row r="7" customFormat="false" ht="15" hidden="false" customHeight="false" outlineLevel="0" collapsed="false">
      <c r="C7" s="1" t="s">
        <v>20</v>
      </c>
      <c r="D7" s="1" t="n">
        <v>4</v>
      </c>
    </row>
    <row r="8" customFormat="false" ht="15" hidden="false" customHeight="false" outlineLevel="0" collapsed="false">
      <c r="C8" s="1" t="s">
        <v>20</v>
      </c>
      <c r="D8" s="1" t="n">
        <v>2</v>
      </c>
    </row>
    <row r="9" customFormat="false" ht="15" hidden="false" customHeight="false" outlineLevel="0" collapsed="false">
      <c r="A9" s="1" t="n">
        <v>4</v>
      </c>
      <c r="B9" s="2" t="s">
        <v>23</v>
      </c>
      <c r="C9" s="1" t="s">
        <v>23</v>
      </c>
      <c r="D9" s="1" t="n">
        <v>9</v>
      </c>
      <c r="E9" s="1" t="n">
        <f aca="false">ROUND(AVERAGE(D9:D10),0)</f>
        <v>7</v>
      </c>
      <c r="F9" s="1" t="n">
        <v>5</v>
      </c>
      <c r="G9" s="1" t="n">
        <f aca="false">MAX(F9,E9)</f>
        <v>7</v>
      </c>
    </row>
    <row r="10" customFormat="false" ht="15" hidden="false" customHeight="false" outlineLevel="0" collapsed="false">
      <c r="C10" s="1" t="s">
        <v>23</v>
      </c>
      <c r="D10" s="1" t="n">
        <v>5</v>
      </c>
    </row>
    <row r="11" customFormat="false" ht="15" hidden="false" customHeight="false" outlineLevel="0" collapsed="false">
      <c r="A11" s="1" t="n">
        <v>5</v>
      </c>
      <c r="B11" s="2" t="s">
        <v>26</v>
      </c>
      <c r="C11" s="1" t="s">
        <v>26</v>
      </c>
      <c r="D11" s="1" t="n">
        <v>8</v>
      </c>
      <c r="G11" s="1" t="n">
        <v>8</v>
      </c>
    </row>
    <row r="12" customFormat="false" ht="15" hidden="false" customHeight="false" outlineLevel="0" collapsed="false">
      <c r="A12" s="1" t="n">
        <v>6</v>
      </c>
      <c r="B12" s="2" t="s">
        <v>31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7</v>
      </c>
      <c r="B13" s="2" t="s">
        <v>34</v>
      </c>
      <c r="C13" s="1" t="s">
        <v>34</v>
      </c>
      <c r="D13" s="1" t="n">
        <v>7</v>
      </c>
      <c r="E13" s="1" t="n">
        <f aca="false">ROUND(AVERAGE(D13:D15),0)</f>
        <v>6</v>
      </c>
      <c r="F13" s="1" t="n">
        <v>6</v>
      </c>
      <c r="G13" s="1" t="n">
        <f aca="false">MAX(F13,E13)</f>
        <v>6</v>
      </c>
    </row>
    <row r="14" customFormat="false" ht="15" hidden="false" customHeight="false" outlineLevel="0" collapsed="false">
      <c r="C14" s="1" t="s">
        <v>34</v>
      </c>
      <c r="D14" s="1" t="n">
        <v>6</v>
      </c>
    </row>
    <row r="15" customFormat="false" ht="15" hidden="false" customHeight="false" outlineLevel="0" collapsed="false">
      <c r="C15" s="1" t="s">
        <v>34</v>
      </c>
      <c r="D15" s="1" t="n">
        <v>5</v>
      </c>
    </row>
    <row r="16" customFormat="false" ht="15" hidden="false" customHeight="false" outlineLevel="0" collapsed="false">
      <c r="A16" s="1" t="n">
        <v>8</v>
      </c>
      <c r="B16" s="2" t="s">
        <v>37</v>
      </c>
      <c r="C16" s="1" t="s">
        <v>37</v>
      </c>
      <c r="D16" s="1" t="n">
        <v>10</v>
      </c>
      <c r="E16" s="1" t="n">
        <f aca="false">ROUND(AVERAGE(D16:D18),0)</f>
        <v>8</v>
      </c>
      <c r="F16" s="1" t="n">
        <v>7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37</v>
      </c>
      <c r="D17" s="1" t="n">
        <v>7</v>
      </c>
    </row>
    <row r="18" customFormat="false" ht="15" hidden="false" customHeight="false" outlineLevel="0" collapsed="false">
      <c r="C18" s="1" t="s">
        <v>37</v>
      </c>
      <c r="D18" s="1" t="n">
        <v>7</v>
      </c>
    </row>
    <row r="19" customFormat="false" ht="15" hidden="false" customHeight="false" outlineLevel="0" collapsed="false">
      <c r="A19" s="1" t="n">
        <v>9</v>
      </c>
      <c r="B19" s="2" t="s">
        <v>41</v>
      </c>
      <c r="C19" s="1" t="s">
        <v>41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10</v>
      </c>
      <c r="B20" s="2" t="s">
        <v>44</v>
      </c>
      <c r="C20" s="1" t="s">
        <v>44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11</v>
      </c>
      <c r="B21" s="2" t="s">
        <v>47</v>
      </c>
      <c r="C21" s="1" t="s">
        <v>47</v>
      </c>
      <c r="D21" s="1" t="n">
        <v>9</v>
      </c>
      <c r="E21" s="1" t="n">
        <f aca="false">ROUND(AVERAGE(D21:D24),0)</f>
        <v>7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47</v>
      </c>
      <c r="D22" s="1" t="n">
        <v>7</v>
      </c>
    </row>
    <row r="23" customFormat="false" ht="15" hidden="false" customHeight="false" outlineLevel="0" collapsed="false">
      <c r="C23" s="1" t="s">
        <v>47</v>
      </c>
      <c r="D23" s="1" t="n">
        <v>7</v>
      </c>
    </row>
    <row r="24" customFormat="false" ht="15" hidden="false" customHeight="false" outlineLevel="0" collapsed="false">
      <c r="C24" s="1" t="s">
        <v>47</v>
      </c>
      <c r="D24" s="1" t="n">
        <v>5</v>
      </c>
    </row>
    <row r="25" customFormat="false" ht="15" hidden="false" customHeight="false" outlineLevel="0" collapsed="false">
      <c r="A25" s="1" t="n">
        <v>12</v>
      </c>
      <c r="B25" s="2" t="s">
        <v>51</v>
      </c>
      <c r="C25" s="1" t="s">
        <v>51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13</v>
      </c>
      <c r="B26" s="2" t="s">
        <v>54</v>
      </c>
      <c r="C26" s="1" t="s">
        <v>54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14</v>
      </c>
      <c r="B27" s="2" t="s">
        <v>57</v>
      </c>
      <c r="C27" s="1" t="s">
        <v>57</v>
      </c>
      <c r="D27" s="1" t="n">
        <v>6</v>
      </c>
      <c r="E27" s="1" t="n">
        <f aca="false">ROUND(AVERAGE(D27:D30),0)</f>
        <v>4</v>
      </c>
      <c r="F27" s="1" t="n">
        <v>5</v>
      </c>
      <c r="G27" s="1" t="n">
        <f aca="false">MAX(F27,E27)</f>
        <v>5</v>
      </c>
    </row>
    <row r="28" customFormat="false" ht="15" hidden="false" customHeight="false" outlineLevel="0" collapsed="false">
      <c r="C28" s="1" t="s">
        <v>57</v>
      </c>
      <c r="D28" s="1" t="n">
        <v>5</v>
      </c>
    </row>
    <row r="29" customFormat="false" ht="15" hidden="false" customHeight="false" outlineLevel="0" collapsed="false">
      <c r="C29" s="1" t="s">
        <v>57</v>
      </c>
      <c r="D29" s="1" t="n">
        <v>3</v>
      </c>
    </row>
    <row r="30" customFormat="false" ht="15" hidden="false" customHeight="false" outlineLevel="0" collapsed="false">
      <c r="C30" s="1" t="s">
        <v>57</v>
      </c>
      <c r="D30" s="1" t="n">
        <v>2</v>
      </c>
    </row>
    <row r="31" customFormat="false" ht="15" hidden="false" customHeight="false" outlineLevel="0" collapsed="false">
      <c r="A31" s="1" t="n">
        <v>15</v>
      </c>
      <c r="B31" s="2" t="s">
        <v>61</v>
      </c>
      <c r="C31" s="1" t="s">
        <v>61</v>
      </c>
      <c r="D31" s="1" t="n">
        <v>9</v>
      </c>
      <c r="E31" s="1" t="n">
        <f aca="false">ROUND(AVERAGE(D31:D33),0)</f>
        <v>7</v>
      </c>
      <c r="F31" s="1" t="n">
        <v>7</v>
      </c>
      <c r="G31" s="1" t="n">
        <f aca="false">MAX(F31,E31)</f>
        <v>7</v>
      </c>
    </row>
    <row r="32" customFormat="false" ht="15" hidden="false" customHeight="false" outlineLevel="0" collapsed="false">
      <c r="C32" s="1" t="s">
        <v>61</v>
      </c>
      <c r="D32" s="1" t="n">
        <v>7</v>
      </c>
    </row>
    <row r="33" customFormat="false" ht="15" hidden="false" customHeight="false" outlineLevel="0" collapsed="false">
      <c r="C33" s="1" t="s">
        <v>61</v>
      </c>
      <c r="D33" s="1" t="n">
        <v>5</v>
      </c>
    </row>
    <row r="34" customFormat="false" ht="15" hidden="false" customHeight="false" outlineLevel="0" collapsed="false">
      <c r="A34" s="1" t="n">
        <v>16</v>
      </c>
      <c r="B34" s="2" t="s">
        <v>64</v>
      </c>
      <c r="C34" s="1" t="s">
        <v>64</v>
      </c>
      <c r="D34" s="1" t="n">
        <v>10</v>
      </c>
      <c r="E34" s="1" t="n">
        <f aca="false">ROUND(AVERAGE(D34:D36),0)</f>
        <v>8</v>
      </c>
      <c r="F34" s="1" t="n">
        <v>3</v>
      </c>
      <c r="G34" s="1" t="n">
        <f aca="false">MAX(F34,E34)</f>
        <v>8</v>
      </c>
    </row>
    <row r="35" customFormat="false" ht="15" hidden="false" customHeight="false" outlineLevel="0" collapsed="false">
      <c r="C35" s="1" t="s">
        <v>64</v>
      </c>
      <c r="D35" s="1" t="n">
        <v>10</v>
      </c>
    </row>
    <row r="36" customFormat="false" ht="15" hidden="false" customHeight="false" outlineLevel="0" collapsed="false">
      <c r="C36" s="1" t="s">
        <v>64</v>
      </c>
      <c r="D36" s="1" t="n">
        <v>3</v>
      </c>
    </row>
    <row r="37" customFormat="false" ht="15" hidden="false" customHeight="false" outlineLevel="0" collapsed="false">
      <c r="A37" s="1" t="n">
        <v>17</v>
      </c>
      <c r="B37" s="2" t="s">
        <v>67</v>
      </c>
      <c r="C37" s="1" t="s">
        <v>67</v>
      </c>
      <c r="D37" s="1" t="n">
        <v>9</v>
      </c>
      <c r="E37" s="1" t="n">
        <f aca="false">ROUND(AVERAGE(D37:D39),0)</f>
        <v>7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67</v>
      </c>
      <c r="D38" s="1" t="n">
        <v>8</v>
      </c>
    </row>
    <row r="39" customFormat="false" ht="15" hidden="false" customHeight="false" outlineLevel="0" collapsed="false">
      <c r="C39" s="1" t="s">
        <v>67</v>
      </c>
      <c r="D39" s="1" t="n">
        <v>3</v>
      </c>
    </row>
    <row r="40" customFormat="false" ht="15" hidden="false" customHeight="false" outlineLevel="0" collapsed="false">
      <c r="A40" s="1" t="n">
        <v>18</v>
      </c>
      <c r="B40" s="2" t="s">
        <v>71</v>
      </c>
      <c r="C40" s="1" t="s">
        <v>71</v>
      </c>
      <c r="D40" s="1" t="n">
        <v>8</v>
      </c>
      <c r="G40" s="1" t="n">
        <v>8</v>
      </c>
    </row>
    <row r="41" customFormat="false" ht="15" hidden="false" customHeight="false" outlineLevel="0" collapsed="false">
      <c r="A41" s="1" t="n">
        <v>19</v>
      </c>
      <c r="B41" s="2" t="s">
        <v>74</v>
      </c>
      <c r="C41" s="1" t="s">
        <v>74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1" t="n">
        <v>20</v>
      </c>
      <c r="B42" s="2" t="s">
        <v>77</v>
      </c>
      <c r="D42" s="1" t="n">
        <v>1</v>
      </c>
      <c r="G42" s="1" t="n">
        <v>1</v>
      </c>
    </row>
    <row r="43" customFormat="false" ht="15" hidden="false" customHeight="false" outlineLevel="0" collapsed="false">
      <c r="A43" s="1" t="n">
        <v>21</v>
      </c>
      <c r="B43" s="2" t="s">
        <v>80</v>
      </c>
      <c r="C43" s="1" t="s">
        <v>80</v>
      </c>
      <c r="D43" s="1" t="n">
        <v>9</v>
      </c>
      <c r="E43" s="1" t="n">
        <f aca="false">ROUND(AVERAGE(D43:D49),0)</f>
        <v>4</v>
      </c>
      <c r="F43" s="1" t="n">
        <v>5</v>
      </c>
      <c r="G43" s="1" t="n">
        <f aca="false">MAX(F43,E43)</f>
        <v>5</v>
      </c>
    </row>
    <row r="44" customFormat="false" ht="15" hidden="false" customHeight="false" outlineLevel="0" collapsed="false">
      <c r="C44" s="1" t="s">
        <v>80</v>
      </c>
      <c r="D44" s="1" t="n">
        <v>5</v>
      </c>
    </row>
    <row r="45" customFormat="false" ht="15" hidden="false" customHeight="false" outlineLevel="0" collapsed="false">
      <c r="C45" s="1" t="s">
        <v>80</v>
      </c>
      <c r="D45" s="1" t="n">
        <v>4</v>
      </c>
    </row>
    <row r="46" customFormat="false" ht="15" hidden="false" customHeight="false" outlineLevel="0" collapsed="false">
      <c r="C46" s="1" t="s">
        <v>80</v>
      </c>
      <c r="D46" s="1" t="n">
        <v>4</v>
      </c>
    </row>
    <row r="47" customFormat="false" ht="15" hidden="false" customHeight="false" outlineLevel="0" collapsed="false">
      <c r="C47" s="1" t="s">
        <v>80</v>
      </c>
      <c r="D47" s="1" t="n">
        <v>3</v>
      </c>
    </row>
    <row r="48" customFormat="false" ht="15" hidden="false" customHeight="false" outlineLevel="0" collapsed="false">
      <c r="C48" s="1" t="s">
        <v>80</v>
      </c>
      <c r="D48" s="1" t="n">
        <v>3</v>
      </c>
    </row>
    <row r="49" customFormat="false" ht="15" hidden="false" customHeight="false" outlineLevel="0" collapsed="false">
      <c r="C49" s="1" t="s">
        <v>80</v>
      </c>
      <c r="D49" s="1" t="n">
        <v>2</v>
      </c>
    </row>
    <row r="50" customFormat="false" ht="15" hidden="false" customHeight="false" outlineLevel="0" collapsed="false">
      <c r="F50" s="1" t="s">
        <v>8</v>
      </c>
      <c r="G50" s="1" t="n">
        <f aca="false">COUNTIF(G2:G48,"&gt;0")</f>
        <v>21</v>
      </c>
    </row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104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9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9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9</v>
      </c>
    </row>
    <row r="12" customFormat="false" ht="15" hidden="false" customHeight="false" outlineLevel="0" collapsed="false">
      <c r="A12" s="1" t="n">
        <v>11</v>
      </c>
      <c r="B12" s="2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6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10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9</v>
      </c>
    </row>
    <row r="19" customFormat="false" ht="15" hidden="false" customHeight="false" outlineLevel="0" collapsed="false">
      <c r="A19" s="1" t="n">
        <v>18</v>
      </c>
      <c r="B19" s="2" t="s">
        <v>71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74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10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n">
        <v>8</v>
      </c>
    </row>
    <row r="23" customFormat="false" ht="15" hidden="false" customHeight="false" outlineLevel="0" collapsed="false"/>
    <row r="24" customFormat="false" ht="15" hidden="false" customHeight="false" outlineLevel="0" collapsed="false">
      <c r="C24" s="1" t="s">
        <v>8</v>
      </c>
      <c r="D24" s="1" t="n">
        <f aca="false">COUNTIF(D2:D22,"&gt;0")</f>
        <v>21</v>
      </c>
    </row>
    <row r="2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104</v>
      </c>
      <c r="E1" s="1" t="s">
        <v>105</v>
      </c>
      <c r="F1" s="1" t="s">
        <v>106</v>
      </c>
      <c r="G1" s="1" t="s">
        <v>108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9</v>
      </c>
      <c r="G9" s="1" t="n">
        <v>9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10</v>
      </c>
      <c r="E12" s="1" t="n">
        <f aca="false">ROUND(AVERAGE(D12:D16),0)</f>
        <v>7</v>
      </c>
      <c r="F12" s="1" t="n">
        <v>9</v>
      </c>
      <c r="G12" s="1" t="n">
        <f aca="false">MAX(F12,E12)</f>
        <v>9</v>
      </c>
    </row>
    <row r="13" customFormat="false" ht="15" hidden="false" customHeight="false" outlineLevel="0" collapsed="false">
      <c r="C13" s="1" t="s">
        <v>47</v>
      </c>
      <c r="D13" s="1" t="n">
        <v>9</v>
      </c>
    </row>
    <row r="14" customFormat="false" ht="15" hidden="false" customHeight="false" outlineLevel="0" collapsed="false">
      <c r="C14" s="1" t="s">
        <v>47</v>
      </c>
      <c r="D14" s="1" t="n">
        <v>7</v>
      </c>
    </row>
    <row r="15" customFormat="false" ht="15" hidden="false" customHeight="false" outlineLevel="0" collapsed="false">
      <c r="C15" s="1" t="s">
        <v>47</v>
      </c>
      <c r="D15" s="1" t="n">
        <v>6</v>
      </c>
    </row>
    <row r="16" customFormat="false" ht="15" hidden="false" customHeight="false" outlineLevel="0" collapsed="false">
      <c r="C16" s="1" t="s">
        <v>47</v>
      </c>
      <c r="D16" s="1" t="n">
        <v>5</v>
      </c>
    </row>
    <row r="17" customFormat="false" ht="15" hidden="false" customHeight="false" outlineLevel="0" collapsed="false">
      <c r="A17" s="1" t="n">
        <v>12</v>
      </c>
      <c r="B17" s="2" t="s">
        <v>51</v>
      </c>
      <c r="C17" s="1" t="s">
        <v>51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13</v>
      </c>
      <c r="B18" s="2" t="s">
        <v>54</v>
      </c>
      <c r="C18" s="1" t="s">
        <v>54</v>
      </c>
      <c r="D18" s="1" t="n">
        <v>5</v>
      </c>
      <c r="E18" s="1" t="n">
        <f aca="false">ROUND(AVERAGE(D18:D19),0)</f>
        <v>5</v>
      </c>
      <c r="F18" s="1" t="n">
        <v>4</v>
      </c>
      <c r="G18" s="1" t="n">
        <f aca="false">MAX(F18,E18)</f>
        <v>5</v>
      </c>
    </row>
    <row r="19" customFormat="false" ht="15" hidden="false" customHeight="false" outlineLevel="0" collapsed="false">
      <c r="C19" s="1" t="s">
        <v>54</v>
      </c>
      <c r="D19" s="1" t="n">
        <v>4</v>
      </c>
    </row>
    <row r="20" customFormat="false" ht="15" hidden="false" customHeight="false" outlineLevel="0" collapsed="false">
      <c r="A20" s="1" t="n">
        <v>14</v>
      </c>
      <c r="B20" s="2" t="s">
        <v>57</v>
      </c>
      <c r="C20" s="1" t="s">
        <v>57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15</v>
      </c>
      <c r="B21" s="2" t="s">
        <v>61</v>
      </c>
      <c r="C21" s="1" t="s">
        <v>61</v>
      </c>
      <c r="D21" s="1" t="n">
        <v>9</v>
      </c>
      <c r="G21" s="1" t="n">
        <v>9</v>
      </c>
    </row>
    <row r="22" customFormat="false" ht="15" hidden="false" customHeight="false" outlineLevel="0" collapsed="false">
      <c r="A22" s="1" t="n">
        <v>16</v>
      </c>
      <c r="B22" s="2" t="s">
        <v>64</v>
      </c>
      <c r="C22" s="1" t="s">
        <v>71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17</v>
      </c>
      <c r="B23" s="2" t="s">
        <v>67</v>
      </c>
      <c r="C23" s="1" t="s">
        <v>74</v>
      </c>
      <c r="D23" s="1" t="n">
        <v>7</v>
      </c>
      <c r="G23" s="1" t="n">
        <v>7</v>
      </c>
    </row>
    <row r="24" customFormat="false" ht="15" hidden="false" customHeight="false" outlineLevel="0" collapsed="false">
      <c r="A24" s="1" t="n">
        <v>18</v>
      </c>
      <c r="B24" s="2" t="s">
        <v>71</v>
      </c>
      <c r="C24" s="1" t="s">
        <v>77</v>
      </c>
      <c r="D24" s="1" t="n">
        <v>9</v>
      </c>
      <c r="G24" s="1" t="n">
        <v>9</v>
      </c>
    </row>
    <row r="25" customFormat="false" ht="15" hidden="false" customHeight="false" outlineLevel="0" collapsed="false">
      <c r="A25" s="1" t="n">
        <v>19</v>
      </c>
      <c r="B25" s="2" t="s">
        <v>74</v>
      </c>
      <c r="C25" s="1" t="s">
        <v>80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1" t="n">
        <v>20</v>
      </c>
      <c r="B26" s="2" t="s">
        <v>77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21</v>
      </c>
      <c r="B27" s="2" t="s">
        <v>80</v>
      </c>
      <c r="D27" s="1" t="n">
        <v>1</v>
      </c>
      <c r="G27" s="1" t="n">
        <v>1</v>
      </c>
    </row>
    <row r="28" customFormat="false" ht="15" hidden="false" customHeight="false" outlineLevel="0" collapsed="false">
      <c r="F28" s="1" t="s">
        <v>8</v>
      </c>
      <c r="G28" s="1" t="n">
        <f aca="false">COUNTIF(G2:G27,"&gt;0")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104</v>
      </c>
      <c r="E1" s="1" t="s">
        <v>105</v>
      </c>
      <c r="F1" s="1" t="s">
        <v>106</v>
      </c>
      <c r="G1" s="1" t="s">
        <v>108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  <c r="E5" s="1" t="n">
        <f aca="false">ROUND(AVERAGE(D5:D7),0)</f>
        <v>10</v>
      </c>
      <c r="F5" s="1" t="n">
        <v>9</v>
      </c>
      <c r="G5" s="1" t="n">
        <f aca="false">MAX(F5,E5)</f>
        <v>10</v>
      </c>
    </row>
    <row r="6" customFormat="false" ht="15" hidden="false" customHeight="false" outlineLevel="0" collapsed="false">
      <c r="C6" s="1" t="s">
        <v>23</v>
      </c>
      <c r="D6" s="1" t="n">
        <v>10</v>
      </c>
    </row>
    <row r="7" customFormat="false" ht="15" hidden="false" customHeight="false" outlineLevel="0" collapsed="false">
      <c r="C7" s="1" t="s">
        <v>23</v>
      </c>
      <c r="D7" s="1" t="n">
        <v>9</v>
      </c>
    </row>
    <row r="8" customFormat="false" ht="15" hidden="false" customHeight="false" outlineLevel="0" collapsed="false">
      <c r="A8" s="1" t="n">
        <v>5</v>
      </c>
      <c r="B8" s="2" t="s">
        <v>26</v>
      </c>
      <c r="C8" s="1" t="s">
        <v>26</v>
      </c>
      <c r="D8" s="1" t="n">
        <v>10</v>
      </c>
      <c r="G8" s="1" t="n">
        <v>10</v>
      </c>
    </row>
    <row r="9" customFormat="false" ht="15" hidden="false" customHeight="false" outlineLevel="0" collapsed="false">
      <c r="A9" s="1" t="n">
        <v>6</v>
      </c>
      <c r="B9" s="2" t="s">
        <v>31</v>
      </c>
      <c r="C9" s="1" t="s">
        <v>31</v>
      </c>
      <c r="D9" s="1" t="n">
        <v>6</v>
      </c>
      <c r="G9" s="1" t="n">
        <v>6</v>
      </c>
    </row>
    <row r="10" customFormat="false" ht="15" hidden="false" customHeight="false" outlineLevel="0" collapsed="false">
      <c r="A10" s="1" t="n">
        <v>7</v>
      </c>
      <c r="B10" s="2" t="s">
        <v>34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2" t="s">
        <v>37</v>
      </c>
      <c r="C11" s="1" t="s">
        <v>37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41</v>
      </c>
      <c r="C12" s="1" t="s">
        <v>41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10</v>
      </c>
      <c r="B13" s="2" t="s">
        <v>44</v>
      </c>
      <c r="C13" s="1" t="s">
        <v>44</v>
      </c>
      <c r="D13" s="1" t="n">
        <v>8</v>
      </c>
      <c r="G13" s="1" t="n">
        <v>8</v>
      </c>
    </row>
    <row r="14" customFormat="false" ht="15" hidden="false" customHeight="false" outlineLevel="0" collapsed="false">
      <c r="A14" s="1" t="n">
        <v>11</v>
      </c>
      <c r="B14" s="2" t="s">
        <v>47</v>
      </c>
      <c r="C14" s="1" t="s">
        <v>47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12</v>
      </c>
      <c r="B15" s="2" t="s">
        <v>51</v>
      </c>
      <c r="C15" s="1" t="s">
        <v>51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13</v>
      </c>
      <c r="B16" s="2" t="s">
        <v>54</v>
      </c>
      <c r="C16" s="1" t="s">
        <v>54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14</v>
      </c>
      <c r="B17" s="2" t="s">
        <v>57</v>
      </c>
      <c r="C17" s="1" t="s">
        <v>57</v>
      </c>
      <c r="D17" s="1" t="n">
        <v>10</v>
      </c>
      <c r="G17" s="1" t="n">
        <v>10</v>
      </c>
    </row>
    <row r="18" customFormat="false" ht="15" hidden="false" customHeight="false" outlineLevel="0" collapsed="false">
      <c r="A18" s="1" t="n">
        <v>15</v>
      </c>
      <c r="B18" s="2" t="s">
        <v>61</v>
      </c>
      <c r="C18" s="1" t="s">
        <v>61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1" t="n">
        <v>16</v>
      </c>
      <c r="B19" s="2" t="s">
        <v>64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17</v>
      </c>
      <c r="B20" s="2" t="s">
        <v>67</v>
      </c>
      <c r="C20" s="1" t="s">
        <v>67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18</v>
      </c>
      <c r="B21" s="2" t="s">
        <v>71</v>
      </c>
      <c r="C21" s="1" t="s">
        <v>71</v>
      </c>
      <c r="D21" s="1" t="n">
        <v>9</v>
      </c>
      <c r="G21" s="1" t="n">
        <v>9</v>
      </c>
    </row>
    <row r="22" customFormat="false" ht="15" hidden="false" customHeight="false" outlineLevel="0" collapsed="false">
      <c r="A22" s="1" t="n">
        <v>19</v>
      </c>
      <c r="B22" s="2" t="s">
        <v>74</v>
      </c>
      <c r="C22" s="1" t="s">
        <v>74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20</v>
      </c>
      <c r="B23" s="2" t="s">
        <v>77</v>
      </c>
      <c r="C23" s="1" t="s">
        <v>77</v>
      </c>
      <c r="D23" s="1" t="n">
        <v>9</v>
      </c>
      <c r="G23" s="1" t="n">
        <v>9</v>
      </c>
    </row>
    <row r="24" customFormat="false" ht="15" hidden="false" customHeight="false" outlineLevel="0" collapsed="false">
      <c r="A24" s="1" t="n">
        <v>21</v>
      </c>
      <c r="B24" s="2" t="s">
        <v>80</v>
      </c>
      <c r="C24" s="1" t="s">
        <v>80</v>
      </c>
      <c r="D24" s="1" t="n">
        <v>8</v>
      </c>
      <c r="G24" s="1" t="n">
        <v>8</v>
      </c>
    </row>
    <row r="25" customFormat="false" ht="15" hidden="false" customHeight="false" outlineLevel="0" collapsed="false">
      <c r="F25" s="1" t="s">
        <v>8</v>
      </c>
      <c r="G25" s="1" t="n">
        <f aca="false">COUNTIF(G2:G24,"&gt;0")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3" min="3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104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9.02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9.22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9.22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9.22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8.04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9.22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9.02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9.22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9.22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9.12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10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9.22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9.22</v>
      </c>
    </row>
    <row r="19" customFormat="false" ht="15" hidden="false" customHeight="false" outlineLevel="0" collapsed="false">
      <c r="A19" s="1" t="n">
        <v>18</v>
      </c>
      <c r="B19" s="2" t="s">
        <v>71</v>
      </c>
      <c r="C19" s="1" t="s">
        <v>71</v>
      </c>
      <c r="D19" s="1" t="n">
        <v>8.04</v>
      </c>
    </row>
    <row r="20" customFormat="false" ht="15" hidden="false" customHeight="false" outlineLevel="0" collapsed="false">
      <c r="A20" s="1" t="n">
        <v>19</v>
      </c>
      <c r="B20" s="2" t="s">
        <v>74</v>
      </c>
      <c r="C20" s="1" t="s">
        <v>74</v>
      </c>
      <c r="D20" s="1" t="n">
        <v>8.43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8.82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n">
        <v>6.86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104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5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5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5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9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10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9</v>
      </c>
    </row>
    <row r="14" customFormat="false" ht="15" hidden="false" customHeight="false" outlineLevel="0" collapsed="false">
      <c r="A14" s="1" t="n">
        <v>13</v>
      </c>
      <c r="B14" s="2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8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6</v>
      </c>
    </row>
    <row r="19" customFormat="false" ht="15" hidden="false" customHeight="false" outlineLevel="0" collapsed="false">
      <c r="A19" s="1" t="n">
        <v>18</v>
      </c>
      <c r="B19" s="2" t="s">
        <v>71</v>
      </c>
      <c r="C19" s="1" t="s">
        <v>71</v>
      </c>
      <c r="D19" s="1" t="n">
        <v>9</v>
      </c>
    </row>
    <row r="20" customFormat="false" ht="15" hidden="false" customHeight="false" outlineLevel="0" collapsed="false">
      <c r="A20" s="1" t="n">
        <v>19</v>
      </c>
      <c r="B20" s="2" t="s">
        <v>74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8</v>
      </c>
    </row>
    <row r="22" customFormat="false" ht="15" hidden="false" customHeight="false" outlineLevel="0" collapsed="false">
      <c r="A22" s="1" t="n">
        <v>21</v>
      </c>
      <c r="B22" s="2" t="s">
        <v>80</v>
      </c>
      <c r="D22" s="1" t="n">
        <v>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104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7</v>
      </c>
    </row>
    <row r="4" customFormat="false" ht="15" hidden="false" customHeight="false" outlineLevel="0" collapsed="false">
      <c r="A4" s="1" t="n">
        <v>3</v>
      </c>
      <c r="B4" s="2" t="s">
        <v>20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4</v>
      </c>
    </row>
    <row r="6" customFormat="false" ht="15" hidden="false" customHeight="false" outlineLevel="0" collapsed="false">
      <c r="A6" s="1" t="n">
        <v>5</v>
      </c>
      <c r="B6" s="2" t="s">
        <v>26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7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4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10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8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3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8</v>
      </c>
    </row>
    <row r="16" customFormat="false" ht="15" hidden="false" customHeight="false" outlineLevel="0" collapsed="false">
      <c r="A16" s="1" t="n">
        <v>15</v>
      </c>
      <c r="B16" s="2" t="s">
        <v>61</v>
      </c>
      <c r="C16" s="1" t="s">
        <v>61</v>
      </c>
      <c r="D16" s="1" t="n">
        <v>9</v>
      </c>
    </row>
    <row r="17" customFormat="false" ht="15" hidden="false" customHeight="false" outlineLevel="0" collapsed="false">
      <c r="A17" s="1" t="n">
        <v>16</v>
      </c>
      <c r="B17" s="2" t="s">
        <v>64</v>
      </c>
      <c r="C17" s="1" t="s">
        <v>64</v>
      </c>
      <c r="D17" s="1" t="n">
        <v>6</v>
      </c>
    </row>
    <row r="18" customFormat="false" ht="15" hidden="false" customHeight="false" outlineLevel="0" collapsed="false">
      <c r="A18" s="1" t="n">
        <v>17</v>
      </c>
      <c r="B18" s="2" t="s">
        <v>67</v>
      </c>
      <c r="C18" s="1" t="s">
        <v>67</v>
      </c>
      <c r="D18" s="1" t="n">
        <v>8</v>
      </c>
    </row>
    <row r="19" customFormat="false" ht="15" hidden="false" customHeight="false" outlineLevel="0" collapsed="false">
      <c r="A19" s="1" t="n">
        <v>18</v>
      </c>
      <c r="B19" s="2" t="s">
        <v>71</v>
      </c>
      <c r="C19" s="1" t="s">
        <v>71</v>
      </c>
      <c r="D19" s="1" t="n">
        <v>6</v>
      </c>
    </row>
    <row r="20" customFormat="false" ht="15" hidden="false" customHeight="false" outlineLevel="0" collapsed="false">
      <c r="A20" s="1" t="n">
        <v>19</v>
      </c>
      <c r="B20" s="2" t="s">
        <v>74</v>
      </c>
      <c r="C20" s="1" t="s">
        <v>74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6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s">
        <v>80</v>
      </c>
      <c r="D22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2026-10-02T21:21:08Z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