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tp0-cues" sheetId="4" state="visible" r:id="rId6"/>
    <sheet name="tp1-cuestionario" sheetId="5" state="visible" r:id="rId7"/>
    <sheet name="tp2-cuestionario" sheetId="6" state="visible" r:id="rId8"/>
    <sheet name="Resistencia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<sst xmlns="http://schemas.openxmlformats.org/spreadsheetml/2006/main" count="852" uniqueCount="137">
  <si>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</si>
  <si>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</si>
  <si>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</si>
  <si>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</si>
  <si>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</si>
  <si>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</si>
  <si>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</si>
  <si>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</si>
  <si>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ausente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</si>
  <si>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</si>
  <si>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</si>
  <si>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</si>
  <si>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</si>
  <si>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</si>
  <si>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</si>
  <si>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Intensifica Matematica 16:40</t>
  </si>
  <si>
    <t xml:space="preserve">A</t>
  </si>
  <si>
    <t xml:space="preserve">T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</si>
  <si>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</si>
  <si>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</si>
  <si>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</si>
  <si>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</si>
  <si>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</si>
  <si>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</si>
  <si>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x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</si>
  <si>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</si>
  <si>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</si>
  <si>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</si>
  <si>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</si>
  <si>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</si>
  <si>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</si>
  <si>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</si>
  <si>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</si>
  <si>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</si>
  <si>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gastroenteritis</t>
  </si>
  <si>
    <t xml:space="preserve">Mateo Ignacio</t>
  </si>
  <si>
    <t xml:space="preserve">BRUNO</t>
  </si>
  <si>
    <t xml:space="preserve">mateoibruno5@gmail.com</t>
  </si>
  <si>
    <t xml:space="preserve">p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</si>
  <si>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</si>
  <si>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</si>
  <si>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</si>
  <si>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</si>
  <si>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</si>
  <si>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</si>
  <si>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</si>
  <si>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</si>
  <si>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</si>
  <si>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Recursa 15:40</t>
  </si>
  <si>
    <t xml:space="preserve">Recursan 15:40</t>
  </si>
  <si>
    <t xml:space="preserve">recursando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</si>
  <si>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</si>
  <si>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</si>
  <si>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</si>
  <si>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</si>
  <si>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</si>
  <si>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</si>
  <si>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</si>
  <si>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</si>
  <si>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</si>
  <si>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Recursando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</si>
  <si>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</si>
  <si>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</si>
  <si>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</si>
  <si>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</si>
  <si>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</si>
  <si>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</si>
  <si>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</si>
  <si>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</si>
  <si>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</si>
  <si>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</si>
  <si>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</si>
  <si>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</si>
  <si>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</si>
  <si>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</si>
  <si>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</si>
  <si>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</si>
  <si>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</si>
  <si>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</si>
  <si>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</si>
  <si>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</si>
  <si>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</si>
  <si>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</si>
  <si>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</si>
  <si>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</si>
  <si>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</si>
  <si>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^</t>
  </si>
  <si>
    <t xml:space="preserve">resta</t>
  </si>
  <si>
    <t xml:space="preserve">Resta</t>
  </si>
  <si>
    <t xml:space="preserve">Grupos </t>
  </si>
  <si>
    <t xml:space="preserve">Pregunta 2</t>
  </si>
  <si>
    <t xml:space="preserve">Preg 3</t>
  </si>
  <si>
    <t xml:space="preserve">parte2- preg 1</t>
  </si>
  <si>
    <t xml:space="preserve">Parte 2- preg 2</t>
  </si>
  <si>
    <t xml:space="preserve">Parte 3</t>
  </si>
  <si>
    <t xml:space="preserve">Asistencia</t>
  </si>
  <si>
    <t xml:space="preserve">0-Tp alarmas</t>
  </si>
  <si>
    <t xml:space="preserve">tp0-cuetionario</t>
  </si>
  <si>
    <t xml:space="preserve">tp0-nota</t>
  </si>
  <si>
    <t xml:space="preserve">1-tp Seguridad en inst</t>
  </si>
  <si>
    <t xml:space="preserve">tp1-cuetionario</t>
  </si>
  <si>
    <t xml:space="preserve">Tp1-nota</t>
  </si>
  <si>
    <t xml:space="preserve">2-tp Variacion de R con T</t>
  </si>
  <si>
    <t xml:space="preserve">Tp2-cestionarios</t>
  </si>
  <si>
    <t xml:space="preserve">Tp2-nota</t>
  </si>
  <si>
    <t xml:space="preserve">Resistencia</t>
  </si>
  <si>
    <t xml:space="preserve">Valoracion media</t>
  </si>
  <si>
    <t xml:space="preserve">3-tp- termocuplas</t>
  </si>
  <si>
    <t xml:space="preserve">Proy 1- Cto Resonante</t>
  </si>
  <si>
    <t xml:space="preserve">Preg 1</t>
  </si>
  <si>
    <t xml:space="preserve">Preg 2</t>
  </si>
  <si>
    <t xml:space="preserve">tp4-operacionales</t>
  </si>
  <si>
    <t xml:space="preserve">informe</t>
  </si>
  <si>
    <t xml:space="preserve">circuito tp4</t>
  </si>
  <si>
    <t xml:space="preserve">probado</t>
  </si>
  <si>
    <t xml:space="preserve">nota tp4</t>
  </si>
  <si>
    <t xml:space="preserve">circuito tp 5</t>
  </si>
  <si>
    <t xml:space="preserve">Probado tp5</t>
  </si>
  <si>
    <t xml:space="preserve">nota tp5</t>
  </si>
  <si>
    <t xml:space="preserve">mal</t>
  </si>
  <si>
    <t xml:space="preserve">El infome esta muy bueno, filtro pasa banda</t>
  </si>
  <si>
    <t xml:space="preserve">Dimeo (recursante)</t>
  </si>
  <si>
    <t xml:space="preserve">no</t>
  </si>
  <si>
    <t xml:space="preserve">hacer informe y circuito de prueba,  filtro pasa altos</t>
  </si>
  <si>
    <t xml:space="preserve">bien</t>
  </si>
  <si>
    <t xml:space="preserve">protoboar, falta informe y ciruito, filtro pasa bajos</t>
  </si>
  <si>
    <t xml:space="preserve">tenemos informe y circuito, derivador</t>
  </si>
  <si>
    <t xml:space="preserve">no sba</t>
  </si>
  <si>
    <t xml:space="preserve">frecuencia de resonancia</t>
  </si>
  <si>
    <t xml:space="preserve">procedimiento Fcia de rsonancia</t>
  </si>
  <si>
    <t xml:space="preserve">distraida</t>
  </si>
  <si>
    <t xml:space="preserve">no sabe</t>
  </si>
  <si>
    <t xml:space="preserve">positivos</t>
  </si>
  <si>
    <t xml:space="preserve">RODRIGUEZ MIÑO</t>
  </si>
  <si>
    <t xml:space="preserve">Calificación/10,00</t>
  </si>
  <si>
    <t xml:space="preserve">restar</t>
  </si>
  <si>
    <t xml:space="preserve">Calificación/5,00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</si>
</sst>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YN27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AS25" activeCellId="0" sqref="AS25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6" min="6" style="1" width="8.75"/>
    <col collapsed="false" customWidth="true" hidden="true" outlineLevel="0" max="7" min="7" style="1" width="12.84"/>
    <col collapsed="false" customWidth="false" hidden="true" outlineLevel="0" max="9" min="8" style="1" width="8.75"/>
    <col collapsed="false" customWidth="true" hidden="true" outlineLevel="0" max="10" min="10" style="1" width="25.03"/>
    <col collapsed="false" customWidth="false" hidden="true" outlineLevel="0" max="11" min="11" style="1" width="8.75"/>
    <col collapsed="false" customWidth="true" hidden="true" outlineLevel="0" max="12" min="12" style="1" width="10.43"/>
    <col collapsed="false" customWidth="false" hidden="true" outlineLevel="0" max="13" min="13" style="1" width="8.75"/>
    <col collapsed="false" customWidth="true" hidden="true" outlineLevel="0" max="14" min="14" style="1" width="10.43"/>
    <col collapsed="false" customWidth="false" hidden="true" outlineLevel="0" max="25" min="15" style="1" width="8.75"/>
    <col collapsed="false" customWidth="false" hidden="true" outlineLevel="0" max="34" min="27" style="1" width="8.75"/>
    <col collapsed="false" customWidth="true" hidden="false" outlineLevel="0" max="16384" min="16207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46091</v>
      </c>
      <c r="F2" s="3" t="n">
        <v>46098</v>
      </c>
      <c r="G2" s="3" t="s">
        <v>4</v>
      </c>
      <c r="H2" s="3" t="n">
        <v>46105</v>
      </c>
      <c r="I2" s="3" t="n">
        <v>46112</v>
      </c>
      <c r="J2" s="3" t="s">
        <v>4</v>
      </c>
      <c r="K2" s="3" t="n">
        <v>46119</v>
      </c>
      <c r="L2" s="3" t="s">
        <v>4</v>
      </c>
      <c r="M2" s="3" t="n">
        <v>46126</v>
      </c>
      <c r="N2" s="3" t="s">
        <v>4</v>
      </c>
      <c r="O2" s="3" t="n">
        <v>46133</v>
      </c>
      <c r="P2" s="3" t="s">
        <v>4</v>
      </c>
      <c r="Q2" s="3" t="n">
        <v>46140</v>
      </c>
      <c r="R2" s="3" t="s">
        <v>4</v>
      </c>
      <c r="S2" s="3" t="n">
        <v>46147</v>
      </c>
      <c r="T2" s="3" t="s">
        <v>4</v>
      </c>
      <c r="U2" s="3" t="n">
        <v>46154</v>
      </c>
      <c r="V2" s="3" t="n">
        <v>46175</v>
      </c>
      <c r="W2" s="3" t="s">
        <v>5</v>
      </c>
      <c r="X2" s="3" t="s">
        <v>6</v>
      </c>
      <c r="Y2" s="3" t="s">
        <v>7</v>
      </c>
      <c r="Z2" s="3" t="s">
        <v>8</v>
      </c>
      <c r="AA2" s="3" t="s">
        <v>9</v>
      </c>
      <c r="AB2" s="3" t="s">
        <v>10</v>
      </c>
      <c r="AC2" s="3" t="s">
        <v>4</v>
      </c>
      <c r="AD2" s="3" t="n">
        <v>46168</v>
      </c>
      <c r="AE2" s="3" t="s">
        <v>4</v>
      </c>
      <c r="AF2" s="3" t="n">
        <v>46175</v>
      </c>
      <c r="AG2" s="3" t="s">
        <v>4</v>
      </c>
      <c r="AH2" s="3" t="n">
        <v>46189</v>
      </c>
      <c r="AI2" s="3" t="n">
        <v>46196</v>
      </c>
      <c r="AJ2" s="3" t="n">
        <v>46217</v>
      </c>
      <c r="AK2" s="3" t="n">
        <v>46217</v>
      </c>
      <c r="AL2" s="3" t="n">
        <v>46259</v>
      </c>
      <c r="AM2" s="3" t="n">
        <v>46266</v>
      </c>
      <c r="AN2" s="3" t="n">
        <v>46273</v>
      </c>
      <c r="AO2" s="3" t="n">
        <v>46280</v>
      </c>
      <c r="AP2" s="3" t="s">
        <v>4</v>
      </c>
      <c r="AQ2" s="3" t="n">
        <v>46287</v>
      </c>
      <c r="AR2" s="3" t="n">
        <v>46294</v>
      </c>
      <c r="AS2" s="3" t="n">
        <v>46301</v>
      </c>
      <c r="AT2" s="3" t="n">
        <v>46308</v>
      </c>
      <c r="AU2" s="3" t="n">
        <v>46315</v>
      </c>
      <c r="AV2" s="3" t="n">
        <v>46322</v>
      </c>
      <c r="AW2" s="3" t="n">
        <v>46329</v>
      </c>
      <c r="AX2" s="3" t="n">
        <v>46336</v>
      </c>
      <c r="AY2" s="3" t="n">
        <v>46343</v>
      </c>
      <c r="AZ2" s="3" t="n">
        <v>46350</v>
      </c>
      <c r="BA2" s="3" t="n">
        <v>46357</v>
      </c>
      <c r="BB2" s="3" t="n">
        <v>46364</v>
      </c>
      <c r="BC2" s="3" t="n">
        <v>46371</v>
      </c>
      <c r="BD2" s="3" t="n">
        <v>46378</v>
      </c>
      <c r="BE2" s="3" t="n">
        <v>46385</v>
      </c>
    </row>
    <row r="3" customFormat="false" ht="15" hidden="fals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F3" s="2" t="s">
        <v>14</v>
      </c>
      <c r="I3" s="2" t="s">
        <v>14</v>
      </c>
      <c r="J3" s="2" t="s">
        <v>15</v>
      </c>
      <c r="K3" s="2" t="s">
        <v>16</v>
      </c>
      <c r="M3" s="2" t="s">
        <v>14</v>
      </c>
      <c r="O3" s="2" t="s">
        <v>14</v>
      </c>
      <c r="Q3" s="2" t="s">
        <v>14</v>
      </c>
      <c r="R3" s="2"/>
      <c r="S3" s="2" t="s">
        <v>14</v>
      </c>
      <c r="U3" s="2" t="s">
        <v>14</v>
      </c>
      <c r="V3" s="2" t="s">
        <v>14</v>
      </c>
      <c r="W3" s="2" t="n">
        <f aca="false">COUNTIF(E3:V3,"P")</f>
        <v>9</v>
      </c>
      <c r="X3" s="2" t="n">
        <f aca="false">COUNTIF(E3:V3,"M")</f>
        <v>0</v>
      </c>
      <c r="Y3" s="2" t="n">
        <f aca="false">COUNTIF(E3:W3,"T")</f>
        <v>0</v>
      </c>
      <c r="Z3" s="2" t="n">
        <f aca="false">COUNTIF(E3:V3,"A")</f>
        <v>1</v>
      </c>
      <c r="AA3" s="2" t="n">
        <f aca="false">SUM(W3:Z3)</f>
        <v>10</v>
      </c>
      <c r="AB3" s="4" t="n">
        <f aca="false">(W3+X3/2+Y3/4)*10/AA3</f>
        <v>9</v>
      </c>
      <c r="AD3" s="2" t="s">
        <v>14</v>
      </c>
      <c r="AF3" s="2" t="s">
        <v>17</v>
      </c>
      <c r="AG3" s="5" t="n">
        <v>0.680555555555556</v>
      </c>
      <c r="AH3" s="2" t="s">
        <v>14</v>
      </c>
      <c r="AI3" s="2" t="s">
        <v>14</v>
      </c>
      <c r="AJ3" s="2" t="s">
        <v>14</v>
      </c>
      <c r="AK3" s="2" t="s">
        <v>14</v>
      </c>
      <c r="AL3" s="2" t="s">
        <v>16</v>
      </c>
      <c r="AM3" s="2" t="s">
        <v>14</v>
      </c>
      <c r="AN3" s="2" t="s">
        <v>14</v>
      </c>
      <c r="AO3" s="2" t="s">
        <v>14</v>
      </c>
      <c r="AQ3" s="2" t="s">
        <v>14</v>
      </c>
      <c r="AR3" s="2" t="s">
        <v>16</v>
      </c>
      <c r="AS3" s="6" t="s">
        <v>14</v>
      </c>
    </row>
    <row r="4" customFormat="false" ht="15" hidden="false" customHeight="false" outlineLevel="0" collapsed="false">
      <c r="A4" s="1" t="n">
        <v>2</v>
      </c>
      <c r="B4" s="2" t="s">
        <v>18</v>
      </c>
      <c r="C4" s="2" t="s">
        <v>19</v>
      </c>
      <c r="D4" s="2" t="s">
        <v>20</v>
      </c>
      <c r="E4" s="1" t="s">
        <v>14</v>
      </c>
      <c r="F4" s="2" t="s">
        <v>16</v>
      </c>
      <c r="I4" s="2" t="s">
        <v>14</v>
      </c>
      <c r="J4" s="2" t="s">
        <v>15</v>
      </c>
      <c r="K4" s="2" t="s">
        <v>14</v>
      </c>
      <c r="M4" s="2" t="s">
        <v>14</v>
      </c>
      <c r="O4" s="2" t="s">
        <v>14</v>
      </c>
      <c r="Q4" s="2" t="s">
        <v>14</v>
      </c>
      <c r="R4" s="2"/>
      <c r="S4" s="2" t="s">
        <v>14</v>
      </c>
      <c r="U4" s="2" t="s">
        <v>14</v>
      </c>
      <c r="V4" s="2" t="s">
        <v>14</v>
      </c>
      <c r="W4" s="2" t="n">
        <f aca="false">COUNTIF(E4:V4,"P")</f>
        <v>9</v>
      </c>
      <c r="X4" s="2" t="n">
        <f aca="false">COUNTIF(E4:V4,"M")</f>
        <v>0</v>
      </c>
      <c r="Y4" s="2" t="n">
        <f aca="false">COUNTIF(E4:W4,"T")</f>
        <v>0</v>
      </c>
      <c r="Z4" s="2" t="n">
        <f aca="false">COUNTIF(E4:V4,"A")</f>
        <v>1</v>
      </c>
      <c r="AA4" s="2" t="n">
        <f aca="false">SUM(W4:Z4)</f>
        <v>10</v>
      </c>
      <c r="AB4" s="4" t="n">
        <f aca="false">(W4+X4/2+Y4/4)*10/AA4</f>
        <v>9</v>
      </c>
      <c r="AD4" s="2" t="s">
        <v>14</v>
      </c>
      <c r="AF4" s="2" t="s">
        <v>14</v>
      </c>
      <c r="AH4" s="2" t="s">
        <v>14</v>
      </c>
      <c r="AI4" s="2" t="s">
        <v>14</v>
      </c>
      <c r="AJ4" s="2" t="s">
        <v>14</v>
      </c>
      <c r="AK4" s="2" t="s">
        <v>14</v>
      </c>
      <c r="AL4" s="2" t="s">
        <v>14</v>
      </c>
      <c r="AM4" s="2" t="s">
        <v>14</v>
      </c>
      <c r="AN4" s="2" t="s">
        <v>14</v>
      </c>
      <c r="AO4" s="2" t="s">
        <v>14</v>
      </c>
      <c r="AQ4" s="2" t="s">
        <v>14</v>
      </c>
      <c r="AR4" s="2" t="s">
        <v>14</v>
      </c>
      <c r="AS4" s="6" t="s">
        <v>14</v>
      </c>
    </row>
    <row r="5" customFormat="false" ht="1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14</v>
      </c>
      <c r="F5" s="2" t="s">
        <v>14</v>
      </c>
      <c r="I5" s="2" t="s">
        <v>14</v>
      </c>
      <c r="K5" s="2" t="s">
        <v>14</v>
      </c>
      <c r="M5" s="2" t="s">
        <v>14</v>
      </c>
      <c r="O5" s="2" t="s">
        <v>14</v>
      </c>
      <c r="Q5" s="2" t="s">
        <v>14</v>
      </c>
      <c r="R5" s="2"/>
      <c r="S5" s="2" t="s">
        <v>14</v>
      </c>
      <c r="U5" s="2" t="s">
        <v>14</v>
      </c>
      <c r="V5" s="2" t="s">
        <v>14</v>
      </c>
      <c r="W5" s="2" t="n">
        <f aca="false">COUNTIF(E5:V5,"P")</f>
        <v>10</v>
      </c>
      <c r="X5" s="2" t="n">
        <f aca="false">COUNTIF(E5:V5,"M")</f>
        <v>0</v>
      </c>
      <c r="Y5" s="2" t="n">
        <f aca="false">COUNTIF(E5:W5,"T")</f>
        <v>0</v>
      </c>
      <c r="Z5" s="2" t="n">
        <f aca="false">COUNTIF(E5:V5,"A")</f>
        <v>0</v>
      </c>
      <c r="AA5" s="2" t="n">
        <f aca="false">SUM(W5:Z5)</f>
        <v>10</v>
      </c>
      <c r="AB5" s="4" t="n">
        <f aca="false">(W5+X5/2+Y5/4)*10/AA5</f>
        <v>10</v>
      </c>
      <c r="AC5" s="2" t="s">
        <v>24</v>
      </c>
      <c r="AD5" s="2" t="s">
        <v>14</v>
      </c>
      <c r="AF5" s="2" t="s">
        <v>14</v>
      </c>
      <c r="AH5" s="2" t="s">
        <v>14</v>
      </c>
      <c r="AI5" s="2" t="s">
        <v>14</v>
      </c>
      <c r="AJ5" s="2" t="s">
        <v>14</v>
      </c>
      <c r="AK5" s="2" t="s">
        <v>16</v>
      </c>
      <c r="AL5" s="2" t="s">
        <v>16</v>
      </c>
      <c r="AM5" s="2" t="s">
        <v>14</v>
      </c>
      <c r="AN5" s="2" t="s">
        <v>14</v>
      </c>
      <c r="AO5" s="2" t="s">
        <v>17</v>
      </c>
      <c r="AP5" s="5" t="n">
        <v>0.715277777777778</v>
      </c>
      <c r="AQ5" s="2" t="s">
        <v>14</v>
      </c>
      <c r="AR5" s="2" t="s">
        <v>14</v>
      </c>
      <c r="AS5" s="6" t="s">
        <v>14</v>
      </c>
    </row>
    <row r="6" customFormat="false" ht="15" hidden="false" customHeight="false" outlineLevel="0" collapsed="false">
      <c r="A6" s="1" t="n">
        <v>4</v>
      </c>
      <c r="B6" s="2" t="s">
        <v>25</v>
      </c>
      <c r="C6" s="2" t="s">
        <v>26</v>
      </c>
      <c r="D6" s="2" t="s">
        <v>27</v>
      </c>
      <c r="E6" s="1" t="s">
        <v>14</v>
      </c>
      <c r="F6" s="2" t="s">
        <v>14</v>
      </c>
      <c r="I6" s="2" t="s">
        <v>14</v>
      </c>
      <c r="K6" s="2" t="s">
        <v>14</v>
      </c>
      <c r="M6" s="2" t="s">
        <v>14</v>
      </c>
      <c r="O6" s="2" t="s">
        <v>14</v>
      </c>
      <c r="Q6" s="2" t="s">
        <v>14</v>
      </c>
      <c r="R6" s="2"/>
      <c r="S6" s="2" t="s">
        <v>14</v>
      </c>
      <c r="U6" s="2" t="s">
        <v>14</v>
      </c>
      <c r="V6" s="2" t="s">
        <v>14</v>
      </c>
      <c r="W6" s="2" t="n">
        <f aca="false">COUNTIF(E6:V6,"P")</f>
        <v>10</v>
      </c>
      <c r="X6" s="2" t="n">
        <f aca="false">COUNTIF(E6:V6,"M")</f>
        <v>0</v>
      </c>
      <c r="Y6" s="2" t="n">
        <f aca="false">COUNTIF(E6:W6,"T")</f>
        <v>0</v>
      </c>
      <c r="Z6" s="2" t="n">
        <f aca="false">COUNTIF(E6:V6,"A")</f>
        <v>0</v>
      </c>
      <c r="AA6" s="2" t="n">
        <f aca="false">SUM(W6:Z6)</f>
        <v>10</v>
      </c>
      <c r="AB6" s="4" t="n">
        <f aca="false">(W6+X6/2+Y6/4)*10/AA6</f>
        <v>10</v>
      </c>
      <c r="AD6" s="2" t="s">
        <v>14</v>
      </c>
      <c r="AF6" s="2" t="s">
        <v>14</v>
      </c>
      <c r="AH6" s="2" t="s">
        <v>14</v>
      </c>
      <c r="AI6" s="2" t="s">
        <v>14</v>
      </c>
      <c r="AJ6" s="2" t="s">
        <v>14</v>
      </c>
      <c r="AK6" s="2" t="s">
        <v>14</v>
      </c>
      <c r="AL6" s="2" t="s">
        <v>14</v>
      </c>
      <c r="AM6" s="2" t="s">
        <v>14</v>
      </c>
      <c r="AN6" s="2" t="s">
        <v>14</v>
      </c>
      <c r="AO6" s="2" t="s">
        <v>14</v>
      </c>
      <c r="AQ6" s="2" t="s">
        <v>14</v>
      </c>
      <c r="AR6" s="2" t="s">
        <v>14</v>
      </c>
      <c r="AS6" s="6" t="s">
        <v>14</v>
      </c>
    </row>
    <row r="7" customFormat="false" ht="15" hidden="false" customHeight="false" outlineLevel="0" collapsed="false">
      <c r="A7" s="1" t="n">
        <v>5</v>
      </c>
      <c r="B7" s="2" t="s">
        <v>28</v>
      </c>
      <c r="C7" s="2" t="s">
        <v>29</v>
      </c>
      <c r="D7" s="2" t="s">
        <v>30</v>
      </c>
      <c r="E7" s="1" t="s">
        <v>14</v>
      </c>
      <c r="F7" s="2" t="s">
        <v>14</v>
      </c>
      <c r="I7" s="2" t="s">
        <v>14</v>
      </c>
      <c r="K7" s="2" t="s">
        <v>16</v>
      </c>
      <c r="M7" s="2" t="s">
        <v>14</v>
      </c>
      <c r="O7" s="2" t="s">
        <v>14</v>
      </c>
      <c r="Q7" s="2" t="s">
        <v>14</v>
      </c>
      <c r="R7" s="2"/>
      <c r="S7" s="2" t="s">
        <v>17</v>
      </c>
      <c r="T7" s="5" t="n">
        <v>0.680555555555556</v>
      </c>
      <c r="U7" s="2" t="s">
        <v>14</v>
      </c>
      <c r="V7" s="2" t="s">
        <v>17</v>
      </c>
      <c r="W7" s="2" t="n">
        <f aca="false">COUNTIF(E7:V7,"P")</f>
        <v>7</v>
      </c>
      <c r="X7" s="2" t="n">
        <f aca="false">COUNTIF(E7:V7,"M")</f>
        <v>0</v>
      </c>
      <c r="Y7" s="2" t="n">
        <f aca="false">COUNTIF(E7:W7,"T")</f>
        <v>2</v>
      </c>
      <c r="Z7" s="2" t="n">
        <f aca="false">COUNTIF(E7:V7,"A")</f>
        <v>1</v>
      </c>
      <c r="AA7" s="2" t="n">
        <f aca="false">SUM(W7:Z7)</f>
        <v>10</v>
      </c>
      <c r="AB7" s="4" t="n">
        <f aca="false">(W7+X7/2+Y7/4)*10/AA7</f>
        <v>7.5</v>
      </c>
      <c r="AC7" s="5" t="n">
        <v>0.708333333333333</v>
      </c>
      <c r="AD7" s="2" t="s">
        <v>14</v>
      </c>
      <c r="AF7" s="2" t="s">
        <v>16</v>
      </c>
      <c r="AH7" s="2" t="s">
        <v>16</v>
      </c>
      <c r="AI7" s="2" t="s">
        <v>16</v>
      </c>
      <c r="AJ7" s="2" t="s">
        <v>16</v>
      </c>
      <c r="AK7" s="2" t="s">
        <v>16</v>
      </c>
      <c r="AL7" s="2" t="s">
        <v>14</v>
      </c>
      <c r="AM7" s="2" t="s">
        <v>14</v>
      </c>
      <c r="AN7" s="2" t="s">
        <v>16</v>
      </c>
      <c r="AO7" s="2" t="s">
        <v>16</v>
      </c>
      <c r="AQ7" s="2" t="s">
        <v>16</v>
      </c>
      <c r="AR7" s="2" t="s">
        <v>16</v>
      </c>
      <c r="AS7" s="6" t="s">
        <v>16</v>
      </c>
    </row>
    <row r="8" s="2" customFormat="true" ht="15" hidden="false" customHeight="false" outlineLevel="0" collapsed="false">
      <c r="A8" s="1" t="n">
        <v>6</v>
      </c>
      <c r="B8" s="2" t="s">
        <v>31</v>
      </c>
      <c r="C8" s="2" t="s">
        <v>32</v>
      </c>
      <c r="D8" s="2" t="s">
        <v>33</v>
      </c>
      <c r="E8" s="1" t="s">
        <v>14</v>
      </c>
      <c r="F8" s="1" t="s">
        <v>14</v>
      </c>
      <c r="G8" s="1"/>
      <c r="H8" s="1"/>
      <c r="I8" s="1" t="s">
        <v>14</v>
      </c>
      <c r="J8" s="1"/>
      <c r="K8" s="1" t="s">
        <v>14</v>
      </c>
      <c r="L8" s="1"/>
      <c r="M8" s="1" t="s">
        <v>14</v>
      </c>
      <c r="N8" s="1"/>
      <c r="O8" s="1" t="s">
        <v>14</v>
      </c>
      <c r="P8" s="1"/>
      <c r="Q8" s="1" t="s">
        <v>14</v>
      </c>
      <c r="R8" s="1" t="s">
        <v>34</v>
      </c>
      <c r="S8" s="2" t="s">
        <v>14</v>
      </c>
      <c r="T8" s="1"/>
      <c r="U8" s="1" t="s">
        <v>14</v>
      </c>
      <c r="V8" s="1" t="s">
        <v>14</v>
      </c>
      <c r="W8" s="2" t="n">
        <f aca="false">COUNTIF(E8:V8,"P")</f>
        <v>10</v>
      </c>
      <c r="X8" s="2" t="n">
        <f aca="false">COUNTIF(E8:V8,"M")</f>
        <v>0</v>
      </c>
      <c r="Y8" s="2" t="n">
        <f aca="false">COUNTIF(E8:W8,"T")</f>
        <v>0</v>
      </c>
      <c r="Z8" s="2" t="n">
        <f aca="false">COUNTIF(E8:V8,"A")</f>
        <v>0</v>
      </c>
      <c r="AA8" s="2" t="n">
        <f aca="false">SUM(W8:Z8)</f>
        <v>10</v>
      </c>
      <c r="AB8" s="4" t="n">
        <f aca="false">(W8+X8/2+Y8/4)*10/AA8</f>
        <v>10</v>
      </c>
      <c r="AC8" s="1"/>
      <c r="AD8" s="1" t="s">
        <v>14</v>
      </c>
      <c r="AE8" s="1"/>
      <c r="AF8" s="1" t="s">
        <v>14</v>
      </c>
      <c r="AG8" s="1"/>
      <c r="AH8" s="1" t="s">
        <v>14</v>
      </c>
      <c r="AI8" s="1" t="s">
        <v>14</v>
      </c>
      <c r="AJ8" s="1" t="s">
        <v>14</v>
      </c>
      <c r="AK8" s="2" t="s">
        <v>14</v>
      </c>
      <c r="AL8" s="1" t="s">
        <v>14</v>
      </c>
      <c r="AM8" s="1" t="s">
        <v>14</v>
      </c>
      <c r="AN8" s="1" t="s">
        <v>14</v>
      </c>
      <c r="AO8" s="1" t="s">
        <v>14</v>
      </c>
      <c r="AP8" s="1"/>
      <c r="AQ8" s="1" t="s">
        <v>14</v>
      </c>
      <c r="AR8" s="1" t="s">
        <v>14</v>
      </c>
      <c r="AS8" s="1" t="s">
        <v>14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WYI8" s="1"/>
      <c r="WYJ8" s="1"/>
      <c r="WYK8" s="1"/>
      <c r="WYL8" s="1"/>
      <c r="WYM8" s="1"/>
      <c r="WYN8" s="1"/>
    </row>
    <row r="9" customFormat="false" ht="15" hidden="false" customHeight="false" outlineLevel="0" collapsed="false">
      <c r="A9" s="1" t="n">
        <v>7</v>
      </c>
      <c r="B9" s="2" t="s">
        <v>35</v>
      </c>
      <c r="C9" s="2" t="s">
        <v>36</v>
      </c>
      <c r="D9" s="2" t="s">
        <v>37</v>
      </c>
      <c r="E9" s="1" t="s">
        <v>14</v>
      </c>
      <c r="F9" s="2" t="s">
        <v>14</v>
      </c>
      <c r="I9" s="2" t="s">
        <v>14</v>
      </c>
      <c r="K9" s="2" t="s">
        <v>14</v>
      </c>
      <c r="M9" s="2" t="s">
        <v>14</v>
      </c>
      <c r="O9" s="2" t="s">
        <v>14</v>
      </c>
      <c r="Q9" s="2" t="s">
        <v>14</v>
      </c>
      <c r="R9" s="2"/>
      <c r="S9" s="2" t="s">
        <v>14</v>
      </c>
      <c r="U9" s="2" t="s">
        <v>14</v>
      </c>
      <c r="V9" s="2" t="s">
        <v>14</v>
      </c>
      <c r="W9" s="2" t="n">
        <f aca="false">COUNTIF(E9:V9,"P")</f>
        <v>10</v>
      </c>
      <c r="X9" s="2" t="n">
        <f aca="false">COUNTIF(E9:V9,"M")</f>
        <v>0</v>
      </c>
      <c r="Y9" s="2" t="n">
        <f aca="false">COUNTIF(E9:W9,"T")</f>
        <v>0</v>
      </c>
      <c r="Z9" s="2" t="n">
        <f aca="false">COUNTIF(E9:V9,"A")</f>
        <v>0</v>
      </c>
      <c r="AA9" s="2" t="n">
        <f aca="false">SUM(W9:Z9)</f>
        <v>10</v>
      </c>
      <c r="AB9" s="4" t="n">
        <f aca="false">(W9+X9/2+Y9/4)*10/AA9</f>
        <v>10</v>
      </c>
      <c r="AD9" s="2" t="s">
        <v>14</v>
      </c>
      <c r="AF9" s="2" t="s">
        <v>14</v>
      </c>
      <c r="AH9" s="2" t="s">
        <v>14</v>
      </c>
      <c r="AI9" s="2" t="s">
        <v>14</v>
      </c>
      <c r="AJ9" s="2" t="s">
        <v>14</v>
      </c>
      <c r="AK9" s="2" t="s">
        <v>14</v>
      </c>
      <c r="AL9" s="2" t="s">
        <v>14</v>
      </c>
      <c r="AM9" s="2" t="s">
        <v>14</v>
      </c>
      <c r="AN9" s="2" t="s">
        <v>38</v>
      </c>
      <c r="AO9" s="2" t="s">
        <v>14</v>
      </c>
      <c r="AQ9" s="2" t="s">
        <v>14</v>
      </c>
      <c r="AR9" s="2" t="s">
        <v>14</v>
      </c>
      <c r="AS9" s="6" t="s">
        <v>14</v>
      </c>
    </row>
    <row r="10" customFormat="false" ht="15" hidden="false" customHeight="false" outlineLevel="0" collapsed="false">
      <c r="A10" s="1" t="n">
        <v>8</v>
      </c>
      <c r="B10" s="2" t="s">
        <v>39</v>
      </c>
      <c r="C10" s="2" t="s">
        <v>40</v>
      </c>
      <c r="D10" s="2" t="s">
        <v>41</v>
      </c>
      <c r="E10" s="1" t="s">
        <v>14</v>
      </c>
      <c r="F10" s="2" t="s">
        <v>14</v>
      </c>
      <c r="I10" s="2" t="s">
        <v>14</v>
      </c>
      <c r="K10" s="2" t="s">
        <v>14</v>
      </c>
      <c r="M10" s="2" t="s">
        <v>14</v>
      </c>
      <c r="O10" s="2" t="s">
        <v>14</v>
      </c>
      <c r="Q10" s="2" t="s">
        <v>14</v>
      </c>
      <c r="R10" s="2"/>
      <c r="S10" s="2" t="s">
        <v>14</v>
      </c>
      <c r="U10" s="2" t="s">
        <v>14</v>
      </c>
      <c r="V10" s="2" t="s">
        <v>14</v>
      </c>
      <c r="W10" s="2" t="n">
        <f aca="false">COUNTIF(E10:V10,"P")</f>
        <v>10</v>
      </c>
      <c r="X10" s="2" t="n">
        <f aca="false">COUNTIF(E10:V10,"M")</f>
        <v>0</v>
      </c>
      <c r="Y10" s="2" t="n">
        <f aca="false">COUNTIF(E10:W10,"T")</f>
        <v>0</v>
      </c>
      <c r="Z10" s="2" t="n">
        <f aca="false">COUNTIF(E10:V10,"A")</f>
        <v>0</v>
      </c>
      <c r="AA10" s="2" t="n">
        <f aca="false">SUM(W10:Z10)</f>
        <v>10</v>
      </c>
      <c r="AB10" s="4" t="n">
        <f aca="false">(W10+X10/2+Y10/4)*10/AA10</f>
        <v>10</v>
      </c>
      <c r="AD10" s="2" t="s">
        <v>14</v>
      </c>
      <c r="AF10" s="2" t="s">
        <v>14</v>
      </c>
      <c r="AH10" s="2" t="s">
        <v>14</v>
      </c>
      <c r="AI10" s="2" t="s">
        <v>16</v>
      </c>
      <c r="AJ10" s="2" t="s">
        <v>14</v>
      </c>
      <c r="AK10" s="2" t="s">
        <v>14</v>
      </c>
      <c r="AL10" s="2" t="s">
        <v>16</v>
      </c>
      <c r="AM10" s="2" t="s">
        <v>14</v>
      </c>
      <c r="AN10" s="2" t="s">
        <v>14</v>
      </c>
      <c r="AO10" s="2" t="s">
        <v>14</v>
      </c>
      <c r="AQ10" s="2" t="s">
        <v>14</v>
      </c>
      <c r="AR10" s="2" t="s">
        <v>14</v>
      </c>
      <c r="AS10" s="6" t="s">
        <v>14</v>
      </c>
    </row>
    <row r="11" customFormat="false" ht="15" hidden="false" customHeight="false" outlineLevel="0" collapsed="false">
      <c r="A11" s="1" t="n">
        <v>9</v>
      </c>
      <c r="B11" s="2" t="s">
        <v>42</v>
      </c>
      <c r="C11" s="2" t="s">
        <v>43</v>
      </c>
      <c r="D11" s="2" t="s">
        <v>44</v>
      </c>
      <c r="E11" s="1" t="s">
        <v>14</v>
      </c>
      <c r="F11" s="2" t="s">
        <v>14</v>
      </c>
      <c r="I11" s="2" t="s">
        <v>14</v>
      </c>
      <c r="K11" s="2" t="s">
        <v>14</v>
      </c>
      <c r="M11" s="2" t="s">
        <v>16</v>
      </c>
      <c r="O11" s="2" t="s">
        <v>14</v>
      </c>
      <c r="Q11" s="2" t="s">
        <v>14</v>
      </c>
      <c r="R11" s="2"/>
      <c r="S11" s="2" t="s">
        <v>14</v>
      </c>
      <c r="U11" s="2" t="s">
        <v>14</v>
      </c>
      <c r="V11" s="2" t="s">
        <v>14</v>
      </c>
      <c r="W11" s="2" t="n">
        <f aca="false">COUNTIF(E11:V11,"P")</f>
        <v>9</v>
      </c>
      <c r="X11" s="2" t="n">
        <f aca="false">COUNTIF(E11:V11,"M")</f>
        <v>0</v>
      </c>
      <c r="Y11" s="2" t="n">
        <f aca="false">COUNTIF(E11:W11,"T")</f>
        <v>0</v>
      </c>
      <c r="Z11" s="2" t="n">
        <f aca="false">COUNTIF(E11:V11,"A")</f>
        <v>1</v>
      </c>
      <c r="AA11" s="2" t="n">
        <f aca="false">SUM(W11:Z11)</f>
        <v>10</v>
      </c>
      <c r="AB11" s="4" t="n">
        <f aca="false">(W11+X11/2+Y11/4)*10/AA11</f>
        <v>9</v>
      </c>
      <c r="AD11" s="2" t="s">
        <v>14</v>
      </c>
      <c r="AF11" s="2" t="s">
        <v>14</v>
      </c>
      <c r="AH11" s="2" t="s">
        <v>14</v>
      </c>
      <c r="AI11" s="2" t="s">
        <v>14</v>
      </c>
      <c r="AJ11" s="2" t="s">
        <v>14</v>
      </c>
      <c r="AK11" s="2" t="s">
        <v>16</v>
      </c>
      <c r="AL11" s="2" t="s">
        <v>14</v>
      </c>
      <c r="AM11" s="2" t="s">
        <v>14</v>
      </c>
      <c r="AN11" s="2" t="s">
        <v>14</v>
      </c>
      <c r="AO11" s="2" t="s">
        <v>17</v>
      </c>
      <c r="AP11" s="5" t="n">
        <v>0.715277777777778</v>
      </c>
      <c r="AQ11" s="2" t="s">
        <v>14</v>
      </c>
      <c r="AR11" s="2" t="s">
        <v>14</v>
      </c>
      <c r="AS11" s="6" t="s">
        <v>14</v>
      </c>
    </row>
    <row r="12" s="8" customFormat="true" ht="15" hidden="false" customHeight="false" outlineLevel="0" collapsed="false">
      <c r="A12" s="7" t="n">
        <v>10</v>
      </c>
      <c r="B12" s="8" t="s">
        <v>45</v>
      </c>
      <c r="C12" s="8" t="s">
        <v>46</v>
      </c>
      <c r="D12" s="8" t="s">
        <v>47</v>
      </c>
      <c r="E12" s="7" t="s">
        <v>14</v>
      </c>
      <c r="F12" s="7" t="s">
        <v>16</v>
      </c>
      <c r="G12" s="7" t="s">
        <v>48</v>
      </c>
      <c r="H12" s="7"/>
      <c r="I12" s="7" t="s">
        <v>16</v>
      </c>
      <c r="J12" s="7" t="s">
        <v>49</v>
      </c>
      <c r="K12" s="7" t="s">
        <v>16</v>
      </c>
      <c r="L12" s="7" t="s">
        <v>50</v>
      </c>
      <c r="M12" s="7" t="s">
        <v>16</v>
      </c>
      <c r="N12" s="7" t="s">
        <v>50</v>
      </c>
      <c r="O12" s="7" t="s">
        <v>16</v>
      </c>
      <c r="P12" s="7"/>
      <c r="Q12" s="7" t="s">
        <v>16</v>
      </c>
      <c r="R12" s="7"/>
      <c r="S12" s="8" t="s">
        <v>16</v>
      </c>
      <c r="T12" s="7"/>
      <c r="U12" s="7" t="s">
        <v>14</v>
      </c>
      <c r="V12" s="7" t="s">
        <v>14</v>
      </c>
      <c r="W12" s="8" t="n">
        <f aca="false">COUNTIF(E12:V12,"P")</f>
        <v>3</v>
      </c>
      <c r="X12" s="8" t="n">
        <f aca="false">COUNTIF(E12:V12,"M")</f>
        <v>0</v>
      </c>
      <c r="Y12" s="8" t="n">
        <f aca="false">COUNTIF(E12:W12,"T")</f>
        <v>0</v>
      </c>
      <c r="Z12" s="8" t="n">
        <f aca="false">COUNTIF(E12:V12,"A")</f>
        <v>7</v>
      </c>
      <c r="AA12" s="8" t="n">
        <f aca="false">SUM(W12:Z12)</f>
        <v>10</v>
      </c>
      <c r="AB12" s="9" t="n">
        <f aca="false">(W12+X12/2+Y12/4)*10/AA12</f>
        <v>3</v>
      </c>
      <c r="AC12" s="1"/>
      <c r="AD12" s="1" t="s">
        <v>14</v>
      </c>
      <c r="AE12" s="1"/>
      <c r="AF12" s="1" t="s">
        <v>14</v>
      </c>
      <c r="AG12" s="1"/>
      <c r="AH12" s="1" t="s">
        <v>14</v>
      </c>
      <c r="AI12" s="1" t="s">
        <v>14</v>
      </c>
      <c r="AJ12" s="1" t="s">
        <v>14</v>
      </c>
      <c r="AK12" s="2" t="s">
        <v>14</v>
      </c>
      <c r="AL12" s="1" t="s">
        <v>14</v>
      </c>
      <c r="AM12" s="1" t="s">
        <v>14</v>
      </c>
      <c r="AN12" s="1" t="s">
        <v>14</v>
      </c>
      <c r="AO12" s="1" t="s">
        <v>14</v>
      </c>
      <c r="AP12" s="1"/>
      <c r="AQ12" s="1" t="s">
        <v>14</v>
      </c>
      <c r="AR12" s="1" t="s">
        <v>14</v>
      </c>
      <c r="AS12" s="1" t="s">
        <v>14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WYI12" s="1"/>
      <c r="WYJ12" s="1"/>
      <c r="WYK12" s="1"/>
      <c r="WYL12" s="1"/>
      <c r="WYM12" s="1"/>
      <c r="WYN12" s="1"/>
    </row>
    <row r="13" s="1" customFormat="true" ht="15" hidden="false" customHeight="false" outlineLevel="0" collapsed="false">
      <c r="A13" s="1" t="n">
        <v>11</v>
      </c>
      <c r="B13" s="2" t="s">
        <v>51</v>
      </c>
      <c r="C13" s="2" t="s">
        <v>52</v>
      </c>
      <c r="D13" s="2" t="s">
        <v>53</v>
      </c>
      <c r="E13" s="1" t="s">
        <v>14</v>
      </c>
      <c r="F13" s="1" t="s">
        <v>14</v>
      </c>
      <c r="I13" s="1" t="s">
        <v>14</v>
      </c>
      <c r="K13" s="1" t="s">
        <v>14</v>
      </c>
      <c r="M13" s="1" t="s">
        <v>14</v>
      </c>
      <c r="O13" s="1" t="s">
        <v>14</v>
      </c>
      <c r="Q13" s="1" t="s">
        <v>14</v>
      </c>
      <c r="S13" s="2" t="s">
        <v>14</v>
      </c>
      <c r="U13" s="1" t="s">
        <v>14</v>
      </c>
      <c r="V13" s="1" t="s">
        <v>14</v>
      </c>
      <c r="W13" s="2" t="n">
        <f aca="false">COUNTIF(E13:V13,"P")</f>
        <v>10</v>
      </c>
      <c r="X13" s="2" t="n">
        <f aca="false">COUNTIF(E13:V13,"M")</f>
        <v>0</v>
      </c>
      <c r="Y13" s="2" t="n">
        <f aca="false">COUNTIF(E13:W13,"T")</f>
        <v>0</v>
      </c>
      <c r="Z13" s="2" t="n">
        <f aca="false">COUNTIF(E13:V13,"A")</f>
        <v>0</v>
      </c>
      <c r="AA13" s="2" t="n">
        <f aca="false">SUM(W13:Z13)</f>
        <v>10</v>
      </c>
      <c r="AB13" s="4" t="n">
        <f aca="false">(W13+X13/2+Y13/4)*10/AA13</f>
        <v>10</v>
      </c>
      <c r="AD13" s="1" t="s">
        <v>14</v>
      </c>
      <c r="AF13" s="1" t="s">
        <v>14</v>
      </c>
      <c r="AH13" s="1" t="s">
        <v>14</v>
      </c>
      <c r="AI13" s="1" t="s">
        <v>14</v>
      </c>
      <c r="AJ13" s="1" t="s">
        <v>14</v>
      </c>
      <c r="AK13" s="2" t="s">
        <v>14</v>
      </c>
      <c r="AL13" s="1" t="s">
        <v>14</v>
      </c>
      <c r="AM13" s="1" t="s">
        <v>14</v>
      </c>
      <c r="AN13" s="1" t="s">
        <v>14</v>
      </c>
      <c r="AO13" s="1" t="s">
        <v>14</v>
      </c>
      <c r="AQ13" s="1" t="s">
        <v>38</v>
      </c>
      <c r="AR13" s="1" t="s">
        <v>38</v>
      </c>
      <c r="AS13" s="1" t="s">
        <v>14</v>
      </c>
    </row>
    <row r="14" s="1" customFormat="true" ht="15" hidden="false" customHeight="false" outlineLevel="0" collapsed="false">
      <c r="A14" s="1" t="n">
        <v>12</v>
      </c>
      <c r="B14" s="2" t="s">
        <v>54</v>
      </c>
      <c r="C14" s="2" t="s">
        <v>55</v>
      </c>
      <c r="D14" s="2" t="s">
        <v>56</v>
      </c>
      <c r="E14" s="1" t="s">
        <v>14</v>
      </c>
      <c r="F14" s="1" t="s">
        <v>14</v>
      </c>
      <c r="I14" s="1" t="s">
        <v>14</v>
      </c>
      <c r="K14" s="1" t="s">
        <v>14</v>
      </c>
      <c r="M14" s="1" t="s">
        <v>14</v>
      </c>
      <c r="O14" s="1" t="s">
        <v>14</v>
      </c>
      <c r="Q14" s="1" t="s">
        <v>16</v>
      </c>
      <c r="S14" s="2" t="s">
        <v>14</v>
      </c>
      <c r="U14" s="1" t="s">
        <v>14</v>
      </c>
      <c r="V14" s="1" t="s">
        <v>14</v>
      </c>
      <c r="W14" s="2" t="n">
        <f aca="false">COUNTIF(E14:V14,"P")</f>
        <v>9</v>
      </c>
      <c r="X14" s="2" t="n">
        <f aca="false">COUNTIF(E14:V14,"M")</f>
        <v>0</v>
      </c>
      <c r="Y14" s="2" t="n">
        <f aca="false">COUNTIF(E14:W14,"T")</f>
        <v>0</v>
      </c>
      <c r="Z14" s="2" t="n">
        <f aca="false">COUNTIF(E14:V14,"A")</f>
        <v>1</v>
      </c>
      <c r="AA14" s="2" t="n">
        <f aca="false">SUM(W14:Z14)</f>
        <v>10</v>
      </c>
      <c r="AB14" s="4" t="n">
        <f aca="false">(W14+X14/2+Y14/4)*10/AA14</f>
        <v>9</v>
      </c>
      <c r="AD14" s="1" t="s">
        <v>14</v>
      </c>
      <c r="AF14" s="1" t="s">
        <v>14</v>
      </c>
      <c r="AH14" s="1" t="s">
        <v>14</v>
      </c>
      <c r="AI14" s="1" t="s">
        <v>14</v>
      </c>
      <c r="AJ14" s="1" t="s">
        <v>14</v>
      </c>
      <c r="AK14" s="2" t="s">
        <v>14</v>
      </c>
      <c r="AL14" s="1" t="s">
        <v>14</v>
      </c>
      <c r="AM14" s="1" t="s">
        <v>14</v>
      </c>
      <c r="AN14" s="1" t="s">
        <v>14</v>
      </c>
      <c r="AO14" s="1" t="s">
        <v>14</v>
      </c>
      <c r="AQ14" s="1" t="s">
        <v>38</v>
      </c>
      <c r="AR14" s="1" t="s">
        <v>16</v>
      </c>
      <c r="AS14" s="1" t="s">
        <v>14</v>
      </c>
    </row>
    <row r="15" s="8" customFormat="true" ht="15" hidden="false" customHeight="false" outlineLevel="0" collapsed="false">
      <c r="A15" s="7" t="n">
        <v>13</v>
      </c>
      <c r="B15" s="8" t="s">
        <v>57</v>
      </c>
      <c r="C15" s="8" t="s">
        <v>58</v>
      </c>
      <c r="D15" s="8" t="s">
        <v>59</v>
      </c>
      <c r="E15" s="7" t="s">
        <v>14</v>
      </c>
      <c r="F15" s="7" t="s">
        <v>16</v>
      </c>
      <c r="G15" s="7" t="s">
        <v>60</v>
      </c>
      <c r="H15" s="7"/>
      <c r="I15" s="7" t="s">
        <v>16</v>
      </c>
      <c r="J15" s="7" t="s">
        <v>60</v>
      </c>
      <c r="K15" s="7" t="s">
        <v>16</v>
      </c>
      <c r="L15" s="7" t="s">
        <v>50</v>
      </c>
      <c r="M15" s="7" t="s">
        <v>16</v>
      </c>
      <c r="N15" s="7" t="s">
        <v>50</v>
      </c>
      <c r="O15" s="7" t="s">
        <v>16</v>
      </c>
      <c r="P15" s="7"/>
      <c r="Q15" s="7" t="s">
        <v>16</v>
      </c>
      <c r="R15" s="7"/>
      <c r="S15" s="8" t="s">
        <v>16</v>
      </c>
      <c r="T15" s="7"/>
      <c r="U15" s="7" t="s">
        <v>16</v>
      </c>
      <c r="V15" s="7" t="s">
        <v>16</v>
      </c>
      <c r="W15" s="8" t="n">
        <f aca="false">COUNTIF(E15:V15,"P")</f>
        <v>1</v>
      </c>
      <c r="X15" s="8" t="n">
        <f aca="false">COUNTIF(E15:V15,"M")</f>
        <v>0</v>
      </c>
      <c r="Y15" s="8" t="n">
        <f aca="false">COUNTIF(E15:W15,"T")</f>
        <v>0</v>
      </c>
      <c r="Z15" s="8" t="n">
        <f aca="false">COUNTIF(E15:V15,"A")</f>
        <v>9</v>
      </c>
      <c r="AA15" s="8" t="n">
        <f aca="false">SUM(W15:Z15)</f>
        <v>10</v>
      </c>
      <c r="AB15" s="9" t="n">
        <f aca="false">(W15+X15/2+Y15/4)*10/AA15</f>
        <v>1</v>
      </c>
      <c r="AC15" s="7"/>
      <c r="AD15" s="7" t="s">
        <v>16</v>
      </c>
      <c r="AE15" s="7"/>
      <c r="AF15" s="7" t="s">
        <v>16</v>
      </c>
      <c r="AG15" s="7"/>
      <c r="AH15" s="7" t="s">
        <v>16</v>
      </c>
      <c r="AI15" s="7" t="s">
        <v>16</v>
      </c>
      <c r="AJ15" s="7" t="s">
        <v>16</v>
      </c>
      <c r="AK15" s="2" t="s">
        <v>16</v>
      </c>
      <c r="AL15" s="7" t="s">
        <v>16</v>
      </c>
      <c r="AM15" s="7" t="s">
        <v>16</v>
      </c>
      <c r="AN15" s="7" t="s">
        <v>16</v>
      </c>
      <c r="AO15" s="7" t="s">
        <v>16</v>
      </c>
      <c r="AP15" s="7"/>
      <c r="AQ15" s="7" t="s">
        <v>16</v>
      </c>
      <c r="AR15" s="7" t="s">
        <v>16</v>
      </c>
      <c r="AS15" s="7" t="s">
        <v>16</v>
      </c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WYI15" s="1"/>
      <c r="WYJ15" s="1"/>
      <c r="WYK15" s="1"/>
      <c r="WYL15" s="1"/>
      <c r="WYM15" s="1"/>
      <c r="WYN15" s="1"/>
    </row>
    <row r="16" s="1" customFormat="true" ht="15" hidden="false" customHeight="false" outlineLevel="0" collapsed="false">
      <c r="A16" s="1" t="n">
        <v>14</v>
      </c>
      <c r="B16" s="2" t="s">
        <v>61</v>
      </c>
      <c r="C16" s="2" t="s">
        <v>62</v>
      </c>
      <c r="D16" s="2" t="s">
        <v>63</v>
      </c>
      <c r="E16" s="1" t="s">
        <v>14</v>
      </c>
      <c r="F16" s="1" t="s">
        <v>14</v>
      </c>
      <c r="I16" s="1" t="s">
        <v>14</v>
      </c>
      <c r="K16" s="1" t="s">
        <v>14</v>
      </c>
      <c r="M16" s="1" t="s">
        <v>14</v>
      </c>
      <c r="O16" s="1" t="s">
        <v>14</v>
      </c>
      <c r="Q16" s="1" t="s">
        <v>14</v>
      </c>
      <c r="S16" s="2" t="s">
        <v>14</v>
      </c>
      <c r="U16" s="1" t="s">
        <v>14</v>
      </c>
      <c r="V16" s="1" t="s">
        <v>14</v>
      </c>
      <c r="W16" s="2" t="n">
        <f aca="false">COUNTIF(E16:V16,"P")</f>
        <v>10</v>
      </c>
      <c r="X16" s="2" t="n">
        <f aca="false">COUNTIF(E16:V16,"M")</f>
        <v>0</v>
      </c>
      <c r="Y16" s="2" t="n">
        <f aca="false">COUNTIF(E16:W16,"T")</f>
        <v>0</v>
      </c>
      <c r="Z16" s="2" t="n">
        <f aca="false">COUNTIF(E16:V16,"A")</f>
        <v>0</v>
      </c>
      <c r="AA16" s="2" t="n">
        <f aca="false">SUM(W16:Z16)</f>
        <v>10</v>
      </c>
      <c r="AB16" s="4" t="n">
        <f aca="false">(W16+X16/2+Y16/4)*10/AA16</f>
        <v>10</v>
      </c>
      <c r="AD16" s="1" t="s">
        <v>16</v>
      </c>
      <c r="AF16" s="1" t="s">
        <v>14</v>
      </c>
      <c r="AH16" s="1" t="s">
        <v>14</v>
      </c>
      <c r="AI16" s="1" t="s">
        <v>14</v>
      </c>
      <c r="AJ16" s="1" t="s">
        <v>14</v>
      </c>
      <c r="AK16" s="2" t="s">
        <v>14</v>
      </c>
      <c r="AL16" s="1" t="s">
        <v>14</v>
      </c>
      <c r="AM16" s="1" t="s">
        <v>14</v>
      </c>
      <c r="AN16" s="1" t="s">
        <v>14</v>
      </c>
      <c r="AO16" s="1" t="s">
        <v>14</v>
      </c>
      <c r="AQ16" s="1" t="s">
        <v>14</v>
      </c>
      <c r="AR16" s="1" t="s">
        <v>14</v>
      </c>
      <c r="AS16" s="1" t="s">
        <v>14</v>
      </c>
    </row>
    <row r="17" s="1" customFormat="true" ht="15" hidden="false" customHeight="false" outlineLevel="0" collapsed="false">
      <c r="A17" s="1" t="n">
        <v>15</v>
      </c>
      <c r="B17" s="2" t="s">
        <v>64</v>
      </c>
      <c r="C17" s="2" t="s">
        <v>65</v>
      </c>
      <c r="D17" s="2" t="s">
        <v>66</v>
      </c>
      <c r="E17" s="1" t="s">
        <v>14</v>
      </c>
      <c r="F17" s="1" t="s">
        <v>14</v>
      </c>
      <c r="I17" s="1" t="s">
        <v>14</v>
      </c>
      <c r="K17" s="1" t="s">
        <v>14</v>
      </c>
      <c r="M17" s="1" t="s">
        <v>14</v>
      </c>
      <c r="O17" s="1" t="s">
        <v>14</v>
      </c>
      <c r="Q17" s="1" t="s">
        <v>14</v>
      </c>
      <c r="S17" s="2" t="s">
        <v>14</v>
      </c>
      <c r="U17" s="1" t="s">
        <v>14</v>
      </c>
      <c r="V17" s="1" t="s">
        <v>14</v>
      </c>
      <c r="W17" s="2" t="n">
        <f aca="false">COUNTIF(E17:V17,"P")</f>
        <v>10</v>
      </c>
      <c r="X17" s="2" t="n">
        <f aca="false">COUNTIF(E17:V17,"M")</f>
        <v>0</v>
      </c>
      <c r="Y17" s="2" t="n">
        <f aca="false">COUNTIF(E17:W17,"T")</f>
        <v>0</v>
      </c>
      <c r="Z17" s="2" t="n">
        <f aca="false">COUNTIF(E17:V17,"A")</f>
        <v>0</v>
      </c>
      <c r="AA17" s="2" t="n">
        <f aca="false">SUM(W17:Z17)</f>
        <v>10</v>
      </c>
      <c r="AB17" s="4" t="n">
        <f aca="false">(W17+X17/2+Y17/4)*10/AA17</f>
        <v>10</v>
      </c>
      <c r="AD17" s="1" t="s">
        <v>14</v>
      </c>
      <c r="AF17" s="1" t="s">
        <v>14</v>
      </c>
      <c r="AH17" s="1" t="s">
        <v>14</v>
      </c>
      <c r="AI17" s="1" t="s">
        <v>14</v>
      </c>
      <c r="AJ17" s="1" t="s">
        <v>14</v>
      </c>
      <c r="AK17" s="2" t="s">
        <v>14</v>
      </c>
      <c r="AL17" s="1" t="s">
        <v>14</v>
      </c>
      <c r="AM17" s="1" t="s">
        <v>14</v>
      </c>
      <c r="AN17" s="1" t="s">
        <v>14</v>
      </c>
      <c r="AO17" s="1" t="s">
        <v>14</v>
      </c>
      <c r="AQ17" s="1" t="s">
        <v>14</v>
      </c>
      <c r="AR17" s="1" t="s">
        <v>14</v>
      </c>
      <c r="AS17" s="1" t="s">
        <v>14</v>
      </c>
    </row>
    <row r="18" s="8" customFormat="true" ht="15" hidden="false" customHeight="false" outlineLevel="0" collapsed="false">
      <c r="A18" s="7" t="n">
        <v>16</v>
      </c>
      <c r="B18" s="8" t="s">
        <v>67</v>
      </c>
      <c r="C18" s="8" t="s">
        <v>68</v>
      </c>
      <c r="D18" s="8" t="s">
        <v>69</v>
      </c>
      <c r="E18" s="7" t="s">
        <v>14</v>
      </c>
      <c r="F18" s="7" t="s">
        <v>16</v>
      </c>
      <c r="G18" s="7" t="s">
        <v>60</v>
      </c>
      <c r="H18" s="7"/>
      <c r="I18" s="7" t="s">
        <v>16</v>
      </c>
      <c r="J18" s="7" t="s">
        <v>60</v>
      </c>
      <c r="K18" s="7" t="s">
        <v>16</v>
      </c>
      <c r="L18" s="7"/>
      <c r="M18" s="7" t="s">
        <v>16</v>
      </c>
      <c r="N18" s="7" t="s">
        <v>50</v>
      </c>
      <c r="O18" s="7" t="s">
        <v>16</v>
      </c>
      <c r="P18" s="7"/>
      <c r="Q18" s="7" t="s">
        <v>16</v>
      </c>
      <c r="R18" s="7"/>
      <c r="S18" s="8" t="s">
        <v>16</v>
      </c>
      <c r="T18" s="7"/>
      <c r="U18" s="7" t="s">
        <v>16</v>
      </c>
      <c r="V18" s="7" t="s">
        <v>16</v>
      </c>
      <c r="W18" s="8" t="n">
        <f aca="false">COUNTIF(E18:V18,"P")</f>
        <v>1</v>
      </c>
      <c r="X18" s="8" t="n">
        <f aca="false">COUNTIF(E18:V18,"M")</f>
        <v>0</v>
      </c>
      <c r="Y18" s="8" t="n">
        <f aca="false">COUNTIF(E18:W18,"T")</f>
        <v>0</v>
      </c>
      <c r="Z18" s="8" t="n">
        <f aca="false">COUNTIF(E18:V18,"A")</f>
        <v>9</v>
      </c>
      <c r="AA18" s="8" t="n">
        <f aca="false">SUM(W18:Z18)</f>
        <v>10</v>
      </c>
      <c r="AB18" s="9" t="n">
        <f aca="false">(W18+X18/2+Y18/4)*10/AA18</f>
        <v>1</v>
      </c>
      <c r="AC18" s="7"/>
      <c r="AD18" s="7" t="s">
        <v>16</v>
      </c>
      <c r="AE18" s="7"/>
      <c r="AF18" s="7" t="s">
        <v>16</v>
      </c>
      <c r="AG18" s="7"/>
      <c r="AH18" s="7" t="s">
        <v>16</v>
      </c>
      <c r="AI18" s="7" t="s">
        <v>16</v>
      </c>
      <c r="AJ18" s="7" t="s">
        <v>16</v>
      </c>
      <c r="AK18" s="2" t="s">
        <v>16</v>
      </c>
      <c r="AL18" s="7" t="s">
        <v>16</v>
      </c>
      <c r="AM18" s="7" t="s">
        <v>16</v>
      </c>
      <c r="AN18" s="7" t="s">
        <v>16</v>
      </c>
      <c r="AO18" s="7" t="s">
        <v>16</v>
      </c>
      <c r="AP18" s="7"/>
      <c r="AQ18" s="7" t="s">
        <v>16</v>
      </c>
      <c r="AR18" s="7" t="s">
        <v>16</v>
      </c>
      <c r="AS18" s="7" t="s">
        <v>16</v>
      </c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WYI18" s="1"/>
      <c r="WYJ18" s="1"/>
      <c r="WYK18" s="1"/>
      <c r="WYL18" s="1"/>
      <c r="WYM18" s="1"/>
      <c r="WYN18" s="1"/>
    </row>
    <row r="19" s="8" customFormat="true" ht="15" hidden="false" customHeight="false" outlineLevel="0" collapsed="false">
      <c r="A19" s="7" t="n">
        <v>17</v>
      </c>
      <c r="B19" s="8" t="s">
        <v>70</v>
      </c>
      <c r="C19" s="8" t="s">
        <v>71</v>
      </c>
      <c r="D19" s="8" t="s">
        <v>72</v>
      </c>
      <c r="E19" s="7" t="s">
        <v>14</v>
      </c>
      <c r="F19" s="7" t="s">
        <v>16</v>
      </c>
      <c r="G19" s="7"/>
      <c r="H19" s="7"/>
      <c r="I19" s="7" t="s">
        <v>16</v>
      </c>
      <c r="J19" s="7"/>
      <c r="K19" s="7" t="s">
        <v>16</v>
      </c>
      <c r="L19" s="7"/>
      <c r="M19" s="7" t="s">
        <v>16</v>
      </c>
      <c r="N19" s="7" t="s">
        <v>50</v>
      </c>
      <c r="O19" s="7" t="s">
        <v>16</v>
      </c>
      <c r="P19" s="7"/>
      <c r="Q19" s="7" t="s">
        <v>16</v>
      </c>
      <c r="R19" s="7"/>
      <c r="S19" s="8" t="s">
        <v>16</v>
      </c>
      <c r="T19" s="7"/>
      <c r="U19" s="7" t="s">
        <v>16</v>
      </c>
      <c r="V19" s="7" t="s">
        <v>16</v>
      </c>
      <c r="W19" s="8" t="n">
        <f aca="false">COUNTIF(E19:V19,"P")</f>
        <v>1</v>
      </c>
      <c r="X19" s="8" t="n">
        <f aca="false">COUNTIF(E19:V19,"M")</f>
        <v>0</v>
      </c>
      <c r="Y19" s="8" t="n">
        <f aca="false">COUNTIF(E19:W19,"T")</f>
        <v>0</v>
      </c>
      <c r="Z19" s="8" t="n">
        <f aca="false">COUNTIF(E19:V19,"A")</f>
        <v>9</v>
      </c>
      <c r="AA19" s="8" t="n">
        <f aca="false">SUM(W19:Z19)</f>
        <v>10</v>
      </c>
      <c r="AB19" s="9" t="n">
        <f aca="false">(W19+X19/2+Y19/4)*10/AA19</f>
        <v>1</v>
      </c>
      <c r="AC19" s="7"/>
      <c r="AD19" s="7" t="s">
        <v>16</v>
      </c>
      <c r="AE19" s="7"/>
      <c r="AF19" s="7" t="s">
        <v>16</v>
      </c>
      <c r="AG19" s="7"/>
      <c r="AH19" s="7" t="s">
        <v>16</v>
      </c>
      <c r="AI19" s="7" t="s">
        <v>16</v>
      </c>
      <c r="AJ19" s="7" t="s">
        <v>16</v>
      </c>
      <c r="AK19" s="2" t="s">
        <v>16</v>
      </c>
      <c r="AL19" s="7" t="s">
        <v>16</v>
      </c>
      <c r="AM19" s="7" t="s">
        <v>16</v>
      </c>
      <c r="AN19" s="7" t="s">
        <v>16</v>
      </c>
      <c r="AO19" s="7" t="s">
        <v>16</v>
      </c>
      <c r="AP19" s="7"/>
      <c r="AQ19" s="7" t="s">
        <v>16</v>
      </c>
      <c r="AR19" s="7" t="s">
        <v>16</v>
      </c>
      <c r="AS19" s="7" t="s">
        <v>16</v>
      </c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WYI19" s="1"/>
      <c r="WYJ19" s="1"/>
      <c r="WYK19" s="1"/>
      <c r="WYL19" s="1"/>
      <c r="WYM19" s="1"/>
      <c r="WYN19" s="1"/>
    </row>
    <row r="20" s="7" customFormat="true" ht="15" hidden="false" customHeight="false" outlineLevel="0" collapsed="false">
      <c r="A20" s="7" t="n">
        <v>19</v>
      </c>
      <c r="B20" s="8" t="s">
        <v>73</v>
      </c>
      <c r="C20" s="8" t="s">
        <v>74</v>
      </c>
      <c r="D20" s="8" t="s">
        <v>75</v>
      </c>
      <c r="E20" s="7" t="s">
        <v>14</v>
      </c>
      <c r="F20" s="7" t="s">
        <v>14</v>
      </c>
      <c r="I20" s="7" t="s">
        <v>14</v>
      </c>
      <c r="K20" s="7" t="s">
        <v>16</v>
      </c>
      <c r="M20" s="7" t="s">
        <v>16</v>
      </c>
      <c r="N20" s="7" t="s">
        <v>50</v>
      </c>
      <c r="O20" s="7" t="s">
        <v>16</v>
      </c>
      <c r="Q20" s="7" t="s">
        <v>16</v>
      </c>
      <c r="S20" s="8" t="s">
        <v>16</v>
      </c>
      <c r="U20" s="7" t="s">
        <v>16</v>
      </c>
      <c r="V20" s="7" t="s">
        <v>16</v>
      </c>
      <c r="W20" s="8" t="n">
        <f aca="false">COUNTIF(E20:V20,"P")</f>
        <v>3</v>
      </c>
      <c r="X20" s="8" t="n">
        <f aca="false">COUNTIF(E20:V20,"M")</f>
        <v>0</v>
      </c>
      <c r="Y20" s="8" t="n">
        <f aca="false">COUNTIF(E20:W20,"T")</f>
        <v>0</v>
      </c>
      <c r="Z20" s="8" t="n">
        <f aca="false">COUNTIF(E20:V20,"A")</f>
        <v>7</v>
      </c>
      <c r="AA20" s="8" t="n">
        <f aca="false">SUM(W20:Z20)</f>
        <v>10</v>
      </c>
      <c r="AB20" s="9" t="n">
        <f aca="false">(W20+X20/2+Y20/4)*10/AA20</f>
        <v>3</v>
      </c>
      <c r="AD20" s="7" t="s">
        <v>16</v>
      </c>
      <c r="AF20" s="7" t="s">
        <v>16</v>
      </c>
      <c r="AH20" s="7" t="s">
        <v>16</v>
      </c>
      <c r="AI20" s="7" t="s">
        <v>16</v>
      </c>
      <c r="AJ20" s="7" t="s">
        <v>16</v>
      </c>
      <c r="AK20" s="2" t="s">
        <v>16</v>
      </c>
      <c r="AL20" s="7" t="s">
        <v>16</v>
      </c>
      <c r="AM20" s="7" t="s">
        <v>16</v>
      </c>
      <c r="AN20" s="7" t="s">
        <v>16</v>
      </c>
      <c r="AO20" s="7" t="s">
        <v>16</v>
      </c>
      <c r="AQ20" s="7" t="s">
        <v>16</v>
      </c>
      <c r="AR20" s="7" t="s">
        <v>16</v>
      </c>
      <c r="AS20" s="7" t="s">
        <v>16</v>
      </c>
      <c r="WYI20" s="1"/>
      <c r="WYJ20" s="1"/>
      <c r="WYK20" s="1"/>
      <c r="WYL20" s="1"/>
      <c r="WYM20" s="1"/>
      <c r="WYN20" s="1"/>
    </row>
    <row r="21" s="1" customFormat="true" ht="15" hidden="false" customHeight="false" outlineLevel="0" collapsed="false">
      <c r="A21" s="1" t="n">
        <v>20</v>
      </c>
      <c r="B21" s="2" t="s">
        <v>76</v>
      </c>
      <c r="C21" s="2" t="s">
        <v>77</v>
      </c>
      <c r="D21" s="2" t="s">
        <v>78</v>
      </c>
      <c r="E21" s="1" t="s">
        <v>14</v>
      </c>
      <c r="F21" s="1" t="s">
        <v>14</v>
      </c>
      <c r="I21" s="1" t="s">
        <v>14</v>
      </c>
      <c r="J21" s="1" t="s">
        <v>15</v>
      </c>
      <c r="K21" s="1" t="s">
        <v>16</v>
      </c>
      <c r="M21" s="1" t="s">
        <v>14</v>
      </c>
      <c r="O21" s="1" t="s">
        <v>17</v>
      </c>
      <c r="P21" s="5" t="n">
        <v>0.666666666666667</v>
      </c>
      <c r="Q21" s="1" t="s">
        <v>14</v>
      </c>
      <c r="S21" s="2" t="s">
        <v>14</v>
      </c>
      <c r="U21" s="1" t="s">
        <v>14</v>
      </c>
      <c r="V21" s="1" t="s">
        <v>14</v>
      </c>
      <c r="W21" s="2" t="n">
        <f aca="false">COUNTIF(E21:V21,"P")</f>
        <v>8</v>
      </c>
      <c r="X21" s="2" t="n">
        <f aca="false">COUNTIF(E21:V21,"M")</f>
        <v>0</v>
      </c>
      <c r="Y21" s="2" t="n">
        <f aca="false">COUNTIF(E21:W21,"T")</f>
        <v>1</v>
      </c>
      <c r="Z21" s="2" t="n">
        <f aca="false">COUNTIF(E21:V21,"A")</f>
        <v>1</v>
      </c>
      <c r="AA21" s="2" t="n">
        <f aca="false">SUM(W21:Z21)</f>
        <v>10</v>
      </c>
      <c r="AB21" s="4" t="n">
        <f aca="false">(W21+X21/2+Y21/4)*10/AA21</f>
        <v>8.25</v>
      </c>
      <c r="AD21" s="1" t="s">
        <v>14</v>
      </c>
      <c r="AF21" s="1" t="s">
        <v>17</v>
      </c>
      <c r="AG21" s="5" t="n">
        <v>0.680555555555556</v>
      </c>
      <c r="AH21" s="1" t="s">
        <v>14</v>
      </c>
      <c r="AI21" s="1" t="s">
        <v>14</v>
      </c>
      <c r="AJ21" s="1" t="s">
        <v>14</v>
      </c>
      <c r="AK21" s="2" t="s">
        <v>14</v>
      </c>
      <c r="AL21" s="1" t="s">
        <v>16</v>
      </c>
      <c r="AM21" s="1" t="s">
        <v>14</v>
      </c>
      <c r="AN21" s="1" t="s">
        <v>14</v>
      </c>
      <c r="AO21" s="1" t="s">
        <v>14</v>
      </c>
      <c r="AQ21" s="1" t="s">
        <v>14</v>
      </c>
      <c r="AR21" s="1" t="s">
        <v>16</v>
      </c>
      <c r="AS21" s="1" t="s">
        <v>14</v>
      </c>
    </row>
    <row r="22" s="1" customFormat="true" ht="15" hidden="false" customHeight="false" outlineLevel="0" collapsed="false">
      <c r="A22" s="1" t="n">
        <v>21</v>
      </c>
      <c r="B22" s="2" t="s">
        <v>79</v>
      </c>
      <c r="C22" s="2" t="s">
        <v>80</v>
      </c>
      <c r="D22" s="2" t="s">
        <v>81</v>
      </c>
      <c r="E22" s="1" t="s">
        <v>14</v>
      </c>
      <c r="F22" s="1" t="s">
        <v>14</v>
      </c>
      <c r="I22" s="1" t="s">
        <v>14</v>
      </c>
      <c r="K22" s="1" t="s">
        <v>14</v>
      </c>
      <c r="M22" s="1" t="s">
        <v>14</v>
      </c>
      <c r="O22" s="1" t="s">
        <v>14</v>
      </c>
      <c r="Q22" s="1" t="s">
        <v>14</v>
      </c>
      <c r="S22" s="2" t="s">
        <v>14</v>
      </c>
      <c r="U22" s="1" t="s">
        <v>14</v>
      </c>
      <c r="V22" s="1" t="s">
        <v>14</v>
      </c>
      <c r="W22" s="2" t="n">
        <f aca="false">COUNTIF(E22:V22,"P")</f>
        <v>10</v>
      </c>
      <c r="X22" s="2" t="n">
        <f aca="false">COUNTIF(E22:V22,"M")</f>
        <v>0</v>
      </c>
      <c r="Y22" s="2" t="n">
        <f aca="false">COUNTIF(E22:W22,"T")</f>
        <v>0</v>
      </c>
      <c r="Z22" s="2" t="n">
        <f aca="false">COUNTIF(E22:V22,"A")</f>
        <v>0</v>
      </c>
      <c r="AA22" s="2" t="n">
        <f aca="false">SUM(W22:Z22)</f>
        <v>10</v>
      </c>
      <c r="AB22" s="4" t="n">
        <f aca="false">(W22+X22/2+Y22/4)*10/AA22</f>
        <v>10</v>
      </c>
      <c r="AD22" s="1" t="s">
        <v>14</v>
      </c>
      <c r="AF22" s="1" t="s">
        <v>14</v>
      </c>
      <c r="AH22" s="1" t="s">
        <v>14</v>
      </c>
      <c r="AI22" s="1" t="s">
        <v>14</v>
      </c>
      <c r="AJ22" s="1" t="s">
        <v>14</v>
      </c>
      <c r="AK22" s="2" t="s">
        <v>14</v>
      </c>
      <c r="AL22" s="1" t="s">
        <v>14</v>
      </c>
      <c r="AM22" s="1" t="s">
        <v>14</v>
      </c>
      <c r="AN22" s="1" t="s">
        <v>14</v>
      </c>
      <c r="AO22" s="1" t="s">
        <v>16</v>
      </c>
      <c r="AQ22" s="1" t="s">
        <v>14</v>
      </c>
      <c r="AR22" s="1" t="s">
        <v>14</v>
      </c>
      <c r="AS22" s="1" t="s">
        <v>14</v>
      </c>
    </row>
    <row r="23" s="8" customFormat="true" ht="15" hidden="false" customHeight="false" outlineLevel="0" collapsed="false">
      <c r="A23" s="7" t="n">
        <v>22</v>
      </c>
      <c r="B23" s="8" t="s">
        <v>82</v>
      </c>
      <c r="C23" s="8" t="s">
        <v>83</v>
      </c>
      <c r="D23" s="8" t="s">
        <v>84</v>
      </c>
      <c r="E23" s="7" t="s">
        <v>14</v>
      </c>
      <c r="F23" s="7" t="s">
        <v>16</v>
      </c>
      <c r="G23" s="7" t="s">
        <v>50</v>
      </c>
      <c r="H23" s="7"/>
      <c r="I23" s="7" t="s">
        <v>14</v>
      </c>
      <c r="J23" s="7"/>
      <c r="K23" s="7" t="s">
        <v>16</v>
      </c>
      <c r="L23" s="7" t="s">
        <v>50</v>
      </c>
      <c r="M23" s="7" t="s">
        <v>16</v>
      </c>
      <c r="N23" s="7" t="s">
        <v>50</v>
      </c>
      <c r="O23" s="7" t="s">
        <v>16</v>
      </c>
      <c r="P23" s="7"/>
      <c r="Q23" s="7" t="s">
        <v>16</v>
      </c>
      <c r="R23" s="7"/>
      <c r="S23" s="8" t="s">
        <v>16</v>
      </c>
      <c r="T23" s="7"/>
      <c r="U23" s="7" t="s">
        <v>16</v>
      </c>
      <c r="V23" s="7" t="s">
        <v>16</v>
      </c>
      <c r="W23" s="2" t="n">
        <f aca="false">COUNTIF(E23:V23,"P")</f>
        <v>2</v>
      </c>
      <c r="X23" s="2" t="n">
        <f aca="false">COUNTIF(E23:V23,"M")</f>
        <v>0</v>
      </c>
      <c r="Y23" s="2" t="n">
        <f aca="false">COUNTIF(E23:W23,"T")</f>
        <v>0</v>
      </c>
      <c r="Z23" s="2" t="n">
        <f aca="false">COUNTIF(E23:V23,"A")</f>
        <v>8</v>
      </c>
      <c r="AA23" s="2" t="n">
        <f aca="false">SUM(W23:Z23)</f>
        <v>10</v>
      </c>
      <c r="AB23" s="4" t="n">
        <f aca="false">(W23+X23/2+Y23/4)*10/AA23</f>
        <v>2</v>
      </c>
      <c r="AC23" s="7"/>
      <c r="AD23" s="7" t="s">
        <v>16</v>
      </c>
      <c r="AE23" s="7"/>
      <c r="AF23" s="7" t="s">
        <v>16</v>
      </c>
      <c r="AG23" s="7"/>
      <c r="AH23" s="7" t="s">
        <v>16</v>
      </c>
      <c r="AI23" s="7" t="s">
        <v>16</v>
      </c>
      <c r="AJ23" s="7" t="s">
        <v>16</v>
      </c>
      <c r="AK23" s="2" t="s">
        <v>16</v>
      </c>
      <c r="AL23" s="7" t="s">
        <v>16</v>
      </c>
      <c r="AM23" s="7" t="s">
        <v>16</v>
      </c>
      <c r="AN23" s="7" t="s">
        <v>16</v>
      </c>
      <c r="AO23" s="7" t="s">
        <v>16</v>
      </c>
      <c r="AP23" s="7"/>
      <c r="AQ23" s="7" t="s">
        <v>16</v>
      </c>
      <c r="AR23" s="7" t="s">
        <v>16</v>
      </c>
      <c r="AS23" s="7" t="s">
        <v>16</v>
      </c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WYI23" s="1"/>
      <c r="WYJ23" s="1"/>
      <c r="WYK23" s="1"/>
      <c r="WYL23" s="1"/>
      <c r="WYM23" s="1"/>
      <c r="WYN23" s="1"/>
    </row>
    <row r="24" customFormat="false" ht="15" hidden="false" customHeight="false" outlineLevel="0" collapsed="false">
      <c r="C24" s="1" t="s">
        <v>5</v>
      </c>
      <c r="D24" s="1" t="s">
        <v>5</v>
      </c>
      <c r="E24" s="1" t="n">
        <f aca="false">COUNTIF(E3:E23,"P")</f>
        <v>21</v>
      </c>
      <c r="F24" s="1" t="n">
        <f aca="false">COUNTIF(F3:F23,"P")</f>
        <v>15</v>
      </c>
      <c r="I24" s="1" t="n">
        <f aca="false">COUNTIF(I3:I23,"P")</f>
        <v>17</v>
      </c>
      <c r="K24" s="1" t="n">
        <f aca="false">COUNTIF(K3:K23,"P")</f>
        <v>12</v>
      </c>
      <c r="M24" s="1" t="n">
        <f aca="false">COUNTIF(M3:M23,"P")</f>
        <v>14</v>
      </c>
      <c r="O24" s="1" t="n">
        <f aca="false">COUNTIF(O3:O23,"P")</f>
        <v>14</v>
      </c>
      <c r="Q24" s="1" t="n">
        <f aca="false">COUNTIF(Q3:Q23,"P")</f>
        <v>14</v>
      </c>
      <c r="S24" s="1" t="n">
        <f aca="false">COUNTIF(S3:S23,"P")</f>
        <v>14</v>
      </c>
      <c r="U24" s="1" t="n">
        <f aca="false">COUNTIF(U3:U23,"P")</f>
        <v>16</v>
      </c>
      <c r="V24" s="1" t="n">
        <f aca="false">COUNTIF(V3:V23,"P")</f>
        <v>15</v>
      </c>
      <c r="Z24" s="1"/>
      <c r="AD24" s="2" t="n">
        <f aca="false">COUNTIF(AD3:AD23,"P")</f>
        <v>15</v>
      </c>
      <c r="AF24" s="2" t="n">
        <f aca="false">COUNTIF(AF3:AF23,"P")</f>
        <v>13</v>
      </c>
      <c r="AG24" s="2"/>
      <c r="AH24" s="2" t="n">
        <f aca="false">COUNTIF(AH3:AH23,"P")</f>
        <v>15</v>
      </c>
      <c r="AI24" s="2" t="n">
        <f aca="false">COUNTIF(AI3:AI23,"P")</f>
        <v>14</v>
      </c>
      <c r="AJ24" s="2" t="n">
        <f aca="false">COUNTIF(AJ3:AJ23,"P")</f>
        <v>15</v>
      </c>
      <c r="AK24" s="2" t="n">
        <f aca="false">COUNTIF(AK3:AK23,"P")</f>
        <v>13</v>
      </c>
      <c r="AL24" s="2" t="n">
        <f aca="false">COUNTIF(AL3:AL23,"P")</f>
        <v>12</v>
      </c>
      <c r="AM24" s="2" t="n">
        <f aca="false">COUNTIF(AM3:AM23,"P")</f>
        <v>16</v>
      </c>
      <c r="AN24" s="2" t="n">
        <f aca="false">COUNTIF(AN3:AN23,"P")</f>
        <v>15</v>
      </c>
      <c r="AO24" s="2" t="n">
        <f aca="false">COUNTIF(AO3:AO23,"P")</f>
        <v>12</v>
      </c>
      <c r="AP24" s="2"/>
      <c r="AQ24" s="2" t="n">
        <f aca="false">COUNTIF(AQ3:AQ23,"P")</f>
        <v>15</v>
      </c>
      <c r="AR24" s="2" t="n">
        <f aca="false">COUNTIF(AR3:AR23,"P")</f>
        <v>12</v>
      </c>
      <c r="AS24" s="2" t="n">
        <f aca="false">COUNTIF(AS3:AS23,"P")</f>
        <v>15</v>
      </c>
    </row>
    <row r="25" customFormat="false" ht="15" hidden="false" customHeight="false" outlineLevel="0" collapsed="false">
      <c r="C25" s="1" t="s">
        <v>85</v>
      </c>
      <c r="E25" s="1" t="n">
        <f aca="false">COUNTIF(E3:E23,"M")</f>
        <v>0</v>
      </c>
      <c r="F25" s="1" t="n">
        <f aca="false">COUNTIF(F3:F23,"M")</f>
        <v>0</v>
      </c>
      <c r="I25" s="1" t="n">
        <f aca="false">COUNTIF(I3:I23,"M")</f>
        <v>0</v>
      </c>
      <c r="K25" s="1" t="n">
        <f aca="false">COUNTIF(K3:K23,"M")</f>
        <v>0</v>
      </c>
      <c r="M25" s="1" t="n">
        <f aca="false">COUNTIF(M3:M23,"M")</f>
        <v>0</v>
      </c>
      <c r="O25" s="1" t="n">
        <f aca="false">COUNTIF(O3:O23,"M")</f>
        <v>0</v>
      </c>
      <c r="Q25" s="1" t="n">
        <f aca="false">COUNTIF(Q3:Q23,"M")</f>
        <v>0</v>
      </c>
      <c r="S25" s="1" t="n">
        <f aca="false">COUNTIF(S3:S23,"M")</f>
        <v>0</v>
      </c>
      <c r="U25" s="1" t="n">
        <f aca="false">COUNTIF(U3:U23,"M")</f>
        <v>0</v>
      </c>
      <c r="V25" s="1" t="n">
        <f aca="false">COUNTIF(V3:V23,"M")</f>
        <v>0</v>
      </c>
      <c r="Z25" s="1"/>
      <c r="AF25" s="2" t="n">
        <f aca="false">COUNTIF(AF3:AF23,"M")</f>
        <v>0</v>
      </c>
      <c r="AH25" s="2" t="n">
        <f aca="false">COUNTIF(AH3:AH23,"M")</f>
        <v>0</v>
      </c>
      <c r="AI25" s="2" t="n">
        <f aca="false">COUNTIF(AI3:AI23,"M")</f>
        <v>0</v>
      </c>
      <c r="AJ25" s="2" t="n">
        <f aca="false">COUNTIF(AJ3:AJ23,"M")</f>
        <v>0</v>
      </c>
      <c r="AK25" s="2" t="n">
        <f aca="false">COUNTIF(AK3:AK23,"M")</f>
        <v>0</v>
      </c>
      <c r="AL25" s="2" t="n">
        <f aca="false">COUNTIF(AL3:AL23,"M")</f>
        <v>0</v>
      </c>
      <c r="AM25" s="2" t="n">
        <f aca="false">COUNTIF(AM3:AM23,"M")</f>
        <v>0</v>
      </c>
      <c r="AN25" s="2" t="n">
        <f aca="false">COUNTIF(AN3:AN23,"M")</f>
        <v>0</v>
      </c>
      <c r="AO25" s="2" t="n">
        <f aca="false">COUNTIF(AO3:AO23,"M")</f>
        <v>0</v>
      </c>
      <c r="AP25" s="2"/>
      <c r="AQ25" s="2" t="n">
        <f aca="false">COUNTIF(AQ3:AQ23,"M")</f>
        <v>0</v>
      </c>
      <c r="AR25" s="2" t="n">
        <f aca="false">COUNTIF(AR3:AR23,"M")</f>
        <v>0</v>
      </c>
      <c r="AS25" s="2" t="s">
        <v>86</v>
      </c>
    </row>
    <row r="26" customFormat="false" ht="15" hidden="false" customHeight="false" outlineLevel="0" collapsed="false">
      <c r="C26" s="1" t="s">
        <v>7</v>
      </c>
      <c r="E26" s="1" t="n">
        <f aca="false">COUNTIF(E3:E23,"T")</f>
        <v>0</v>
      </c>
      <c r="F26" s="1" t="n">
        <f aca="false">COUNTIF(F3:F23,"T")</f>
        <v>0</v>
      </c>
      <c r="I26" s="1" t="n">
        <f aca="false">COUNTIF(I3:I23,"T")</f>
        <v>0</v>
      </c>
      <c r="K26" s="1" t="n">
        <f aca="false">COUNTIF(K3:K23,"T")</f>
        <v>0</v>
      </c>
      <c r="M26" s="1" t="n">
        <f aca="false">COUNTIF(M3:M23,"T")</f>
        <v>0</v>
      </c>
      <c r="O26" s="1" t="n">
        <f aca="false">COUNTIF(O3:O23,"T")</f>
        <v>1</v>
      </c>
      <c r="Q26" s="1" t="n">
        <f aca="false">COUNTIF(Q3:Q23,"T")</f>
        <v>0</v>
      </c>
      <c r="S26" s="1" t="n">
        <f aca="false">COUNTIF(S3:S23,"T")</f>
        <v>1</v>
      </c>
      <c r="U26" s="1" t="n">
        <f aca="false">COUNTIF(U3:U23,"T")</f>
        <v>0</v>
      </c>
      <c r="V26" s="1" t="n">
        <f aca="false">COUNTIF(V3:V23,"T")</f>
        <v>1</v>
      </c>
      <c r="Z26" s="1"/>
      <c r="AF26" s="2" t="n">
        <f aca="false">COUNTIF(AF3:AF23,"T")</f>
        <v>2</v>
      </c>
      <c r="AH26" s="2" t="n">
        <f aca="false">COUNTIF(AH3:AH23,"T")</f>
        <v>0</v>
      </c>
      <c r="AI26" s="2" t="n">
        <f aca="false">COUNTIF(AI3:AI23,"T")</f>
        <v>0</v>
      </c>
      <c r="AJ26" s="2" t="n">
        <f aca="false">COUNTIF(AJ3:AJ23,"T")</f>
        <v>0</v>
      </c>
      <c r="AK26" s="2" t="n">
        <f aca="false">COUNTIF(AK3:AK23,"T")</f>
        <v>0</v>
      </c>
      <c r="AL26" s="2" t="n">
        <f aca="false">COUNTIF(AL3:AL23,"T")</f>
        <v>0</v>
      </c>
      <c r="AM26" s="2" t="n">
        <f aca="false">COUNTIF(AM3:AM23,"T")</f>
        <v>0</v>
      </c>
      <c r="AN26" s="2" t="n">
        <f aca="false">COUNTIF(AN3:AN23,"T")</f>
        <v>0</v>
      </c>
      <c r="AO26" s="2" t="n">
        <f aca="false">COUNTIF(AO3:AO23,"T")</f>
        <v>2</v>
      </c>
      <c r="AP26" s="2"/>
      <c r="AQ26" s="2" t="n">
        <f aca="false">COUNTIF(AQ3:AQ23,"T")</f>
        <v>0</v>
      </c>
      <c r="AR26" s="2" t="n">
        <f aca="false">COUNTIF(AR3:AR23,"T")</f>
        <v>0</v>
      </c>
      <c r="AS26" s="2" t="n">
        <f aca="false">COUNTIF(AS3:AS23,"T")</f>
        <v>0</v>
      </c>
    </row>
    <row r="27" customFormat="false" ht="15" hidden="false" customHeight="false" outlineLevel="0" collapsed="false">
      <c r="C27" s="1" t="s">
        <v>9</v>
      </c>
      <c r="E27" s="1" t="n">
        <f aca="false">SUM(E24:E26)</f>
        <v>21</v>
      </c>
      <c r="F27" s="1" t="n">
        <f aca="false">SUM(F24:F26)</f>
        <v>15</v>
      </c>
      <c r="I27" s="1" t="n">
        <f aca="false">SUM(I24:I26)</f>
        <v>17</v>
      </c>
      <c r="K27" s="1" t="n">
        <f aca="false">SUM(K24:K26)</f>
        <v>12</v>
      </c>
      <c r="M27" s="1" t="n">
        <f aca="false">SUM(M24:M26)</f>
        <v>14</v>
      </c>
      <c r="O27" s="1" t="n">
        <f aca="false">SUM(O24:O26)</f>
        <v>15</v>
      </c>
      <c r="Q27" s="1" t="n">
        <f aca="false">SUM(Q24:Q26)</f>
        <v>14</v>
      </c>
      <c r="S27" s="1" t="n">
        <f aca="false">SUM(S24:S26)</f>
        <v>15</v>
      </c>
      <c r="U27" s="1" t="n">
        <f aca="false">SUM(U24:U26)</f>
        <v>16</v>
      </c>
      <c r="V27" s="1" t="n">
        <f aca="false">SUM(V24:V26)</f>
        <v>16</v>
      </c>
      <c r="Z27" s="1"/>
      <c r="AF27" s="2" t="n">
        <f aca="false">SUM(AF24:AF26)</f>
        <v>15</v>
      </c>
      <c r="AH27" s="2" t="n">
        <f aca="false">SUM(AH24:AH26)</f>
        <v>15</v>
      </c>
      <c r="AI27" s="2" t="n">
        <f aca="false">SUM(AI24:AI26)</f>
        <v>14</v>
      </c>
      <c r="AJ27" s="2" t="n">
        <f aca="false">SUM(AJ24:AJ26)</f>
        <v>15</v>
      </c>
      <c r="AK27" s="2" t="n">
        <f aca="false">SUM(AK24:AK26)</f>
        <v>13</v>
      </c>
      <c r="AL27" s="2" t="n">
        <f aca="false">SUM(AL24:AL26)</f>
        <v>12</v>
      </c>
      <c r="AM27" s="2" t="n">
        <f aca="false">SUM(AM24:AM26)</f>
        <v>16</v>
      </c>
      <c r="AN27" s="2" t="n">
        <f aca="false">SUM(AN24:AN26)</f>
        <v>15</v>
      </c>
      <c r="AO27" s="2" t="n">
        <f aca="false">SUM(AO24:AO26)</f>
        <v>14</v>
      </c>
      <c r="AP27" s="2"/>
      <c r="AQ27" s="2" t="n">
        <f aca="false">SUM(AQ24:AQ26)</f>
        <v>15</v>
      </c>
      <c r="AR27" s="2" t="n">
        <f aca="false">SUM(AR24:AR26)</f>
        <v>12</v>
      </c>
      <c r="AS27" s="2" t="n">
        <f aca="false">SUM(AS24:AS26)</f>
        <v>15</v>
      </c>
    </row>
  </sheetData>
  <conditionalFormatting sqref="AB3:AB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A23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AF3" activeCellId="0" sqref="AF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3" min="3" style="1" width="9.6"/>
    <col collapsed="false" customWidth="false" hidden="true" outlineLevel="0" max="5" min="4" style="1" width="9.6"/>
    <col collapsed="false" customWidth="true" hidden="true" outlineLevel="0" max="6" min="6" style="1" width="12.98"/>
    <col collapsed="false" customWidth="false" hidden="true" outlineLevel="0" max="8" min="7" style="1" width="9.6"/>
    <col collapsed="false" customWidth="true" hidden="true" outlineLevel="0" max="9" min="9" style="1" width="9.53"/>
    <col collapsed="false" customWidth="true" hidden="true" outlineLevel="0" max="10" min="10" style="1" width="11.94"/>
    <col collapsed="false" customWidth="true" hidden="true" outlineLevel="0" max="11" min="11" style="1" width="14.2"/>
    <col collapsed="false" customWidth="true" hidden="true" outlineLevel="0" max="12" min="12" style="1" width="8.46"/>
    <col collapsed="false" customWidth="true" hidden="true" outlineLevel="0" max="13" min="13" style="1" width="19.08"/>
    <col collapsed="false" customWidth="true" hidden="true" outlineLevel="0" max="14" min="14" style="1" width="14.2"/>
    <col collapsed="false" customWidth="true" hidden="true" outlineLevel="0" max="15" min="15" style="1" width="8.84"/>
    <col collapsed="false" customWidth="true" hidden="true" outlineLevel="0" max="16" min="16" style="1" width="21.49"/>
    <col collapsed="false" customWidth="true" hidden="true" outlineLevel="0" max="17" min="17" style="1" width="15.1"/>
    <col collapsed="false" customWidth="true" hidden="true" outlineLevel="0" max="18" min="18" style="1" width="8.84"/>
    <col collapsed="false" customWidth="true" hidden="true" outlineLevel="0" max="19" min="19" style="1" width="10.76"/>
    <col collapsed="false" customWidth="true" hidden="true" outlineLevel="0" max="23" min="20" style="1" width="19.08"/>
    <col collapsed="false" customWidth="false" hidden="true" outlineLevel="0" max="24" min="24" style="1" width="9.6"/>
    <col collapsed="false" customWidth="true" hidden="true" outlineLevel="0" max="25" min="25" style="1" width="21.35"/>
    <col collapsed="false" customWidth="true" hidden="true" outlineLevel="0" max="26" min="26" style="1" width="27.18"/>
    <col collapsed="false" customWidth="true" hidden="false" outlineLevel="0" max="27" min="27" style="1" width="16.37"/>
    <col collapsed="false" customWidth="true" hidden="false" outlineLevel="0" max="28" min="28" style="1" width="44.96"/>
    <col collapsed="false" customWidth="true" hidden="false" outlineLevel="0" max="29" min="29" style="1" width="10.87"/>
    <col collapsed="false" customWidth="true" hidden="false" outlineLevel="0" max="32" min="32" style="1" width="11.39"/>
    <col collapsed="false" customWidth="true" hidden="false" outlineLevel="0" max="997" min="997" style="1" width="9.33"/>
    <col collapsed="false" customWidth="true" hidden="false" outlineLevel="0" max="16384" min="16355" style="1" width="10.58"/>
  </cols>
  <sheetData>
    <row r="1" customFormat="false" ht="15" hidden="false" customHeight="false" outlineLevel="0" collapsed="false">
      <c r="B1" s="2"/>
      <c r="K1" s="1" t="s">
        <v>87</v>
      </c>
      <c r="N1" s="1" t="s">
        <v>87</v>
      </c>
      <c r="Q1" s="1" t="s">
        <v>88</v>
      </c>
      <c r="AA1" s="3" t="n">
        <v>46189</v>
      </c>
      <c r="AB1" s="2" t="s">
        <v>4</v>
      </c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89</v>
      </c>
      <c r="D2" s="2" t="s">
        <v>90</v>
      </c>
      <c r="E2" s="2" t="s">
        <v>91</v>
      </c>
      <c r="F2" s="2" t="s">
        <v>92</v>
      </c>
      <c r="G2" s="2" t="s">
        <v>93</v>
      </c>
      <c r="H2" s="2" t="s">
        <v>94</v>
      </c>
      <c r="I2" s="2" t="s">
        <v>95</v>
      </c>
      <c r="J2" s="2" t="s">
        <v>96</v>
      </c>
      <c r="K2" s="2" t="s">
        <v>97</v>
      </c>
      <c r="L2" s="2" t="s">
        <v>98</v>
      </c>
      <c r="M2" s="2" t="s">
        <v>99</v>
      </c>
      <c r="N2" s="2" t="s">
        <v>100</v>
      </c>
      <c r="O2" s="2" t="s">
        <v>101</v>
      </c>
      <c r="P2" s="2" t="s">
        <v>102</v>
      </c>
      <c r="Q2" s="2" t="s">
        <v>103</v>
      </c>
      <c r="R2" s="2" t="s">
        <v>104</v>
      </c>
      <c r="S2" s="2" t="s">
        <v>105</v>
      </c>
      <c r="T2" s="4" t="s">
        <v>10</v>
      </c>
      <c r="U2" s="4" t="s">
        <v>106</v>
      </c>
      <c r="V2" s="2" t="s">
        <v>107</v>
      </c>
      <c r="W2" s="2" t="s">
        <v>108</v>
      </c>
      <c r="Y2" s="2" t="s">
        <v>109</v>
      </c>
      <c r="Z2" s="2" t="s">
        <v>110</v>
      </c>
      <c r="AA2" s="2" t="s">
        <v>111</v>
      </c>
      <c r="AB2" s="2" t="s">
        <v>112</v>
      </c>
      <c r="AC2" s="2" t="s">
        <v>113</v>
      </c>
      <c r="AD2" s="2" t="s">
        <v>114</v>
      </c>
      <c r="AE2" s="2" t="s">
        <v>115</v>
      </c>
      <c r="AF2" s="2" t="s">
        <v>116</v>
      </c>
      <c r="AG2" s="2" t="s">
        <v>117</v>
      </c>
      <c r="AH2" s="2" t="s">
        <v>118</v>
      </c>
    </row>
    <row r="3" s="1" customFormat="true" ht="15" hidden="false" customHeight="false" outlineLevel="0" collapsed="false">
      <c r="A3" s="1" t="n">
        <v>7</v>
      </c>
      <c r="B3" s="2"/>
      <c r="C3" s="1" t="n">
        <v>1</v>
      </c>
      <c r="D3" s="1" t="s">
        <v>119</v>
      </c>
      <c r="I3" s="1" t="n">
        <v>9</v>
      </c>
      <c r="J3" s="1" t="n">
        <v>7</v>
      </c>
      <c r="K3" s="1" t="n">
        <v>2</v>
      </c>
      <c r="L3" s="1" t="n">
        <f aca="false">J3-K3</f>
        <v>5</v>
      </c>
      <c r="M3" s="1" t="n">
        <v>9</v>
      </c>
      <c r="N3" s="1" t="n">
        <v>0</v>
      </c>
      <c r="O3" s="1" t="n">
        <f aca="false">M3-N3</f>
        <v>9</v>
      </c>
      <c r="P3" s="1" t="n">
        <v>9</v>
      </c>
      <c r="Q3" s="1" t="n">
        <v>1</v>
      </c>
      <c r="R3" s="1" t="n">
        <f aca="false">P3-Q3</f>
        <v>8</v>
      </c>
      <c r="S3" s="1" t="n">
        <v>10</v>
      </c>
      <c r="T3" s="10" t="n">
        <f aca="false">ROUND(AVERAGE(I3,L3,O3,R3,S3),0)</f>
        <v>8</v>
      </c>
      <c r="U3" s="10" t="str">
        <f aca="false">IF(T3&gt;6,"TEA",IF(T3&gt;3,"TEP","TED"))</f>
        <v>TEA</v>
      </c>
      <c r="W3" s="1" t="n">
        <v>10</v>
      </c>
      <c r="AA3" s="1" t="n">
        <v>8</v>
      </c>
      <c r="AB3" s="1" t="s">
        <v>120</v>
      </c>
      <c r="AC3" s="1" t="n">
        <v>10</v>
      </c>
      <c r="AD3" s="1" t="n">
        <v>1</v>
      </c>
      <c r="AE3" s="1" t="n">
        <f aca="false">ROUND(AVERAGE(AA3,AC3,AD3),0)</f>
        <v>6</v>
      </c>
    </row>
    <row r="4" s="7" customFormat="true" ht="15" hidden="false" customHeight="false" outlineLevel="0" collapsed="false">
      <c r="A4" s="7" t="n">
        <v>10</v>
      </c>
      <c r="B4" s="8" t="s">
        <v>121</v>
      </c>
      <c r="C4" s="8" t="n">
        <v>1</v>
      </c>
      <c r="D4" s="1"/>
      <c r="E4" s="1"/>
      <c r="F4" s="1"/>
      <c r="G4" s="1"/>
      <c r="H4" s="1"/>
      <c r="I4" s="1" t="n">
        <v>9</v>
      </c>
      <c r="J4" s="1" t="n">
        <v>7</v>
      </c>
      <c r="K4" s="1" t="n">
        <v>2</v>
      </c>
      <c r="L4" s="1" t="n">
        <f aca="false">J4-K4</f>
        <v>5</v>
      </c>
      <c r="M4" s="1" t="n">
        <v>9</v>
      </c>
      <c r="N4" s="1" t="n">
        <v>0</v>
      </c>
      <c r="O4" s="1" t="n">
        <f aca="false">M4-N4</f>
        <v>9</v>
      </c>
      <c r="P4" s="1" t="n">
        <v>8</v>
      </c>
      <c r="Q4" s="1" t="n">
        <v>0</v>
      </c>
      <c r="R4" s="1" t="n">
        <f aca="false">P4-Q4</f>
        <v>8</v>
      </c>
      <c r="S4" s="1" t="n">
        <v>10</v>
      </c>
      <c r="T4" s="10" t="n">
        <f aca="false">ROUND(AVERAGE(I4,L4,O4,R4,S4),0)</f>
        <v>8</v>
      </c>
      <c r="U4" s="10" t="str">
        <f aca="false">IF(T4&gt;6,"TEA",IF(T4&gt;3,"TEP","TED"))</f>
        <v>TEA</v>
      </c>
      <c r="V4" s="8"/>
      <c r="W4" s="7" t="n">
        <v>10</v>
      </c>
      <c r="AA4" s="8" t="n">
        <v>8</v>
      </c>
      <c r="AC4" s="7" t="n">
        <v>10</v>
      </c>
      <c r="AD4" s="7" t="n">
        <v>1</v>
      </c>
      <c r="AE4" s="1" t="n">
        <f aca="false">ROUND(AVERAGE(AA4,AC4,AD4),0)</f>
        <v>6</v>
      </c>
    </row>
    <row r="5" s="1" customFormat="true" ht="15" hidden="false" customHeight="false" outlineLevel="0" collapsed="false">
      <c r="A5" s="1" t="n">
        <v>11</v>
      </c>
      <c r="B5" s="2" t="s">
        <v>52</v>
      </c>
      <c r="C5" s="1" t="n">
        <v>1</v>
      </c>
      <c r="F5" s="1" t="s">
        <v>122</v>
      </c>
      <c r="I5" s="1" t="n">
        <v>10</v>
      </c>
      <c r="J5" s="1" t="n">
        <v>8</v>
      </c>
      <c r="K5" s="1" t="n">
        <v>1</v>
      </c>
      <c r="L5" s="1" t="n">
        <f aca="false">J5-K5</f>
        <v>7</v>
      </c>
      <c r="M5" s="1" t="n">
        <v>9</v>
      </c>
      <c r="N5" s="1" t="n">
        <v>0</v>
      </c>
      <c r="O5" s="1" t="n">
        <f aca="false">M5-N5</f>
        <v>9</v>
      </c>
      <c r="P5" s="1" t="n">
        <v>9</v>
      </c>
      <c r="Q5" s="1" t="n">
        <v>0</v>
      </c>
      <c r="R5" s="1" t="n">
        <f aca="false">P5-Q5</f>
        <v>9</v>
      </c>
      <c r="S5" s="1" t="n">
        <v>10</v>
      </c>
      <c r="T5" s="10" t="n">
        <f aca="false">ROUND(AVERAGE(I5,L5,O5,R5,S5),0)</f>
        <v>9</v>
      </c>
      <c r="U5" s="10" t="str">
        <f aca="false">IF(T5&gt;6,"TEA",IF(T5&gt;3,"TEP","TED"))</f>
        <v>TEA</v>
      </c>
      <c r="W5" s="1" t="n">
        <v>7</v>
      </c>
      <c r="X5" s="2"/>
      <c r="Y5" s="2"/>
      <c r="Z5" s="2"/>
      <c r="AA5" s="1" t="n">
        <v>8</v>
      </c>
      <c r="AC5" s="1" t="n">
        <v>10</v>
      </c>
      <c r="AD5" s="1" t="n">
        <v>1</v>
      </c>
      <c r="AE5" s="1" t="n">
        <f aca="false">ROUND(AVERAGE(AA5,AC5,AD5),0)</f>
        <v>6</v>
      </c>
    </row>
    <row r="6" s="1" customFormat="true" ht="15" hidden="false" customHeight="false" outlineLevel="0" collapsed="false">
      <c r="A6" s="1" t="n">
        <v>21</v>
      </c>
      <c r="B6" s="2" t="s">
        <v>80</v>
      </c>
      <c r="C6" s="1" t="n">
        <v>1</v>
      </c>
      <c r="I6" s="1" t="n">
        <v>10</v>
      </c>
      <c r="J6" s="1" t="n">
        <v>8</v>
      </c>
      <c r="K6" s="1" t="n">
        <v>1</v>
      </c>
      <c r="L6" s="1" t="n">
        <f aca="false">J6-K6</f>
        <v>7</v>
      </c>
      <c r="M6" s="1" t="n">
        <v>9</v>
      </c>
      <c r="N6" s="1" t="n">
        <v>0</v>
      </c>
      <c r="O6" s="1" t="n">
        <f aca="false">M6-N6</f>
        <v>9</v>
      </c>
      <c r="P6" s="1" t="n">
        <v>9</v>
      </c>
      <c r="Q6" s="1" t="n">
        <v>0</v>
      </c>
      <c r="R6" s="1" t="n">
        <f aca="false">P6-Q6</f>
        <v>9</v>
      </c>
      <c r="S6" s="1" t="n">
        <v>10</v>
      </c>
      <c r="T6" s="10" t="n">
        <f aca="false">ROUND(AVERAGE(I6,L6,O6,R6,S6),0)</f>
        <v>9</v>
      </c>
      <c r="U6" s="10" t="str">
        <f aca="false">IF(T6&gt;6,"TEA",IF(T6&gt;3,"TEP","TED"))</f>
        <v>TEA</v>
      </c>
      <c r="V6" s="7"/>
      <c r="W6" s="7" t="n">
        <v>8</v>
      </c>
      <c r="X6" s="7"/>
      <c r="Y6" s="7"/>
      <c r="Z6" s="7"/>
      <c r="AA6" s="1" t="n">
        <v>8</v>
      </c>
      <c r="AC6" s="1" t="n">
        <v>10</v>
      </c>
      <c r="AD6" s="1" t="n">
        <v>1</v>
      </c>
      <c r="AE6" s="1" t="n">
        <f aca="false">ROUND(AVERAGE(AA6,AC6,AD6),0)</f>
        <v>6</v>
      </c>
    </row>
    <row r="7" s="1" customFormat="true" ht="15" hidden="false" customHeight="false" outlineLevel="0" collapsed="false">
      <c r="A7" s="1" t="n">
        <v>2</v>
      </c>
      <c r="B7" s="2" t="s">
        <v>19</v>
      </c>
      <c r="C7" s="1" t="n">
        <v>2</v>
      </c>
      <c r="D7" s="2"/>
      <c r="E7" s="2"/>
      <c r="F7" s="2"/>
      <c r="G7" s="2"/>
      <c r="H7" s="2"/>
      <c r="I7" s="2" t="n">
        <v>7.5</v>
      </c>
      <c r="J7" s="2" t="n">
        <v>9</v>
      </c>
      <c r="K7" s="2" t="n">
        <v>0</v>
      </c>
      <c r="L7" s="1" t="n">
        <f aca="false">J7-K7</f>
        <v>9</v>
      </c>
      <c r="M7" s="2" t="n">
        <v>9</v>
      </c>
      <c r="N7" s="1" t="n">
        <v>5</v>
      </c>
      <c r="O7" s="1" t="n">
        <f aca="false">M7-N7</f>
        <v>4</v>
      </c>
      <c r="P7" s="2" t="n">
        <v>8</v>
      </c>
      <c r="Q7" s="2" t="n">
        <v>0</v>
      </c>
      <c r="R7" s="1" t="n">
        <f aca="false">P7-Q7</f>
        <v>8</v>
      </c>
      <c r="S7" s="1" t="n">
        <v>10</v>
      </c>
      <c r="T7" s="10" t="n">
        <f aca="false">ROUND(AVERAGE(I7,L7,O7,R7,S7),0)</f>
        <v>8</v>
      </c>
      <c r="U7" s="10" t="str">
        <f aca="false">IF(T7&gt;6,"TEA",IF(T7&gt;3,"TEP","TED"))</f>
        <v>TEA</v>
      </c>
      <c r="W7" s="1" t="n">
        <v>9</v>
      </c>
      <c r="AA7" s="1" t="n">
        <v>7</v>
      </c>
      <c r="AB7" s="1" t="s">
        <v>123</v>
      </c>
      <c r="AC7" s="1" t="n">
        <v>7</v>
      </c>
      <c r="AD7" s="1" t="n">
        <v>1</v>
      </c>
      <c r="AE7" s="1" t="n">
        <f aca="false">ROUND(AVERAGE(AA7,AC7,AD7),0)</f>
        <v>5</v>
      </c>
    </row>
    <row r="8" s="2" customFormat="true" ht="15" hidden="false" customHeight="false" outlineLevel="0" collapsed="false">
      <c r="A8" s="1" t="n">
        <v>5</v>
      </c>
      <c r="B8" s="2" t="s">
        <v>29</v>
      </c>
      <c r="C8" s="1" t="n">
        <v>2</v>
      </c>
      <c r="D8" s="1"/>
      <c r="E8" s="1"/>
      <c r="F8" s="1"/>
      <c r="G8" s="1"/>
      <c r="H8" s="1"/>
      <c r="I8" s="1" t="n">
        <v>10</v>
      </c>
      <c r="J8" s="1" t="n">
        <v>8</v>
      </c>
      <c r="K8" s="1" t="n">
        <v>1</v>
      </c>
      <c r="L8" s="1" t="n">
        <f aca="false">J8-K8</f>
        <v>7</v>
      </c>
      <c r="M8" s="1" t="n">
        <v>9</v>
      </c>
      <c r="N8" s="1" t="n">
        <v>0</v>
      </c>
      <c r="O8" s="1" t="n">
        <f aca="false">M8-N8</f>
        <v>9</v>
      </c>
      <c r="P8" s="1" t="n">
        <v>8</v>
      </c>
      <c r="Q8" s="1" t="n">
        <v>0</v>
      </c>
      <c r="R8" s="1" t="n">
        <f aca="false">P8-Q8</f>
        <v>8</v>
      </c>
      <c r="S8" s="1" t="n">
        <v>10</v>
      </c>
      <c r="T8" s="10" t="n">
        <f aca="false">ROUND(AVERAGE(I8,L8,O8,R8,S8),0)</f>
        <v>9</v>
      </c>
      <c r="U8" s="10" t="str">
        <f aca="false">IF(T8&gt;6,"TEA",IF(T8&gt;3,"TEP","TED"))</f>
        <v>TEA</v>
      </c>
      <c r="W8" s="2" t="n">
        <v>8</v>
      </c>
      <c r="AA8" s="1" t="n">
        <v>7</v>
      </c>
      <c r="AC8" s="2" t="n">
        <v>7</v>
      </c>
      <c r="AD8" s="2" t="n">
        <v>1</v>
      </c>
      <c r="AE8" s="1" t="n">
        <f aca="false">ROUND(AVERAGE(AA8,AC8,AD8),0)</f>
        <v>5</v>
      </c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AMY8" s="1"/>
      <c r="AMZ8" s="1"/>
      <c r="ANA8" s="1"/>
    </row>
    <row r="9" s="1" customFormat="true" ht="15" hidden="false" customHeight="false" outlineLevel="0" collapsed="false">
      <c r="A9" s="1" t="n">
        <v>6</v>
      </c>
      <c r="B9" s="2" t="s">
        <v>32</v>
      </c>
      <c r="C9" s="2" t="n">
        <v>2</v>
      </c>
      <c r="I9" s="1" t="n">
        <v>10</v>
      </c>
      <c r="J9" s="1" t="n">
        <v>9</v>
      </c>
      <c r="K9" s="1" t="n">
        <v>0</v>
      </c>
      <c r="L9" s="1" t="n">
        <f aca="false">J9-K9</f>
        <v>9</v>
      </c>
      <c r="M9" s="1" t="n">
        <v>8</v>
      </c>
      <c r="N9" s="1" t="n">
        <v>0</v>
      </c>
      <c r="O9" s="1" t="n">
        <f aca="false">M9-N9</f>
        <v>8</v>
      </c>
      <c r="P9" s="1" t="n">
        <v>7</v>
      </c>
      <c r="Q9" s="1" t="n">
        <v>0</v>
      </c>
      <c r="R9" s="1" t="n">
        <f aca="false">P9-Q9</f>
        <v>7</v>
      </c>
      <c r="S9" s="1" t="n">
        <v>10</v>
      </c>
      <c r="T9" s="10" t="n">
        <f aca="false">ROUND(AVERAGE(I9,L9,O9,R9,S9),0)</f>
        <v>9</v>
      </c>
      <c r="U9" s="10" t="str">
        <f aca="false">IF(T9&gt;6,"TEA",IF(T9&gt;3,"TEP","TED"))</f>
        <v>TEA</v>
      </c>
      <c r="W9" s="1" t="n">
        <v>8</v>
      </c>
      <c r="AA9" s="2" t="n">
        <v>7</v>
      </c>
      <c r="AC9" s="1" t="n">
        <v>7</v>
      </c>
      <c r="AD9" s="1" t="n">
        <v>1</v>
      </c>
      <c r="AE9" s="1" t="n">
        <f aca="false">ROUND(AVERAGE(AA9,AC9,AD9),0)</f>
        <v>5</v>
      </c>
    </row>
    <row r="10" s="7" customFormat="true" ht="15" hidden="false" customHeight="false" outlineLevel="0" collapsed="false">
      <c r="A10" s="1" t="n">
        <v>1</v>
      </c>
      <c r="B10" s="2" t="s">
        <v>12</v>
      </c>
      <c r="C10" s="1" t="n">
        <v>4</v>
      </c>
      <c r="D10" s="1"/>
      <c r="E10" s="1" t="s">
        <v>124</v>
      </c>
      <c r="F10" s="1"/>
      <c r="G10" s="1"/>
      <c r="H10" s="1"/>
      <c r="I10" s="1" t="n">
        <v>10</v>
      </c>
      <c r="J10" s="1" t="n">
        <v>9</v>
      </c>
      <c r="K10" s="1" t="n">
        <v>0</v>
      </c>
      <c r="L10" s="1" t="n">
        <f aca="false">J10-K10</f>
        <v>9</v>
      </c>
      <c r="M10" s="1" t="n">
        <v>9</v>
      </c>
      <c r="N10" s="1" t="n">
        <v>0</v>
      </c>
      <c r="O10" s="1" t="n">
        <f aca="false">M10-N10</f>
        <v>9</v>
      </c>
      <c r="P10" s="1" t="n">
        <v>9</v>
      </c>
      <c r="Q10" s="1" t="n">
        <v>0</v>
      </c>
      <c r="R10" s="1" t="n">
        <f aca="false">P10-Q10</f>
        <v>9</v>
      </c>
      <c r="S10" s="1" t="n">
        <v>9</v>
      </c>
      <c r="T10" s="10" t="n">
        <f aca="false">ROUND(AVERAGE(I10,L10,O10,R10,S10),0)</f>
        <v>9</v>
      </c>
      <c r="U10" s="10" t="str">
        <f aca="false">IF(T10&gt;6,"TEA",IF(T10&gt;3,"TEP","TED"))</f>
        <v>TEA</v>
      </c>
      <c r="V10" s="1"/>
      <c r="W10" s="1" t="n">
        <v>9</v>
      </c>
      <c r="X10" s="1"/>
      <c r="Y10" s="1"/>
      <c r="Z10" s="1"/>
      <c r="AA10" s="1" t="n">
        <v>7</v>
      </c>
      <c r="AB10" s="1" t="s">
        <v>125</v>
      </c>
      <c r="AC10" s="1" t="n">
        <v>8</v>
      </c>
      <c r="AD10" s="1" t="n">
        <v>8</v>
      </c>
      <c r="AE10" s="1" t="n">
        <f aca="false">ROUND(AVERAGE(AA10,AC10,AD10),0)</f>
        <v>8</v>
      </c>
    </row>
    <row r="11" s="1" customFormat="true" ht="15" hidden="false" customHeight="false" outlineLevel="0" collapsed="false">
      <c r="A11" s="1" t="n">
        <v>3</v>
      </c>
      <c r="B11" s="2" t="s">
        <v>22</v>
      </c>
      <c r="C11" s="1" t="n">
        <v>4</v>
      </c>
      <c r="I11" s="1" t="n">
        <v>9</v>
      </c>
      <c r="J11" s="1" t="n">
        <v>8</v>
      </c>
      <c r="K11" s="1" t="n">
        <v>1</v>
      </c>
      <c r="L11" s="1" t="n">
        <f aca="false">J11-K11</f>
        <v>7</v>
      </c>
      <c r="M11" s="1" t="n">
        <v>9</v>
      </c>
      <c r="N11" s="1" t="n">
        <v>0</v>
      </c>
      <c r="O11" s="1" t="n">
        <f aca="false">M11-N11</f>
        <v>9</v>
      </c>
      <c r="P11" s="1" t="n">
        <v>9</v>
      </c>
      <c r="Q11" s="2" t="n">
        <v>0</v>
      </c>
      <c r="R11" s="1" t="n">
        <f aca="false">P11-Q11</f>
        <v>9</v>
      </c>
      <c r="S11" s="1" t="n">
        <v>10</v>
      </c>
      <c r="T11" s="10" t="n">
        <f aca="false">ROUND(AVERAGE(I11,L11,O11,R11,S11),0)</f>
        <v>9</v>
      </c>
      <c r="U11" s="10" t="str">
        <f aca="false">IF(T11&gt;6,"TEA",IF(T11&gt;3,"TEP","TED"))</f>
        <v>TEA</v>
      </c>
      <c r="W11" s="1" t="n">
        <v>9</v>
      </c>
      <c r="AA11" s="1" t="n">
        <v>7</v>
      </c>
      <c r="AC11" s="1" t="n">
        <v>8</v>
      </c>
      <c r="AD11" s="1" t="n">
        <v>8</v>
      </c>
      <c r="AE11" s="1" t="n">
        <f aca="false">ROUND(AVERAGE(AA11,AC11,AD11),0)</f>
        <v>8</v>
      </c>
    </row>
    <row r="12" s="8" customFormat="true" ht="15" hidden="false" customHeight="false" outlineLevel="0" collapsed="false">
      <c r="A12" s="1" t="n">
        <v>15</v>
      </c>
      <c r="B12" s="2" t="s">
        <v>65</v>
      </c>
      <c r="C12" s="1" t="n">
        <v>4</v>
      </c>
      <c r="D12" s="7"/>
      <c r="E12" s="7" t="s">
        <v>124</v>
      </c>
      <c r="F12" s="7" t="s">
        <v>124</v>
      </c>
      <c r="G12" s="7"/>
      <c r="H12" s="7"/>
      <c r="I12" s="7" t="n">
        <v>3</v>
      </c>
      <c r="J12" s="7" t="n">
        <v>10</v>
      </c>
      <c r="K12" s="7" t="n">
        <v>2</v>
      </c>
      <c r="L12" s="7" t="n">
        <f aca="false">J12-K12</f>
        <v>8</v>
      </c>
      <c r="M12" s="7" t="n">
        <v>8</v>
      </c>
      <c r="N12" s="7" t="n">
        <v>0</v>
      </c>
      <c r="O12" s="7" t="n">
        <f aca="false">M12-N12</f>
        <v>8</v>
      </c>
      <c r="P12" s="7" t="n">
        <v>8</v>
      </c>
      <c r="Q12" s="8" t="n">
        <v>1</v>
      </c>
      <c r="R12" s="7" t="n">
        <f aca="false">P12-Q12</f>
        <v>7</v>
      </c>
      <c r="S12" s="7" t="n">
        <v>10</v>
      </c>
      <c r="T12" s="11" t="n">
        <f aca="false">ROUND(AVERAGE(I12,L12,O12,R12,S12),0)</f>
        <v>7</v>
      </c>
      <c r="U12" s="11" t="str">
        <f aca="false">IF(T12&gt;6,"TEA",IF(T12&gt;3,"TEP","TED"))</f>
        <v>TEA</v>
      </c>
      <c r="V12" s="2"/>
      <c r="W12" s="2" t="n">
        <v>7</v>
      </c>
      <c r="X12" s="2"/>
      <c r="Y12" s="2"/>
      <c r="Z12" s="2"/>
      <c r="AA12" s="1" t="n">
        <v>7</v>
      </c>
      <c r="AB12" s="2"/>
      <c r="AC12" s="2" t="n">
        <v>8</v>
      </c>
      <c r="AD12" s="2" t="n">
        <v>8</v>
      </c>
      <c r="AE12" s="1" t="n">
        <f aca="false">ROUND(AVERAGE(AA12,AC12,AD12),0)</f>
        <v>8</v>
      </c>
      <c r="ALI12" s="7"/>
      <c r="ALJ12" s="7"/>
      <c r="ALK12" s="7"/>
      <c r="ALL12" s="7"/>
      <c r="ALM12" s="7"/>
      <c r="ALN12" s="7"/>
      <c r="ALO12" s="7"/>
      <c r="ALP12" s="7"/>
      <c r="ALQ12" s="7"/>
      <c r="ALR12" s="7"/>
      <c r="ALS12" s="7"/>
      <c r="ALT12" s="7"/>
      <c r="ALU12" s="7"/>
      <c r="ALV12" s="7"/>
      <c r="ALW12" s="7"/>
      <c r="ALX12" s="7"/>
      <c r="ALY12" s="7"/>
      <c r="ALZ12" s="7"/>
      <c r="AMA12" s="7"/>
      <c r="AMB12" s="7"/>
      <c r="AMC12" s="7"/>
      <c r="AMD12" s="7"/>
      <c r="AME12" s="7"/>
      <c r="AMF12" s="7"/>
      <c r="AMG12" s="7"/>
      <c r="AMH12" s="7"/>
      <c r="AMI12" s="7"/>
      <c r="AMJ12" s="7"/>
      <c r="AMK12" s="7"/>
      <c r="AML12" s="7"/>
      <c r="AMM12" s="7"/>
      <c r="AMN12" s="7"/>
      <c r="AMO12" s="7"/>
      <c r="AMP12" s="7"/>
      <c r="AMQ12" s="7"/>
      <c r="AMR12" s="7"/>
      <c r="AMS12" s="7"/>
      <c r="AMT12" s="7"/>
      <c r="AMU12" s="7"/>
      <c r="AMV12" s="7"/>
      <c r="AMW12" s="7"/>
      <c r="AMX12" s="7"/>
      <c r="AMY12" s="7"/>
      <c r="AMZ12" s="7"/>
      <c r="ANA12" s="7"/>
    </row>
    <row r="13" s="1" customFormat="true" ht="15" hidden="false" customHeight="false" outlineLevel="0" collapsed="false">
      <c r="A13" s="1" t="n">
        <v>20</v>
      </c>
      <c r="B13" s="2" t="s">
        <v>77</v>
      </c>
      <c r="C13" s="1" t="n">
        <v>4</v>
      </c>
      <c r="I13" s="1" t="n">
        <v>10</v>
      </c>
      <c r="J13" s="1" t="n">
        <v>9</v>
      </c>
      <c r="K13" s="1" t="n">
        <v>0</v>
      </c>
      <c r="L13" s="1" t="n">
        <f aca="false">J13-K13</f>
        <v>9</v>
      </c>
      <c r="M13" s="1" t="n">
        <v>8</v>
      </c>
      <c r="N13" s="1" t="n">
        <v>1</v>
      </c>
      <c r="O13" s="1" t="n">
        <f aca="false">M13-N13</f>
        <v>7</v>
      </c>
      <c r="P13" s="1" t="n">
        <v>7</v>
      </c>
      <c r="Q13" s="1" t="n">
        <v>0</v>
      </c>
      <c r="R13" s="1" t="n">
        <f aca="false">P13-Q13</f>
        <v>7</v>
      </c>
      <c r="S13" s="1" t="n">
        <v>9</v>
      </c>
      <c r="T13" s="10" t="n">
        <f aca="false">ROUND(AVERAGE(I13,L13,O13,R13,S13),0)</f>
        <v>8</v>
      </c>
      <c r="U13" s="10" t="str">
        <f aca="false">IF(T13&gt;6,"TEA",IF(T13&gt;3,"TEP","TED"))</f>
        <v>TEA</v>
      </c>
      <c r="V13" s="7"/>
      <c r="W13" s="7"/>
      <c r="X13" s="7"/>
      <c r="Y13" s="7"/>
      <c r="Z13" s="7"/>
      <c r="AA13" s="1" t="n">
        <v>7</v>
      </c>
      <c r="AC13" s="1" t="n">
        <v>8</v>
      </c>
      <c r="AD13" s="1" t="n">
        <v>8</v>
      </c>
      <c r="AE13" s="1" t="n">
        <f aca="false">ROUND(AVERAGE(AA13,AC13,AD13),0)</f>
        <v>8</v>
      </c>
    </row>
    <row r="14" s="1" customFormat="true" ht="15" hidden="false" customHeight="false" outlineLevel="0" collapsed="false">
      <c r="A14" s="1" t="n">
        <v>4</v>
      </c>
      <c r="B14" s="2" t="s">
        <v>26</v>
      </c>
      <c r="C14" s="1" t="n">
        <v>5</v>
      </c>
      <c r="D14" s="2"/>
      <c r="E14" s="2"/>
      <c r="F14" s="2"/>
      <c r="G14" s="2"/>
      <c r="H14" s="2"/>
      <c r="I14" s="2" t="n">
        <v>9</v>
      </c>
      <c r="J14" s="2" t="n">
        <v>8</v>
      </c>
      <c r="K14" s="2" t="n">
        <v>1</v>
      </c>
      <c r="L14" s="1" t="n">
        <f aca="false">J14-K14</f>
        <v>7</v>
      </c>
      <c r="M14" s="2" t="n">
        <v>9</v>
      </c>
      <c r="N14" s="1" t="n">
        <v>0</v>
      </c>
      <c r="O14" s="1" t="n">
        <f aca="false">M14-N14</f>
        <v>9</v>
      </c>
      <c r="P14" s="2" t="n">
        <v>9</v>
      </c>
      <c r="Q14" s="1" t="n">
        <v>0</v>
      </c>
      <c r="R14" s="1" t="n">
        <f aca="false">P14-Q14</f>
        <v>9</v>
      </c>
      <c r="S14" s="1" t="n">
        <v>10</v>
      </c>
      <c r="T14" s="10" t="n">
        <f aca="false">ROUND(AVERAGE(I14,L14,O14,R14,S14),0)</f>
        <v>9</v>
      </c>
      <c r="U14" s="10" t="str">
        <f aca="false">IF(T14&gt;6,"TEA",IF(T14&gt;3,"TEP","TED"))</f>
        <v>TEA</v>
      </c>
      <c r="W14" s="1" t="n">
        <v>8</v>
      </c>
      <c r="AA14" s="1" t="n">
        <v>8</v>
      </c>
      <c r="AB14" s="1" t="s">
        <v>126</v>
      </c>
      <c r="AC14" s="1" t="n">
        <v>9</v>
      </c>
      <c r="AD14" s="1" t="n">
        <v>10</v>
      </c>
      <c r="AE14" s="1" t="n">
        <f aca="false">ROUND(AVERAGE(AA14,AC14,AD14),0)</f>
        <v>9</v>
      </c>
      <c r="AF14" s="1" t="n">
        <v>9</v>
      </c>
      <c r="AG14" s="1" t="n">
        <v>1</v>
      </c>
    </row>
    <row r="15" s="8" customFormat="true" ht="15" hidden="false" customHeight="false" outlineLevel="0" collapsed="false">
      <c r="A15" s="1" t="n">
        <v>8</v>
      </c>
      <c r="B15" s="2" t="s">
        <v>40</v>
      </c>
      <c r="C15" s="1" t="n">
        <v>5</v>
      </c>
      <c r="D15" s="7" t="s">
        <v>127</v>
      </c>
      <c r="E15" s="7"/>
      <c r="F15" s="7"/>
      <c r="G15" s="7"/>
      <c r="H15" s="7"/>
      <c r="I15" s="7" t="n">
        <v>1</v>
      </c>
      <c r="J15" s="7" t="n">
        <v>1</v>
      </c>
      <c r="K15" s="7" t="n">
        <v>5</v>
      </c>
      <c r="L15" s="7" t="n">
        <f aca="false">J15-K15</f>
        <v>-4</v>
      </c>
      <c r="M15" s="7" t="n">
        <v>1</v>
      </c>
      <c r="N15" s="7" t="n">
        <v>5</v>
      </c>
      <c r="O15" s="7" t="n">
        <f aca="false">M15-N15</f>
        <v>-4</v>
      </c>
      <c r="P15" s="7" t="n">
        <v>1</v>
      </c>
      <c r="Q15" s="7" t="n">
        <v>5</v>
      </c>
      <c r="R15" s="7" t="n">
        <f aca="false">P15-Q15</f>
        <v>-4</v>
      </c>
      <c r="S15" s="7" t="n">
        <v>1</v>
      </c>
      <c r="T15" s="11" t="n">
        <f aca="false">ROUND(AVERAGE(I15,L15,O15,R15,S15),0)</f>
        <v>-2</v>
      </c>
      <c r="U15" s="11" t="str">
        <f aca="false">IF(T15&gt;6,"TEA",IF(T15&gt;3,"TEP","TED"))</f>
        <v>TED</v>
      </c>
      <c r="V15" s="1"/>
      <c r="W15" s="1" t="n">
        <v>10</v>
      </c>
      <c r="X15" s="2"/>
      <c r="Y15" s="2" t="s">
        <v>128</v>
      </c>
      <c r="Z15" s="2" t="s">
        <v>129</v>
      </c>
      <c r="AA15" s="1" t="n">
        <v>8</v>
      </c>
      <c r="AB15" s="2"/>
      <c r="AC15" s="2" t="n">
        <v>9</v>
      </c>
      <c r="AD15" s="1" t="n">
        <v>10</v>
      </c>
      <c r="AE15" s="1" t="n">
        <f aca="false">ROUND(AVERAGE(AA15,AC15,AD15),0)</f>
        <v>9</v>
      </c>
      <c r="AF15" s="8" t="n">
        <v>9</v>
      </c>
      <c r="AG15" s="8" t="n">
        <v>1</v>
      </c>
      <c r="ALI15" s="7"/>
      <c r="ALJ15" s="7"/>
      <c r="ALK15" s="7"/>
      <c r="ALL15" s="7"/>
      <c r="ALM15" s="7"/>
      <c r="ALN15" s="7"/>
      <c r="ALO15" s="7"/>
      <c r="ALP15" s="7"/>
      <c r="ALQ15" s="7"/>
      <c r="ALR15" s="7"/>
      <c r="ALS15" s="7"/>
      <c r="ALT15" s="7"/>
      <c r="ALU15" s="7"/>
      <c r="ALV15" s="7"/>
      <c r="ALW15" s="7"/>
      <c r="ALX15" s="7"/>
      <c r="ALY15" s="7"/>
      <c r="ALZ15" s="7"/>
      <c r="AMA15" s="7"/>
      <c r="AMB15" s="7"/>
      <c r="AMC15" s="7"/>
      <c r="AMD15" s="7"/>
      <c r="AME15" s="7"/>
      <c r="AMF15" s="7"/>
      <c r="AMG15" s="7"/>
      <c r="AMH15" s="7"/>
      <c r="AMI15" s="7"/>
      <c r="AMJ15" s="7"/>
      <c r="AMK15" s="7"/>
      <c r="AML15" s="7"/>
      <c r="AMM15" s="7"/>
      <c r="AMN15" s="7"/>
      <c r="AMO15" s="7"/>
      <c r="AMP15" s="7"/>
      <c r="AMQ15" s="7"/>
      <c r="AMR15" s="7"/>
      <c r="AMS15" s="7"/>
      <c r="AMT15" s="7"/>
      <c r="AMU15" s="7"/>
      <c r="AMV15" s="7"/>
      <c r="AMW15" s="7"/>
      <c r="AMX15" s="7"/>
      <c r="AMY15" s="7"/>
      <c r="AMZ15" s="7"/>
      <c r="ANA15" s="7"/>
    </row>
    <row r="16" s="1" customFormat="true" ht="15" hidden="false" customHeight="false" outlineLevel="0" collapsed="false">
      <c r="A16" s="1" t="n">
        <v>9</v>
      </c>
      <c r="B16" s="2" t="s">
        <v>43</v>
      </c>
      <c r="C16" s="1" t="n">
        <v>5</v>
      </c>
      <c r="D16" s="2"/>
      <c r="E16" s="2"/>
      <c r="F16" s="2"/>
      <c r="G16" s="2"/>
      <c r="H16" s="2"/>
      <c r="I16" s="2" t="n">
        <v>10</v>
      </c>
      <c r="J16" s="2" t="n">
        <v>9</v>
      </c>
      <c r="K16" s="2" t="n">
        <v>0</v>
      </c>
      <c r="L16" s="1" t="n">
        <f aca="false">J16-K16</f>
        <v>9</v>
      </c>
      <c r="M16" s="2" t="n">
        <v>9</v>
      </c>
      <c r="N16" s="1" t="n">
        <v>0</v>
      </c>
      <c r="O16" s="1" t="n">
        <f aca="false">M16-N16</f>
        <v>9</v>
      </c>
      <c r="P16" s="2" t="n">
        <v>9</v>
      </c>
      <c r="Q16" s="2" t="n">
        <v>0</v>
      </c>
      <c r="R16" s="1" t="n">
        <f aca="false">P16-Q16</f>
        <v>9</v>
      </c>
      <c r="S16" s="1" t="n">
        <v>10</v>
      </c>
      <c r="T16" s="10" t="n">
        <f aca="false">ROUND(AVERAGE(I16,L16,O16,R16,S16),0)</f>
        <v>9</v>
      </c>
      <c r="U16" s="10" t="str">
        <f aca="false">IF(T16&gt;6,"TEA",IF(T16&gt;3,"TEP","TED"))</f>
        <v>TEA</v>
      </c>
      <c r="V16" s="2"/>
      <c r="W16" s="1" t="n">
        <v>10</v>
      </c>
      <c r="AA16" s="1" t="n">
        <v>8</v>
      </c>
      <c r="AC16" s="1" t="n">
        <v>9</v>
      </c>
      <c r="AD16" s="1" t="n">
        <v>10</v>
      </c>
      <c r="AE16" s="1" t="n">
        <f aca="false">ROUND(AVERAGE(AA16,AC16,AD16),0)</f>
        <v>9</v>
      </c>
      <c r="AF16" s="1" t="n">
        <v>9</v>
      </c>
      <c r="AG16" s="1" t="n">
        <v>1</v>
      </c>
    </row>
    <row r="17" s="1" customFormat="true" ht="15" hidden="false" customHeight="false" outlineLevel="0" collapsed="false">
      <c r="A17" s="1" t="n">
        <v>12</v>
      </c>
      <c r="B17" s="2" t="s">
        <v>55</v>
      </c>
      <c r="C17" s="1" t="n">
        <v>5</v>
      </c>
      <c r="D17" s="2"/>
      <c r="E17" s="2" t="s">
        <v>130</v>
      </c>
      <c r="F17" s="2"/>
      <c r="G17" s="2"/>
      <c r="H17" s="2"/>
      <c r="I17" s="2" t="n">
        <v>10</v>
      </c>
      <c r="J17" s="2" t="n">
        <v>8</v>
      </c>
      <c r="K17" s="2" t="n">
        <v>1</v>
      </c>
      <c r="L17" s="1" t="n">
        <f aca="false">J17-K17</f>
        <v>7</v>
      </c>
      <c r="M17" s="2" t="n">
        <v>9</v>
      </c>
      <c r="N17" s="1" t="n">
        <v>0</v>
      </c>
      <c r="O17" s="1" t="n">
        <f aca="false">M17-N17</f>
        <v>9</v>
      </c>
      <c r="P17" s="2" t="n">
        <v>9</v>
      </c>
      <c r="Q17" s="2" t="n">
        <v>2</v>
      </c>
      <c r="R17" s="1" t="n">
        <f aca="false">P17-Q17</f>
        <v>7</v>
      </c>
      <c r="S17" s="1" t="n">
        <v>10</v>
      </c>
      <c r="T17" s="10" t="n">
        <f aca="false">ROUND(AVERAGE(I17,L17,O17,R17,S17),0)</f>
        <v>9</v>
      </c>
      <c r="U17" s="10" t="str">
        <f aca="false">IF(T17&gt;6,"TEA",IF(T17&gt;3,"TEP","TED"))</f>
        <v>TEA</v>
      </c>
      <c r="W17" s="1" t="n">
        <v>8</v>
      </c>
      <c r="AA17" s="1" t="n">
        <v>8</v>
      </c>
      <c r="AC17" s="1" t="n">
        <v>9</v>
      </c>
      <c r="AD17" s="1" t="n">
        <v>10</v>
      </c>
      <c r="AE17" s="1" t="n">
        <f aca="false">ROUND(AVERAGE(AA17,AC17,AD17),0)</f>
        <v>9</v>
      </c>
      <c r="AF17" s="1" t="n">
        <v>9</v>
      </c>
      <c r="AG17" s="1" t="n">
        <v>1</v>
      </c>
    </row>
    <row r="18" s="8" customFormat="true" ht="15" hidden="false" customHeight="false" outlineLevel="0" collapsed="false">
      <c r="A18" s="1" t="n">
        <v>14</v>
      </c>
      <c r="B18" s="2" t="s">
        <v>62</v>
      </c>
      <c r="C18" s="1" t="n">
        <v>5</v>
      </c>
      <c r="D18" s="7" t="s">
        <v>131</v>
      </c>
      <c r="E18" s="7"/>
      <c r="F18" s="7"/>
      <c r="G18" s="7"/>
      <c r="H18" s="7"/>
      <c r="I18" s="7" t="n">
        <v>1</v>
      </c>
      <c r="J18" s="7" t="n">
        <v>1</v>
      </c>
      <c r="K18" s="7" t="n">
        <v>5</v>
      </c>
      <c r="L18" s="7" t="n">
        <f aca="false">J18-K18</f>
        <v>-4</v>
      </c>
      <c r="M18" s="7" t="n">
        <v>1</v>
      </c>
      <c r="N18" s="7" t="n">
        <v>5</v>
      </c>
      <c r="O18" s="7" t="n">
        <f aca="false">M18-N18</f>
        <v>-4</v>
      </c>
      <c r="P18" s="7" t="n">
        <v>1</v>
      </c>
      <c r="Q18" s="7" t="n">
        <v>5</v>
      </c>
      <c r="R18" s="7" t="n">
        <f aca="false">P18-Q18</f>
        <v>-4</v>
      </c>
      <c r="S18" s="7" t="n">
        <v>1</v>
      </c>
      <c r="T18" s="11" t="n">
        <f aca="false">ROUND(AVERAGE(I18,L18,O18,R18,S18),0)</f>
        <v>-2</v>
      </c>
      <c r="U18" s="11" t="str">
        <f aca="false">IF(T18&gt;6,"TEA",IF(T18&gt;3,"TEP","TED"))</f>
        <v>TED</v>
      </c>
      <c r="V18" s="2"/>
      <c r="W18" s="2" t="n">
        <v>7</v>
      </c>
      <c r="X18" s="2"/>
      <c r="Y18" s="2"/>
      <c r="Z18" s="2"/>
      <c r="AA18" s="1" t="n">
        <v>8</v>
      </c>
      <c r="AB18" s="2"/>
      <c r="AC18" s="2" t="n">
        <v>9</v>
      </c>
      <c r="AD18" s="1" t="n">
        <v>10</v>
      </c>
      <c r="AE18" s="1" t="n">
        <f aca="false">ROUND(AVERAGE(AA18,AC18,AD18),0)</f>
        <v>9</v>
      </c>
      <c r="AF18" s="8" t="n">
        <v>9</v>
      </c>
      <c r="AG18" s="8" t="n">
        <v>1</v>
      </c>
      <c r="ALI18" s="7"/>
      <c r="ALJ18" s="7"/>
      <c r="ALK18" s="7"/>
      <c r="ALL18" s="7"/>
      <c r="ALM18" s="7"/>
      <c r="ALN18" s="7"/>
      <c r="ALO18" s="7"/>
      <c r="ALP18" s="7"/>
      <c r="ALQ18" s="7"/>
      <c r="ALR18" s="7"/>
      <c r="ALS18" s="7"/>
      <c r="ALT18" s="7"/>
      <c r="ALU18" s="7"/>
      <c r="ALV18" s="7"/>
      <c r="ALW18" s="7"/>
      <c r="ALX18" s="7"/>
      <c r="ALY18" s="7"/>
      <c r="ALZ18" s="7"/>
      <c r="AMA18" s="7"/>
      <c r="AMB18" s="7"/>
      <c r="AMC18" s="7"/>
      <c r="AMD18" s="7"/>
      <c r="AME18" s="7"/>
      <c r="AMF18" s="7"/>
      <c r="AMG18" s="7"/>
      <c r="AMH18" s="7"/>
      <c r="AMI18" s="7"/>
      <c r="AMJ18" s="7"/>
      <c r="AMK18" s="7"/>
      <c r="AML18" s="7"/>
      <c r="AMM18" s="7"/>
      <c r="AMN18" s="7"/>
      <c r="AMO18" s="7"/>
      <c r="AMP18" s="7"/>
      <c r="AMQ18" s="7"/>
      <c r="AMR18" s="7"/>
      <c r="AMS18" s="7"/>
      <c r="AMT18" s="7"/>
      <c r="AMU18" s="7"/>
      <c r="AMV18" s="7"/>
      <c r="AMW18" s="7"/>
      <c r="AMX18" s="7"/>
      <c r="AMY18" s="7"/>
      <c r="AMZ18" s="7"/>
      <c r="ANA18" s="7"/>
    </row>
    <row r="19" s="8" customFormat="true" ht="15" hidden="false" customHeight="false" outlineLevel="0" collapsed="false">
      <c r="A19" s="7" t="n">
        <v>13</v>
      </c>
      <c r="B19" s="8" t="s">
        <v>58</v>
      </c>
      <c r="C19" s="8" t="n">
        <v>100</v>
      </c>
      <c r="D19" s="7"/>
      <c r="E19" s="7"/>
      <c r="F19" s="7"/>
      <c r="G19" s="7"/>
      <c r="H19" s="7"/>
      <c r="I19" s="7" t="n">
        <v>1</v>
      </c>
      <c r="J19" s="7" t="n">
        <v>1</v>
      </c>
      <c r="K19" s="7" t="n">
        <v>5</v>
      </c>
      <c r="L19" s="7" t="n">
        <f aca="false">J19-K19</f>
        <v>-4</v>
      </c>
      <c r="M19" s="7" t="n">
        <v>1</v>
      </c>
      <c r="N19" s="7" t="n">
        <v>5</v>
      </c>
      <c r="O19" s="7" t="n">
        <f aca="false">M19-N19</f>
        <v>-4</v>
      </c>
      <c r="P19" s="7" t="n">
        <v>1</v>
      </c>
      <c r="Q19" s="7" t="n">
        <v>5</v>
      </c>
      <c r="R19" s="7" t="n">
        <f aca="false">P19-Q19</f>
        <v>-4</v>
      </c>
      <c r="S19" s="7" t="n">
        <v>1</v>
      </c>
      <c r="T19" s="11" t="n">
        <f aca="false">ROUND(AVERAGE(I19,L19,O19,R19,S19),0)</f>
        <v>-2</v>
      </c>
      <c r="U19" s="11" t="str">
        <f aca="false">IF(T19&gt;6,"TEA",IF(T19&gt;3,"TEP","TED"))</f>
        <v>TED</v>
      </c>
      <c r="V19" s="7"/>
      <c r="W19" s="7" t="n">
        <v>7</v>
      </c>
      <c r="X19" s="7"/>
      <c r="Y19" s="7"/>
      <c r="Z19" s="7"/>
      <c r="ALI19" s="7"/>
      <c r="ALJ19" s="7"/>
      <c r="ALK19" s="7"/>
      <c r="ALL19" s="7"/>
      <c r="ALM19" s="7"/>
      <c r="ALN19" s="7"/>
      <c r="ALO19" s="7"/>
      <c r="ALP19" s="7"/>
      <c r="ALQ19" s="7"/>
      <c r="ALR19" s="7"/>
      <c r="ALS19" s="7"/>
      <c r="ALT19" s="7"/>
      <c r="ALU19" s="7"/>
      <c r="ALV19" s="7"/>
      <c r="ALW19" s="7"/>
      <c r="ALX19" s="7"/>
      <c r="ALY19" s="7"/>
      <c r="ALZ19" s="7"/>
      <c r="AMA19" s="7"/>
      <c r="AMB19" s="7"/>
      <c r="AMC19" s="7"/>
      <c r="AMD19" s="7"/>
      <c r="AME19" s="7"/>
      <c r="AMF19" s="7"/>
      <c r="AMG19" s="7"/>
      <c r="AMH19" s="7"/>
      <c r="AMI19" s="7"/>
      <c r="AMJ19" s="7"/>
      <c r="AMK19" s="7"/>
      <c r="AML19" s="7"/>
      <c r="AMM19" s="7"/>
      <c r="AMN19" s="7"/>
      <c r="AMO19" s="7"/>
      <c r="AMP19" s="7"/>
      <c r="AMQ19" s="7"/>
      <c r="AMR19" s="7"/>
      <c r="AMS19" s="7"/>
      <c r="AMT19" s="7"/>
      <c r="AMU19" s="7"/>
      <c r="AMV19" s="7"/>
      <c r="AMW19" s="7"/>
      <c r="AMX19" s="7"/>
      <c r="AMY19" s="7"/>
      <c r="AMZ19" s="7"/>
      <c r="ANA19" s="7"/>
    </row>
    <row r="20" s="7" customFormat="true" ht="15" hidden="false" customHeight="false" outlineLevel="0" collapsed="false">
      <c r="A20" s="7" t="n">
        <v>16</v>
      </c>
      <c r="B20" s="8" t="s">
        <v>68</v>
      </c>
      <c r="C20" s="8" t="n">
        <v>100</v>
      </c>
      <c r="I20" s="7" t="n">
        <v>3</v>
      </c>
      <c r="J20" s="7" t="n">
        <v>1</v>
      </c>
      <c r="K20" s="7" t="n">
        <v>5</v>
      </c>
      <c r="L20" s="7" t="n">
        <f aca="false">J20-K20</f>
        <v>-4</v>
      </c>
      <c r="M20" s="7" t="n">
        <v>1</v>
      </c>
      <c r="N20" s="7" t="n">
        <v>5</v>
      </c>
      <c r="O20" s="7" t="n">
        <f aca="false">M20-N20</f>
        <v>-4</v>
      </c>
      <c r="P20" s="7" t="n">
        <v>1</v>
      </c>
      <c r="Q20" s="7" t="n">
        <v>5</v>
      </c>
      <c r="R20" s="7" t="n">
        <f aca="false">P20-Q20</f>
        <v>-4</v>
      </c>
      <c r="S20" s="7" t="n">
        <v>1</v>
      </c>
      <c r="T20" s="11" t="n">
        <f aca="false">ROUND(AVERAGE(I20,L20,O20,R20,S20),0)</f>
        <v>-2</v>
      </c>
      <c r="U20" s="11" t="str">
        <f aca="false">IF(T20&gt;6,"TEA",IF(T20&gt;3,"TEP","TED"))</f>
        <v>TED</v>
      </c>
      <c r="W20" s="7" t="n">
        <v>1</v>
      </c>
      <c r="AA20" s="8"/>
    </row>
    <row r="21" s="7" customFormat="true" ht="15" hidden="false" customHeight="false" outlineLevel="0" collapsed="false">
      <c r="A21" s="7" t="n">
        <v>17</v>
      </c>
      <c r="B21" s="8" t="s">
        <v>71</v>
      </c>
      <c r="C21" s="8" t="n">
        <v>100</v>
      </c>
      <c r="D21" s="2" t="s">
        <v>124</v>
      </c>
      <c r="E21" s="2"/>
      <c r="F21" s="2"/>
      <c r="G21" s="2"/>
      <c r="H21" s="2"/>
      <c r="I21" s="2" t="n">
        <v>8.25</v>
      </c>
      <c r="J21" s="2" t="n">
        <v>9</v>
      </c>
      <c r="K21" s="2" t="n">
        <v>0</v>
      </c>
      <c r="L21" s="1" t="n">
        <f aca="false">J21-K21</f>
        <v>9</v>
      </c>
      <c r="M21" s="2" t="n">
        <v>9</v>
      </c>
      <c r="N21" s="1" t="n">
        <v>0</v>
      </c>
      <c r="O21" s="1" t="n">
        <f aca="false">M21-N21</f>
        <v>9</v>
      </c>
      <c r="P21" s="2" t="n">
        <v>9</v>
      </c>
      <c r="Q21" s="7" t="n">
        <v>1</v>
      </c>
      <c r="R21" s="1" t="n">
        <f aca="false">P21-Q21</f>
        <v>8</v>
      </c>
      <c r="S21" s="1" t="n">
        <v>10</v>
      </c>
      <c r="T21" s="10" t="n">
        <f aca="false">ROUND(AVERAGE(I21,L21,O21,R21,S21),0)</f>
        <v>9</v>
      </c>
      <c r="U21" s="10" t="str">
        <f aca="false">IF(T21&gt;6,"TEA",IF(T21&gt;3,"TEP","TED"))</f>
        <v>TEA</v>
      </c>
      <c r="AA21" s="8"/>
    </row>
    <row r="22" s="8" customFormat="true" ht="15" hidden="false" customHeight="false" outlineLevel="0" collapsed="false">
      <c r="A22" s="7" t="n">
        <v>19</v>
      </c>
      <c r="B22" s="8" t="s">
        <v>74</v>
      </c>
      <c r="C22" s="7" t="n">
        <v>100</v>
      </c>
      <c r="D22" s="1"/>
      <c r="E22" s="1"/>
      <c r="F22" s="1"/>
      <c r="G22" s="1"/>
      <c r="H22" s="1"/>
      <c r="I22" s="1" t="n">
        <v>10</v>
      </c>
      <c r="J22" s="1" t="n">
        <v>10</v>
      </c>
      <c r="K22" s="1" t="n">
        <v>2</v>
      </c>
      <c r="L22" s="1" t="n">
        <f aca="false">J22-K22</f>
        <v>8</v>
      </c>
      <c r="M22" s="1" t="n">
        <v>8</v>
      </c>
      <c r="N22" s="1" t="n">
        <v>0</v>
      </c>
      <c r="O22" s="1" t="n">
        <f aca="false">M22-N22</f>
        <v>8</v>
      </c>
      <c r="P22" s="1" t="n">
        <v>7</v>
      </c>
      <c r="Q22" s="7" t="n">
        <v>1</v>
      </c>
      <c r="R22" s="1" t="n">
        <f aca="false">P22-Q22</f>
        <v>6</v>
      </c>
      <c r="S22" s="1" t="n">
        <v>10</v>
      </c>
      <c r="T22" s="10" t="n">
        <f aca="false">ROUND(AVERAGE(I22,L22,O22,R22,S22),0)</f>
        <v>8</v>
      </c>
      <c r="U22" s="10" t="str">
        <f aca="false">IF(T22&gt;6,"TEA",IF(T22&gt;3,"TEP","TED"))</f>
        <v>TEA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  <c r="SG22" s="7"/>
      <c r="SH22" s="7"/>
      <c r="SI22" s="7"/>
      <c r="SJ22" s="7"/>
      <c r="SK22" s="7"/>
      <c r="SL22" s="7"/>
      <c r="SM22" s="7"/>
      <c r="SN22" s="7"/>
      <c r="SO22" s="7"/>
      <c r="SP22" s="7"/>
      <c r="SQ22" s="7"/>
      <c r="SR22" s="7"/>
      <c r="SS22" s="7"/>
      <c r="ST22" s="7"/>
      <c r="SU22" s="7"/>
      <c r="SV22" s="7"/>
      <c r="SW22" s="7"/>
      <c r="SX22" s="7"/>
      <c r="SY22" s="7"/>
      <c r="SZ22" s="7"/>
      <c r="TA22" s="7"/>
      <c r="TB22" s="7"/>
      <c r="TC22" s="7"/>
      <c r="TD22" s="7"/>
      <c r="TE22" s="7"/>
      <c r="TF22" s="7"/>
      <c r="TG22" s="7"/>
      <c r="TH22" s="7"/>
      <c r="TI22" s="7"/>
      <c r="TJ22" s="7"/>
      <c r="TK22" s="7"/>
      <c r="TL22" s="7"/>
      <c r="TM22" s="7"/>
      <c r="TN22" s="7"/>
      <c r="TO22" s="7"/>
      <c r="TP22" s="7"/>
      <c r="TQ22" s="7"/>
      <c r="TR22" s="7"/>
      <c r="TS22" s="7"/>
      <c r="TT22" s="7"/>
      <c r="TU22" s="7"/>
      <c r="TV22" s="7"/>
      <c r="TW22" s="7"/>
      <c r="TX22" s="7"/>
      <c r="TY22" s="7"/>
      <c r="TZ22" s="7"/>
      <c r="UA22" s="7"/>
      <c r="UB22" s="7"/>
      <c r="UC22" s="7"/>
      <c r="UD22" s="7"/>
      <c r="UE22" s="7"/>
      <c r="UF22" s="7"/>
      <c r="UG22" s="7"/>
      <c r="UH22" s="7"/>
      <c r="UI22" s="7"/>
      <c r="UJ22" s="7"/>
      <c r="UK22" s="7"/>
      <c r="UL22" s="7"/>
      <c r="UM22" s="7"/>
      <c r="UN22" s="7"/>
      <c r="UO22" s="7"/>
      <c r="UP22" s="7"/>
      <c r="UQ22" s="7"/>
      <c r="UR22" s="7"/>
      <c r="US22" s="7"/>
      <c r="UT22" s="7"/>
      <c r="UU22" s="7"/>
      <c r="UV22" s="7"/>
      <c r="UW22" s="7"/>
      <c r="UX22" s="7"/>
      <c r="UY22" s="7"/>
      <c r="UZ22" s="7"/>
      <c r="VA22" s="7"/>
      <c r="VB22" s="7"/>
      <c r="VC22" s="7"/>
      <c r="VD22" s="7"/>
      <c r="VE22" s="7"/>
      <c r="VF22" s="7"/>
      <c r="VG22" s="7"/>
      <c r="VH22" s="7"/>
      <c r="VI22" s="7"/>
      <c r="VJ22" s="7"/>
      <c r="VK22" s="7"/>
      <c r="VL22" s="7"/>
      <c r="VM22" s="7"/>
      <c r="VN22" s="7"/>
      <c r="VO22" s="7"/>
      <c r="VP22" s="7"/>
      <c r="VQ22" s="7"/>
      <c r="VR22" s="7"/>
      <c r="VS22" s="7"/>
      <c r="VT22" s="7"/>
      <c r="VU22" s="7"/>
      <c r="VV22" s="7"/>
      <c r="VW22" s="7"/>
      <c r="VX22" s="7"/>
      <c r="VY22" s="7"/>
      <c r="VZ22" s="7"/>
      <c r="WA22" s="7"/>
      <c r="WB22" s="7"/>
      <c r="WC22" s="7"/>
      <c r="WD22" s="7"/>
      <c r="WE22" s="7"/>
      <c r="WF22" s="7"/>
      <c r="WG22" s="7"/>
      <c r="WH22" s="7"/>
      <c r="WI22" s="7"/>
      <c r="WJ22" s="7"/>
      <c r="WK22" s="7"/>
      <c r="WL22" s="7"/>
      <c r="WM22" s="7"/>
      <c r="WN22" s="7"/>
      <c r="WO22" s="7"/>
      <c r="WP22" s="7"/>
      <c r="WQ22" s="7"/>
      <c r="WR22" s="7"/>
      <c r="WS22" s="7"/>
      <c r="WT22" s="7"/>
      <c r="WU22" s="7"/>
      <c r="WV22" s="7"/>
      <c r="WW22" s="7"/>
      <c r="WX22" s="7"/>
      <c r="WY22" s="7"/>
      <c r="WZ22" s="7"/>
      <c r="XA22" s="7"/>
      <c r="XB22" s="7"/>
      <c r="XC22" s="7"/>
      <c r="XD22" s="7"/>
      <c r="XE22" s="7"/>
      <c r="XF22" s="7"/>
      <c r="XG22" s="7"/>
      <c r="XH22" s="7"/>
      <c r="XI22" s="7"/>
      <c r="XJ22" s="7"/>
      <c r="XK22" s="7"/>
      <c r="XL22" s="7"/>
      <c r="XM22" s="7"/>
      <c r="XN22" s="7"/>
      <c r="XO22" s="7"/>
      <c r="XP22" s="7"/>
      <c r="XQ22" s="7"/>
      <c r="XR22" s="7"/>
      <c r="XS22" s="7"/>
      <c r="XT22" s="7"/>
      <c r="XU22" s="7"/>
      <c r="XV22" s="7"/>
      <c r="XW22" s="7"/>
      <c r="XX22" s="7"/>
      <c r="XY22" s="7"/>
      <c r="XZ22" s="7"/>
      <c r="YA22" s="7"/>
      <c r="YB22" s="7"/>
      <c r="YC22" s="7"/>
      <c r="YD22" s="7"/>
      <c r="YE22" s="7"/>
      <c r="YF22" s="7"/>
      <c r="YG22" s="7"/>
      <c r="YH22" s="7"/>
      <c r="YI22" s="7"/>
      <c r="YJ22" s="7"/>
      <c r="YK22" s="7"/>
      <c r="YL22" s="7"/>
      <c r="YM22" s="7"/>
      <c r="YN22" s="7"/>
      <c r="YO22" s="7"/>
      <c r="YP22" s="7"/>
      <c r="YQ22" s="7"/>
      <c r="YR22" s="7"/>
      <c r="YS22" s="7"/>
      <c r="YT22" s="7"/>
      <c r="YU22" s="7"/>
      <c r="YV22" s="7"/>
      <c r="YW22" s="7"/>
      <c r="YX22" s="7"/>
      <c r="YY22" s="7"/>
      <c r="YZ22" s="7"/>
      <c r="ZA22" s="7"/>
      <c r="ZB22" s="7"/>
      <c r="ZC22" s="7"/>
      <c r="ZD22" s="7"/>
      <c r="ZE22" s="7"/>
      <c r="ZF22" s="7"/>
      <c r="ZG22" s="7"/>
      <c r="ZH22" s="7"/>
      <c r="ZI22" s="7"/>
      <c r="ZJ22" s="7"/>
      <c r="ZK22" s="7"/>
      <c r="ZL22" s="7"/>
      <c r="ZM22" s="7"/>
      <c r="ZN22" s="7"/>
      <c r="ZO22" s="7"/>
      <c r="ZP22" s="7"/>
      <c r="ZQ22" s="7"/>
      <c r="ZR22" s="7"/>
      <c r="ZS22" s="7"/>
      <c r="ZT22" s="7"/>
      <c r="ZU22" s="7"/>
      <c r="ZV22" s="7"/>
      <c r="ZW22" s="7"/>
      <c r="ZX22" s="7"/>
      <c r="ZY22" s="7"/>
      <c r="ZZ22" s="7"/>
      <c r="AAA22" s="7"/>
      <c r="AAB22" s="7"/>
      <c r="AAC22" s="7"/>
      <c r="AAD22" s="7"/>
      <c r="AAE22" s="7"/>
      <c r="AAF22" s="7"/>
      <c r="AAG22" s="7"/>
      <c r="AAH22" s="7"/>
      <c r="AAI22" s="7"/>
      <c r="AAJ22" s="7"/>
      <c r="AAK22" s="7"/>
      <c r="AAL22" s="7"/>
      <c r="AAM22" s="7"/>
      <c r="AAN22" s="7"/>
      <c r="AAO22" s="7"/>
      <c r="AAP22" s="7"/>
      <c r="AAQ22" s="7"/>
      <c r="AAR22" s="7"/>
      <c r="AAS22" s="7"/>
      <c r="AAT22" s="7"/>
      <c r="AAU22" s="7"/>
      <c r="AAV22" s="7"/>
      <c r="AAW22" s="7"/>
      <c r="AAX22" s="7"/>
      <c r="AAY22" s="7"/>
      <c r="AAZ22" s="7"/>
      <c r="ABA22" s="7"/>
      <c r="ABB22" s="7"/>
      <c r="ABC22" s="7"/>
      <c r="ABD22" s="7"/>
      <c r="ABE22" s="7"/>
      <c r="ABF22" s="7"/>
      <c r="ABG22" s="7"/>
      <c r="ABH22" s="7"/>
      <c r="ABI22" s="7"/>
      <c r="ABJ22" s="7"/>
      <c r="ABK22" s="7"/>
      <c r="ABL22" s="7"/>
      <c r="ABM22" s="7"/>
      <c r="ABN22" s="7"/>
      <c r="ABO22" s="7"/>
      <c r="ABP22" s="7"/>
      <c r="ABQ22" s="7"/>
      <c r="ABR22" s="7"/>
      <c r="ABS22" s="7"/>
      <c r="ABT22" s="7"/>
      <c r="ABU22" s="7"/>
      <c r="ABV22" s="7"/>
      <c r="ABW22" s="7"/>
      <c r="ABX22" s="7"/>
      <c r="ABY22" s="7"/>
      <c r="ABZ22" s="7"/>
      <c r="ACA22" s="7"/>
      <c r="ACB22" s="7"/>
      <c r="ACC22" s="7"/>
      <c r="ACD22" s="7"/>
      <c r="ACE22" s="7"/>
      <c r="ACF22" s="7"/>
      <c r="ACG22" s="7"/>
      <c r="ACH22" s="7"/>
      <c r="ACI22" s="7"/>
      <c r="ACJ22" s="7"/>
      <c r="ACK22" s="7"/>
      <c r="ACL22" s="7"/>
      <c r="ACM22" s="7"/>
      <c r="ACN22" s="7"/>
      <c r="ACO22" s="7"/>
      <c r="ACP22" s="7"/>
      <c r="ACQ22" s="7"/>
      <c r="ACR22" s="7"/>
      <c r="ACS22" s="7"/>
      <c r="ACT22" s="7"/>
      <c r="ACU22" s="7"/>
      <c r="ACV22" s="7"/>
      <c r="ACW22" s="7"/>
      <c r="ACX22" s="7"/>
      <c r="ACY22" s="7"/>
      <c r="ACZ22" s="7"/>
      <c r="ADA22" s="7"/>
      <c r="ADB22" s="7"/>
      <c r="ADC22" s="7"/>
      <c r="ADD22" s="7"/>
      <c r="ADE22" s="7"/>
      <c r="ADF22" s="7"/>
      <c r="ADG22" s="7"/>
      <c r="ADH22" s="7"/>
      <c r="ADI22" s="7"/>
      <c r="ADJ22" s="7"/>
      <c r="ADK22" s="7"/>
      <c r="ADL22" s="7"/>
      <c r="ADM22" s="7"/>
      <c r="ADN22" s="7"/>
      <c r="ADO22" s="7"/>
      <c r="ADP22" s="7"/>
      <c r="ADQ22" s="7"/>
      <c r="ADR22" s="7"/>
      <c r="ADS22" s="7"/>
      <c r="ADT22" s="7"/>
      <c r="ADU22" s="7"/>
      <c r="ADV22" s="7"/>
      <c r="ADW22" s="7"/>
      <c r="ADX22" s="7"/>
      <c r="ADY22" s="7"/>
      <c r="ADZ22" s="7"/>
      <c r="AEA22" s="7"/>
      <c r="AEB22" s="7"/>
      <c r="AEC22" s="7"/>
      <c r="AED22" s="7"/>
      <c r="AEE22" s="7"/>
      <c r="AEF22" s="7"/>
      <c r="AEG22" s="7"/>
      <c r="AEH22" s="7"/>
      <c r="AEI22" s="7"/>
      <c r="AEJ22" s="7"/>
      <c r="AEK22" s="7"/>
      <c r="AEL22" s="7"/>
      <c r="AEM22" s="7"/>
      <c r="AEN22" s="7"/>
      <c r="AEO22" s="7"/>
      <c r="AEP22" s="7"/>
      <c r="AEQ22" s="7"/>
      <c r="AER22" s="7"/>
      <c r="AES22" s="7"/>
      <c r="AET22" s="7"/>
      <c r="AEU22" s="7"/>
      <c r="AEV22" s="7"/>
      <c r="AEW22" s="7"/>
      <c r="AEX22" s="7"/>
      <c r="AEY22" s="7"/>
      <c r="AEZ22" s="7"/>
      <c r="AFA22" s="7"/>
      <c r="AFB22" s="7"/>
      <c r="AFC22" s="7"/>
      <c r="AFD22" s="7"/>
      <c r="AFE22" s="7"/>
      <c r="AFF22" s="7"/>
      <c r="AFG22" s="7"/>
      <c r="AFH22" s="7"/>
      <c r="AFI22" s="7"/>
      <c r="AFJ22" s="7"/>
      <c r="AFK22" s="7"/>
      <c r="AFL22" s="7"/>
      <c r="AFM22" s="7"/>
      <c r="AFN22" s="7"/>
      <c r="AFO22" s="7"/>
      <c r="AFP22" s="7"/>
      <c r="AFQ22" s="7"/>
      <c r="AFR22" s="7"/>
      <c r="AFS22" s="7"/>
      <c r="AFT22" s="7"/>
      <c r="AFU22" s="7"/>
      <c r="AFV22" s="7"/>
      <c r="AFW22" s="7"/>
      <c r="AFX22" s="7"/>
      <c r="AFY22" s="7"/>
      <c r="AFZ22" s="7"/>
      <c r="AGA22" s="7"/>
      <c r="AGB22" s="7"/>
      <c r="AGC22" s="7"/>
      <c r="AGD22" s="7"/>
      <c r="AGE22" s="7"/>
      <c r="AGF22" s="7"/>
      <c r="AGG22" s="7"/>
      <c r="AGH22" s="7"/>
      <c r="AGI22" s="7"/>
      <c r="AGJ22" s="7"/>
      <c r="AGK22" s="7"/>
      <c r="AGL22" s="7"/>
      <c r="AGM22" s="7"/>
      <c r="AGN22" s="7"/>
      <c r="AGO22" s="7"/>
      <c r="AGP22" s="7"/>
      <c r="AGQ22" s="7"/>
      <c r="AGR22" s="7"/>
      <c r="AGS22" s="7"/>
      <c r="AGT22" s="7"/>
      <c r="AGU22" s="7"/>
      <c r="AGV22" s="7"/>
      <c r="AGW22" s="7"/>
      <c r="AGX22" s="7"/>
      <c r="AGY22" s="7"/>
      <c r="AGZ22" s="7"/>
      <c r="AHA22" s="7"/>
      <c r="AHB22" s="7"/>
      <c r="AHC22" s="7"/>
      <c r="AHD22" s="7"/>
      <c r="AHE22" s="7"/>
      <c r="AHF22" s="7"/>
      <c r="AHG22" s="7"/>
      <c r="AHH22" s="7"/>
      <c r="AHI22" s="7"/>
      <c r="AHJ22" s="7"/>
      <c r="AHK22" s="7"/>
      <c r="AHL22" s="7"/>
      <c r="AHM22" s="7"/>
      <c r="AHN22" s="7"/>
      <c r="AHO22" s="7"/>
      <c r="AHP22" s="7"/>
      <c r="AHQ22" s="7"/>
      <c r="AHR22" s="7"/>
      <c r="AHS22" s="7"/>
      <c r="AHT22" s="7"/>
      <c r="AHU22" s="7"/>
      <c r="AHV22" s="7"/>
      <c r="AHW22" s="7"/>
      <c r="AHX22" s="7"/>
      <c r="AHY22" s="7"/>
      <c r="AHZ22" s="7"/>
      <c r="AIA22" s="7"/>
      <c r="AIB22" s="7"/>
      <c r="AIC22" s="7"/>
      <c r="AID22" s="7"/>
      <c r="AIE22" s="7"/>
      <c r="AIF22" s="7"/>
      <c r="AIG22" s="7"/>
      <c r="AIH22" s="7"/>
      <c r="AII22" s="7"/>
      <c r="AIJ22" s="7"/>
      <c r="AIK22" s="7"/>
      <c r="AIL22" s="7"/>
      <c r="AIM22" s="7"/>
      <c r="AIN22" s="7"/>
      <c r="AIO22" s="7"/>
      <c r="AIP22" s="7"/>
      <c r="AIQ22" s="7"/>
      <c r="AIR22" s="7"/>
      <c r="AIS22" s="7"/>
      <c r="AIT22" s="7"/>
      <c r="AIU22" s="7"/>
      <c r="AIV22" s="7"/>
      <c r="AIW22" s="7"/>
      <c r="AIX22" s="7"/>
      <c r="AIY22" s="7"/>
      <c r="AIZ22" s="7"/>
      <c r="AJA22" s="7"/>
      <c r="AJB22" s="7"/>
      <c r="AJC22" s="7"/>
      <c r="AJD22" s="7"/>
      <c r="AJE22" s="7"/>
      <c r="AJF22" s="7"/>
      <c r="AJG22" s="7"/>
      <c r="AJH22" s="7"/>
      <c r="AJI22" s="7"/>
      <c r="AJJ22" s="7"/>
      <c r="AJK22" s="7"/>
      <c r="AJL22" s="7"/>
      <c r="AJM22" s="7"/>
      <c r="AJN22" s="7"/>
      <c r="AJO22" s="7"/>
      <c r="AJP22" s="7"/>
      <c r="AJQ22" s="7"/>
      <c r="AJR22" s="7"/>
      <c r="AJS22" s="7"/>
      <c r="AJT22" s="7"/>
      <c r="AJU22" s="7"/>
      <c r="AJV22" s="7"/>
      <c r="AJW22" s="7"/>
      <c r="AJX22" s="7"/>
      <c r="AJY22" s="7"/>
      <c r="AJZ22" s="7"/>
      <c r="AKA22" s="7"/>
      <c r="AKB22" s="7"/>
      <c r="AKC22" s="7"/>
      <c r="AKD22" s="7"/>
      <c r="AKE22" s="7"/>
      <c r="AKF22" s="7"/>
      <c r="AKG22" s="7"/>
      <c r="AKH22" s="7"/>
      <c r="AKI22" s="7"/>
      <c r="AKJ22" s="7"/>
      <c r="AKK22" s="7"/>
      <c r="AKL22" s="7"/>
      <c r="AKM22" s="7"/>
      <c r="AKN22" s="7"/>
      <c r="AKO22" s="7"/>
      <c r="AKP22" s="7"/>
      <c r="AKQ22" s="7"/>
      <c r="AKR22" s="7"/>
      <c r="AKS22" s="7"/>
      <c r="AKT22" s="7"/>
      <c r="AKU22" s="7"/>
      <c r="AKV22" s="7"/>
      <c r="AKW22" s="7"/>
      <c r="AKX22" s="7"/>
      <c r="AKY22" s="7"/>
      <c r="AKZ22" s="7"/>
      <c r="ALA22" s="7"/>
      <c r="ALB22" s="7"/>
      <c r="ALC22" s="7"/>
      <c r="ALD22" s="7"/>
      <c r="ALE22" s="7"/>
      <c r="ALF22" s="7"/>
      <c r="ALG22" s="7"/>
      <c r="ALH22" s="7"/>
      <c r="ALI22" s="7"/>
      <c r="ALJ22" s="7"/>
      <c r="ALK22" s="7"/>
      <c r="ALL22" s="7"/>
      <c r="ALM22" s="7"/>
      <c r="ALN22" s="7"/>
      <c r="ALO22" s="7"/>
      <c r="ALP22" s="7"/>
      <c r="ALQ22" s="7"/>
      <c r="ALR22" s="7"/>
      <c r="ALS22" s="7"/>
      <c r="ALT22" s="7"/>
      <c r="ALU22" s="7"/>
      <c r="ALV22" s="7"/>
      <c r="ALW22" s="7"/>
      <c r="ALX22" s="7"/>
      <c r="ALY22" s="7"/>
      <c r="ALZ22" s="7"/>
      <c r="AMA22" s="7"/>
      <c r="AMB22" s="7"/>
      <c r="AMC22" s="7"/>
      <c r="AMD22" s="7"/>
      <c r="AME22" s="7"/>
      <c r="AMF22" s="7"/>
      <c r="AMG22" s="7"/>
      <c r="AMH22" s="7"/>
      <c r="AMI22" s="7"/>
      <c r="AMJ22" s="7"/>
      <c r="AMK22" s="7"/>
      <c r="AML22" s="7"/>
      <c r="AMM22" s="7"/>
      <c r="AMN22" s="7"/>
      <c r="AMO22" s="7"/>
      <c r="AMP22" s="7"/>
      <c r="AMQ22" s="7"/>
      <c r="AMR22" s="7"/>
      <c r="AMS22" s="7"/>
      <c r="AMT22" s="7"/>
      <c r="AMU22" s="7"/>
      <c r="AMV22" s="7"/>
      <c r="AMW22" s="7"/>
      <c r="AMX22" s="7"/>
      <c r="AMY22" s="7"/>
      <c r="AMZ22" s="7"/>
      <c r="ANA22" s="7"/>
    </row>
    <row r="23" s="7" customFormat="true" ht="15" hidden="false" customHeight="false" outlineLevel="0" collapsed="false">
      <c r="A23" s="7" t="n">
        <v>22</v>
      </c>
      <c r="B23" s="8" t="s">
        <v>83</v>
      </c>
      <c r="C23" s="8" t="n">
        <v>100</v>
      </c>
      <c r="D23" s="8"/>
      <c r="E23" s="8"/>
      <c r="F23" s="8"/>
      <c r="G23" s="8"/>
      <c r="H23" s="8"/>
      <c r="I23" s="8" t="n">
        <v>2</v>
      </c>
      <c r="J23" s="8" t="n">
        <v>1</v>
      </c>
      <c r="K23" s="8" t="n">
        <v>5</v>
      </c>
      <c r="L23" s="7" t="n">
        <f aca="false">J23-K23</f>
        <v>-4</v>
      </c>
      <c r="M23" s="7" t="n">
        <v>1</v>
      </c>
      <c r="N23" s="7" t="n">
        <v>5</v>
      </c>
      <c r="O23" s="7" t="n">
        <f aca="false">M23-N23</f>
        <v>-4</v>
      </c>
      <c r="P23" s="8" t="n">
        <v>1</v>
      </c>
      <c r="Q23" s="8" t="n">
        <v>5</v>
      </c>
      <c r="R23" s="7" t="n">
        <f aca="false">P23-Q23</f>
        <v>-4</v>
      </c>
      <c r="S23" s="7" t="n">
        <v>1</v>
      </c>
      <c r="T23" s="11" t="n">
        <f aca="false">ROUND(AVERAGE(I23,L23,O23,R23,S23),0)</f>
        <v>-2</v>
      </c>
      <c r="U23" s="11" t="str">
        <f aca="false">IF(T23&gt;6,"TEA",IF(T23&gt;3,"TEP","TED"))</f>
        <v>TED</v>
      </c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8"/>
      <c r="JD23" s="8"/>
      <c r="JE23" s="8"/>
      <c r="JF23" s="8"/>
      <c r="JG23" s="8"/>
      <c r="JH23" s="8"/>
      <c r="JI23" s="8"/>
      <c r="JJ23" s="8"/>
      <c r="JK23" s="8"/>
      <c r="JL23" s="8"/>
      <c r="JM23" s="8"/>
      <c r="JN23" s="8"/>
      <c r="JO23" s="8"/>
      <c r="JP23" s="8"/>
      <c r="JQ23" s="8"/>
      <c r="JR23" s="8"/>
      <c r="JS23" s="8"/>
      <c r="JT23" s="8"/>
      <c r="JU23" s="8"/>
      <c r="JV23" s="8"/>
      <c r="JW23" s="8"/>
      <c r="JX23" s="8"/>
      <c r="JY23" s="8"/>
      <c r="JZ23" s="8"/>
      <c r="KA23" s="8"/>
      <c r="KB23" s="8"/>
      <c r="KC23" s="8"/>
      <c r="KD23" s="8"/>
      <c r="KE23" s="8"/>
      <c r="KF23" s="8"/>
      <c r="KG23" s="8"/>
      <c r="KH23" s="8"/>
      <c r="KI23" s="8"/>
      <c r="KJ23" s="8"/>
      <c r="KK23" s="8"/>
      <c r="KL23" s="8"/>
      <c r="KM23" s="8"/>
      <c r="KN23" s="8"/>
      <c r="KO23" s="8"/>
      <c r="KP23" s="8"/>
      <c r="KQ23" s="8"/>
      <c r="KR23" s="8"/>
      <c r="KS23" s="8"/>
      <c r="KT23" s="8"/>
      <c r="KU23" s="8"/>
      <c r="KV23" s="8"/>
      <c r="KW23" s="8"/>
      <c r="KX23" s="8"/>
      <c r="KY23" s="8"/>
      <c r="KZ23" s="8"/>
      <c r="LA23" s="8"/>
      <c r="LB23" s="8"/>
      <c r="LC23" s="8"/>
      <c r="LD23" s="8"/>
      <c r="LE23" s="8"/>
      <c r="LF23" s="8"/>
      <c r="LG23" s="8"/>
      <c r="LH23" s="8"/>
      <c r="LI23" s="8"/>
      <c r="LJ23" s="8"/>
      <c r="LK23" s="8"/>
      <c r="LL23" s="8"/>
      <c r="LM23" s="8"/>
      <c r="LN23" s="8"/>
      <c r="LO23" s="8"/>
      <c r="LP23" s="8"/>
      <c r="LQ23" s="8"/>
      <c r="LR23" s="8"/>
      <c r="LS23" s="8"/>
      <c r="LT23" s="8"/>
      <c r="LU23" s="8"/>
      <c r="LV23" s="8"/>
      <c r="LW23" s="8"/>
      <c r="LX23" s="8"/>
      <c r="LY23" s="8"/>
      <c r="LZ23" s="8"/>
      <c r="MA23" s="8"/>
      <c r="MB23" s="8"/>
      <c r="MC23" s="8"/>
      <c r="MD23" s="8"/>
      <c r="ME23" s="8"/>
      <c r="MF23" s="8"/>
      <c r="MG23" s="8"/>
      <c r="MH23" s="8"/>
      <c r="MI23" s="8"/>
      <c r="MJ23" s="8"/>
      <c r="MK23" s="8"/>
      <c r="ML23" s="8"/>
      <c r="MM23" s="8"/>
      <c r="MN23" s="8"/>
      <c r="MO23" s="8"/>
      <c r="MP23" s="8"/>
      <c r="MQ23" s="8"/>
      <c r="MR23" s="8"/>
      <c r="MS23" s="8"/>
      <c r="MT23" s="8"/>
      <c r="MU23" s="8"/>
      <c r="MV23" s="8"/>
      <c r="MW23" s="8"/>
      <c r="MX23" s="8"/>
      <c r="MY23" s="8"/>
      <c r="MZ23" s="8"/>
      <c r="NA23" s="8"/>
      <c r="NB23" s="8"/>
      <c r="NC23" s="8"/>
      <c r="ND23" s="8"/>
      <c r="NE23" s="8"/>
      <c r="NF23" s="8"/>
      <c r="NG23" s="8"/>
      <c r="NH23" s="8"/>
      <c r="NI23" s="8"/>
      <c r="NJ23" s="8"/>
      <c r="NK23" s="8"/>
      <c r="NL23" s="8"/>
      <c r="NM23" s="8"/>
      <c r="NN23" s="8"/>
      <c r="NO23" s="8"/>
      <c r="NP23" s="8"/>
      <c r="NQ23" s="8"/>
      <c r="NR23" s="8"/>
      <c r="NS23" s="8"/>
      <c r="NT23" s="8"/>
      <c r="NU23" s="8"/>
      <c r="NV23" s="8"/>
      <c r="NW23" s="8"/>
      <c r="NX23" s="8"/>
      <c r="NY23" s="8"/>
      <c r="NZ23" s="8"/>
      <c r="OA23" s="8"/>
      <c r="OB23" s="8"/>
      <c r="OC23" s="8"/>
      <c r="OD23" s="8"/>
      <c r="OE23" s="8"/>
      <c r="OF23" s="8"/>
      <c r="OG23" s="8"/>
      <c r="OH23" s="8"/>
      <c r="OI23" s="8"/>
      <c r="OJ23" s="8"/>
      <c r="OK23" s="8"/>
      <c r="OL23" s="8"/>
      <c r="OM23" s="8"/>
      <c r="ON23" s="8"/>
      <c r="OO23" s="8"/>
      <c r="OP23" s="8"/>
      <c r="OQ23" s="8"/>
      <c r="OR23" s="8"/>
      <c r="OS23" s="8"/>
      <c r="OT23" s="8"/>
      <c r="OU23" s="8"/>
      <c r="OV23" s="8"/>
      <c r="OW23" s="8"/>
      <c r="OX23" s="8"/>
      <c r="OY23" s="8"/>
      <c r="OZ23" s="8"/>
      <c r="PA23" s="8"/>
      <c r="PB23" s="8"/>
      <c r="PC23" s="8"/>
      <c r="PD23" s="8"/>
      <c r="PE23" s="8"/>
      <c r="PF23" s="8"/>
      <c r="PG23" s="8"/>
      <c r="PH23" s="8"/>
      <c r="PI23" s="8"/>
      <c r="PJ23" s="8"/>
      <c r="PK23" s="8"/>
      <c r="PL23" s="8"/>
      <c r="PM23" s="8"/>
      <c r="PN23" s="8"/>
      <c r="PO23" s="8"/>
      <c r="PP23" s="8"/>
      <c r="PQ23" s="8"/>
      <c r="PR23" s="8"/>
      <c r="PS23" s="8"/>
      <c r="PT23" s="8"/>
      <c r="PU23" s="8"/>
      <c r="PV23" s="8"/>
      <c r="PW23" s="8"/>
      <c r="PX23" s="8"/>
      <c r="PY23" s="8"/>
      <c r="PZ23" s="8"/>
      <c r="QA23" s="8"/>
      <c r="QB23" s="8"/>
      <c r="QC23" s="8"/>
      <c r="QD23" s="8"/>
      <c r="QE23" s="8"/>
      <c r="QF23" s="8"/>
      <c r="QG23" s="8"/>
      <c r="QH23" s="8"/>
      <c r="QI23" s="8"/>
      <c r="QJ23" s="8"/>
      <c r="QK23" s="8"/>
      <c r="QL23" s="8"/>
      <c r="QM23" s="8"/>
      <c r="QN23" s="8"/>
      <c r="QO23" s="8"/>
      <c r="QP23" s="8"/>
      <c r="QQ23" s="8"/>
      <c r="QR23" s="8"/>
      <c r="QS23" s="8"/>
      <c r="QT23" s="8"/>
      <c r="QU23" s="8"/>
      <c r="QV23" s="8"/>
      <c r="QW23" s="8"/>
      <c r="QX23" s="8"/>
      <c r="QY23" s="8"/>
      <c r="QZ23" s="8"/>
      <c r="RA23" s="8"/>
      <c r="RB23" s="8"/>
      <c r="RC23" s="8"/>
      <c r="RD23" s="8"/>
      <c r="RE23" s="8"/>
      <c r="RF23" s="8"/>
      <c r="RG23" s="8"/>
      <c r="RH23" s="8"/>
      <c r="RI23" s="8"/>
      <c r="RJ23" s="8"/>
      <c r="RK23" s="8"/>
      <c r="RL23" s="8"/>
      <c r="RM23" s="8"/>
      <c r="RN23" s="8"/>
      <c r="RO23" s="8"/>
      <c r="RP23" s="8"/>
      <c r="RQ23" s="8"/>
      <c r="RR23" s="8"/>
      <c r="RS23" s="8"/>
      <c r="RT23" s="8"/>
      <c r="RU23" s="8"/>
      <c r="RV23" s="8"/>
      <c r="RW23" s="8"/>
      <c r="RX23" s="8"/>
      <c r="RY23" s="8"/>
      <c r="RZ23" s="8"/>
      <c r="SA23" s="8"/>
      <c r="SB23" s="8"/>
      <c r="SC23" s="8"/>
      <c r="SD23" s="8"/>
      <c r="SE23" s="8"/>
      <c r="SF23" s="8"/>
      <c r="SG23" s="8"/>
      <c r="SH23" s="8"/>
      <c r="SI23" s="8"/>
      <c r="SJ23" s="8"/>
      <c r="SK23" s="8"/>
      <c r="SL23" s="8"/>
      <c r="SM23" s="8"/>
      <c r="SN23" s="8"/>
      <c r="SO23" s="8"/>
      <c r="SP23" s="8"/>
      <c r="SQ23" s="8"/>
      <c r="SR23" s="8"/>
      <c r="SS23" s="8"/>
      <c r="ST23" s="8"/>
      <c r="SU23" s="8"/>
      <c r="SV23" s="8"/>
      <c r="SW23" s="8"/>
      <c r="SX23" s="8"/>
      <c r="SY23" s="8"/>
      <c r="SZ23" s="8"/>
      <c r="TA23" s="8"/>
      <c r="TB23" s="8"/>
      <c r="TC23" s="8"/>
      <c r="TD23" s="8"/>
      <c r="TE23" s="8"/>
      <c r="TF23" s="8"/>
      <c r="TG23" s="8"/>
      <c r="TH23" s="8"/>
      <c r="TI23" s="8"/>
      <c r="TJ23" s="8"/>
      <c r="TK23" s="8"/>
      <c r="TL23" s="8"/>
      <c r="TM23" s="8"/>
      <c r="TN23" s="8"/>
      <c r="TO23" s="8"/>
      <c r="TP23" s="8"/>
      <c r="TQ23" s="8"/>
      <c r="TR23" s="8"/>
      <c r="TS23" s="8"/>
      <c r="TT23" s="8"/>
      <c r="TU23" s="8"/>
      <c r="TV23" s="8"/>
      <c r="TW23" s="8"/>
      <c r="TX23" s="8"/>
      <c r="TY23" s="8"/>
      <c r="TZ23" s="8"/>
      <c r="UA23" s="8"/>
      <c r="UB23" s="8"/>
      <c r="UC23" s="8"/>
      <c r="UD23" s="8"/>
      <c r="UE23" s="8"/>
      <c r="UF23" s="8"/>
      <c r="UG23" s="8"/>
      <c r="UH23" s="8"/>
      <c r="UI23" s="8"/>
      <c r="UJ23" s="8"/>
      <c r="UK23" s="8"/>
      <c r="UL23" s="8"/>
      <c r="UM23" s="8"/>
      <c r="UN23" s="8"/>
      <c r="UO23" s="8"/>
      <c r="UP23" s="8"/>
      <c r="UQ23" s="8"/>
      <c r="UR23" s="8"/>
      <c r="US23" s="8"/>
      <c r="UT23" s="8"/>
      <c r="UU23" s="8"/>
      <c r="UV23" s="8"/>
      <c r="UW23" s="8"/>
      <c r="UX23" s="8"/>
      <c r="UY23" s="8"/>
      <c r="UZ23" s="8"/>
      <c r="VA23" s="8"/>
      <c r="VB23" s="8"/>
      <c r="VC23" s="8"/>
      <c r="VD23" s="8"/>
      <c r="VE23" s="8"/>
      <c r="VF23" s="8"/>
      <c r="VG23" s="8"/>
      <c r="VH23" s="8"/>
      <c r="VI23" s="8"/>
      <c r="VJ23" s="8"/>
      <c r="VK23" s="8"/>
      <c r="VL23" s="8"/>
      <c r="VM23" s="8"/>
      <c r="VN23" s="8"/>
      <c r="VO23" s="8"/>
      <c r="VP23" s="8"/>
      <c r="VQ23" s="8"/>
      <c r="VR23" s="8"/>
      <c r="VS23" s="8"/>
      <c r="VT23" s="8"/>
      <c r="VU23" s="8"/>
      <c r="VV23" s="8"/>
      <c r="VW23" s="8"/>
      <c r="VX23" s="8"/>
      <c r="VY23" s="8"/>
      <c r="VZ23" s="8"/>
      <c r="WA23" s="8"/>
      <c r="WB23" s="8"/>
      <c r="WC23" s="8"/>
      <c r="WD23" s="8"/>
      <c r="WE23" s="8"/>
      <c r="WF23" s="8"/>
      <c r="WG23" s="8"/>
      <c r="WH23" s="8"/>
      <c r="WI23" s="8"/>
      <c r="WJ23" s="8"/>
      <c r="WK23" s="8"/>
      <c r="WL23" s="8"/>
      <c r="WM23" s="8"/>
      <c r="WN23" s="8"/>
      <c r="WO23" s="8"/>
      <c r="WP23" s="8"/>
      <c r="WQ23" s="8"/>
      <c r="WR23" s="8"/>
      <c r="WS23" s="8"/>
      <c r="WT23" s="8"/>
      <c r="WU23" s="8"/>
      <c r="WV23" s="8"/>
      <c r="WW23" s="8"/>
      <c r="WX23" s="8"/>
      <c r="WY23" s="8"/>
      <c r="WZ23" s="8"/>
      <c r="XA23" s="8"/>
      <c r="XB23" s="8"/>
      <c r="XC23" s="8"/>
      <c r="XD23" s="8"/>
      <c r="XE23" s="8"/>
      <c r="XF23" s="8"/>
      <c r="XG23" s="8"/>
      <c r="XH23" s="8"/>
      <c r="XI23" s="8"/>
      <c r="XJ23" s="8"/>
      <c r="XK23" s="8"/>
      <c r="XL23" s="8"/>
      <c r="XM23" s="8"/>
      <c r="XN23" s="8"/>
      <c r="XO23" s="8"/>
      <c r="XP23" s="8"/>
      <c r="XQ23" s="8"/>
      <c r="XR23" s="8"/>
      <c r="XS23" s="8"/>
      <c r="XT23" s="8"/>
      <c r="XU23" s="8"/>
      <c r="XV23" s="8"/>
      <c r="XW23" s="8"/>
      <c r="XX23" s="8"/>
      <c r="XY23" s="8"/>
      <c r="XZ23" s="8"/>
      <c r="YA23" s="8"/>
      <c r="YB23" s="8"/>
      <c r="YC23" s="8"/>
      <c r="YD23" s="8"/>
      <c r="YE23" s="8"/>
      <c r="YF23" s="8"/>
      <c r="YG23" s="8"/>
      <c r="YH23" s="8"/>
      <c r="YI23" s="8"/>
      <c r="YJ23" s="8"/>
      <c r="YK23" s="8"/>
      <c r="YL23" s="8"/>
      <c r="YM23" s="8"/>
      <c r="YN23" s="8"/>
      <c r="YO23" s="8"/>
      <c r="YP23" s="8"/>
      <c r="YQ23" s="8"/>
      <c r="YR23" s="8"/>
      <c r="YS23" s="8"/>
      <c r="YT23" s="8"/>
      <c r="YU23" s="8"/>
      <c r="YV23" s="8"/>
      <c r="YW23" s="8"/>
      <c r="YX23" s="8"/>
      <c r="YY23" s="8"/>
      <c r="YZ23" s="8"/>
      <c r="ZA23" s="8"/>
      <c r="ZB23" s="8"/>
      <c r="ZC23" s="8"/>
      <c r="ZD23" s="8"/>
      <c r="ZE23" s="8"/>
      <c r="ZF23" s="8"/>
      <c r="ZG23" s="8"/>
      <c r="ZH23" s="8"/>
      <c r="ZI23" s="8"/>
      <c r="ZJ23" s="8"/>
      <c r="ZK23" s="8"/>
      <c r="ZL23" s="8"/>
      <c r="ZM23" s="8"/>
      <c r="ZN23" s="8"/>
      <c r="ZO23" s="8"/>
      <c r="ZP23" s="8"/>
      <c r="ZQ23" s="8"/>
      <c r="ZR23" s="8"/>
      <c r="ZS23" s="8"/>
      <c r="ZT23" s="8"/>
      <c r="ZU23" s="8"/>
      <c r="ZV23" s="8"/>
      <c r="ZW23" s="8"/>
      <c r="ZX23" s="8"/>
      <c r="ZY23" s="8"/>
      <c r="ZZ23" s="8"/>
      <c r="AAA23" s="8"/>
      <c r="AAB23" s="8"/>
      <c r="AAC23" s="8"/>
      <c r="AAD23" s="8"/>
      <c r="AAE23" s="8"/>
      <c r="AAF23" s="8"/>
      <c r="AAG23" s="8"/>
      <c r="AAH23" s="8"/>
      <c r="AAI23" s="8"/>
      <c r="AAJ23" s="8"/>
      <c r="AAK23" s="8"/>
      <c r="AAL23" s="8"/>
      <c r="AAM23" s="8"/>
      <c r="AAN23" s="8"/>
      <c r="AAO23" s="8"/>
      <c r="AAP23" s="8"/>
      <c r="AAQ23" s="8"/>
      <c r="AAR23" s="8"/>
      <c r="AAS23" s="8"/>
      <c r="AAT23" s="8"/>
      <c r="AAU23" s="8"/>
      <c r="AAV23" s="8"/>
      <c r="AAW23" s="8"/>
      <c r="AAX23" s="8"/>
      <c r="AAY23" s="8"/>
      <c r="AAZ23" s="8"/>
      <c r="ABA23" s="8"/>
      <c r="ABB23" s="8"/>
      <c r="ABC23" s="8"/>
      <c r="ABD23" s="8"/>
      <c r="ABE23" s="8"/>
      <c r="ABF23" s="8"/>
      <c r="ABG23" s="8"/>
      <c r="ABH23" s="8"/>
      <c r="ABI23" s="8"/>
      <c r="ABJ23" s="8"/>
      <c r="ABK23" s="8"/>
      <c r="ABL23" s="8"/>
      <c r="ABM23" s="8"/>
      <c r="ABN23" s="8"/>
      <c r="ABO23" s="8"/>
      <c r="ABP23" s="8"/>
      <c r="ABQ23" s="8"/>
      <c r="ABR23" s="8"/>
      <c r="ABS23" s="8"/>
      <c r="ABT23" s="8"/>
      <c r="ABU23" s="8"/>
      <c r="ABV23" s="8"/>
      <c r="ABW23" s="8"/>
      <c r="ABX23" s="8"/>
      <c r="ABY23" s="8"/>
      <c r="ABZ23" s="8"/>
      <c r="ACA23" s="8"/>
      <c r="ACB23" s="8"/>
      <c r="ACC23" s="8"/>
      <c r="ACD23" s="8"/>
      <c r="ACE23" s="8"/>
      <c r="ACF23" s="8"/>
      <c r="ACG23" s="8"/>
      <c r="ACH23" s="8"/>
      <c r="ACI23" s="8"/>
      <c r="ACJ23" s="8"/>
      <c r="ACK23" s="8"/>
      <c r="ACL23" s="8"/>
      <c r="ACM23" s="8"/>
      <c r="ACN23" s="8"/>
      <c r="ACO23" s="8"/>
      <c r="ACP23" s="8"/>
      <c r="ACQ23" s="8"/>
      <c r="ACR23" s="8"/>
      <c r="ACS23" s="8"/>
      <c r="ACT23" s="8"/>
      <c r="ACU23" s="8"/>
      <c r="ACV23" s="8"/>
      <c r="ACW23" s="8"/>
      <c r="ACX23" s="8"/>
      <c r="ACY23" s="8"/>
      <c r="ACZ23" s="8"/>
      <c r="ADA23" s="8"/>
      <c r="ADB23" s="8"/>
      <c r="ADC23" s="8"/>
      <c r="ADD23" s="8"/>
      <c r="ADE23" s="8"/>
      <c r="ADF23" s="8"/>
      <c r="ADG23" s="8"/>
      <c r="ADH23" s="8"/>
      <c r="ADI23" s="8"/>
      <c r="ADJ23" s="8"/>
      <c r="ADK23" s="8"/>
      <c r="ADL23" s="8"/>
      <c r="ADM23" s="8"/>
      <c r="ADN23" s="8"/>
      <c r="ADO23" s="8"/>
      <c r="ADP23" s="8"/>
      <c r="ADQ23" s="8"/>
      <c r="ADR23" s="8"/>
      <c r="ADS23" s="8"/>
      <c r="ADT23" s="8"/>
      <c r="ADU23" s="8"/>
      <c r="ADV23" s="8"/>
      <c r="ADW23" s="8"/>
      <c r="ADX23" s="8"/>
      <c r="ADY23" s="8"/>
      <c r="ADZ23" s="8"/>
      <c r="AEA23" s="8"/>
      <c r="AEB23" s="8"/>
      <c r="AEC23" s="8"/>
      <c r="AED23" s="8"/>
      <c r="AEE23" s="8"/>
      <c r="AEF23" s="8"/>
      <c r="AEG23" s="8"/>
      <c r="AEH23" s="8"/>
      <c r="AEI23" s="8"/>
      <c r="AEJ23" s="8"/>
      <c r="AEK23" s="8"/>
      <c r="AEL23" s="8"/>
      <c r="AEM23" s="8"/>
      <c r="AEN23" s="8"/>
      <c r="AEO23" s="8"/>
      <c r="AEP23" s="8"/>
      <c r="AEQ23" s="8"/>
      <c r="AER23" s="8"/>
      <c r="AES23" s="8"/>
      <c r="AET23" s="8"/>
      <c r="AEU23" s="8"/>
      <c r="AEV23" s="8"/>
      <c r="AEW23" s="8"/>
      <c r="AEX23" s="8"/>
      <c r="AEY23" s="8"/>
      <c r="AEZ23" s="8"/>
      <c r="AFA23" s="8"/>
      <c r="AFB23" s="8"/>
      <c r="AFC23" s="8"/>
      <c r="AFD23" s="8"/>
      <c r="AFE23" s="8"/>
      <c r="AFF23" s="8"/>
      <c r="AFG23" s="8"/>
      <c r="AFH23" s="8"/>
      <c r="AFI23" s="8"/>
      <c r="AFJ23" s="8"/>
      <c r="AFK23" s="8"/>
      <c r="AFL23" s="8"/>
      <c r="AFM23" s="8"/>
      <c r="AFN23" s="8"/>
      <c r="AFO23" s="8"/>
      <c r="AFP23" s="8"/>
      <c r="AFQ23" s="8"/>
      <c r="AFR23" s="8"/>
      <c r="AFS23" s="8"/>
      <c r="AFT23" s="8"/>
      <c r="AFU23" s="8"/>
      <c r="AFV23" s="8"/>
      <c r="AFW23" s="8"/>
      <c r="AFX23" s="8"/>
      <c r="AFY23" s="8"/>
      <c r="AFZ23" s="8"/>
      <c r="AGA23" s="8"/>
      <c r="AGB23" s="8"/>
      <c r="AGC23" s="8"/>
      <c r="AGD23" s="8"/>
      <c r="AGE23" s="8"/>
      <c r="AGF23" s="8"/>
      <c r="AGG23" s="8"/>
      <c r="AGH23" s="8"/>
      <c r="AGI23" s="8"/>
      <c r="AGJ23" s="8"/>
      <c r="AGK23" s="8"/>
      <c r="AGL23" s="8"/>
      <c r="AGM23" s="8"/>
      <c r="AGN23" s="8"/>
      <c r="AGO23" s="8"/>
      <c r="AGP23" s="8"/>
      <c r="AGQ23" s="8"/>
      <c r="AGR23" s="8"/>
      <c r="AGS23" s="8"/>
      <c r="AGT23" s="8"/>
      <c r="AGU23" s="8"/>
      <c r="AGV23" s="8"/>
      <c r="AGW23" s="8"/>
      <c r="AGX23" s="8"/>
      <c r="AGY23" s="8"/>
      <c r="AGZ23" s="8"/>
      <c r="AHA23" s="8"/>
      <c r="AHB23" s="8"/>
      <c r="AHC23" s="8"/>
      <c r="AHD23" s="8"/>
      <c r="AHE23" s="8"/>
      <c r="AHF23" s="8"/>
      <c r="AHG23" s="8"/>
      <c r="AHH23" s="8"/>
      <c r="AHI23" s="8"/>
      <c r="AHJ23" s="8"/>
      <c r="AHK23" s="8"/>
      <c r="AHL23" s="8"/>
      <c r="AHM23" s="8"/>
      <c r="AHN23" s="8"/>
      <c r="AHO23" s="8"/>
      <c r="AHP23" s="8"/>
      <c r="AHQ23" s="8"/>
      <c r="AHR23" s="8"/>
      <c r="AHS23" s="8"/>
      <c r="AHT23" s="8"/>
      <c r="AHU23" s="8"/>
      <c r="AHV23" s="8"/>
      <c r="AHW23" s="8"/>
      <c r="AHX23" s="8"/>
      <c r="AHY23" s="8"/>
      <c r="AHZ23" s="8"/>
      <c r="AIA23" s="8"/>
      <c r="AIB23" s="8"/>
      <c r="AIC23" s="8"/>
      <c r="AID23" s="8"/>
      <c r="AIE23" s="8"/>
      <c r="AIF23" s="8"/>
      <c r="AIG23" s="8"/>
      <c r="AIH23" s="8"/>
      <c r="AII23" s="8"/>
      <c r="AIJ23" s="8"/>
      <c r="AIK23" s="8"/>
      <c r="AIL23" s="8"/>
      <c r="AIM23" s="8"/>
      <c r="AIN23" s="8"/>
      <c r="AIO23" s="8"/>
      <c r="AIP23" s="8"/>
      <c r="AIQ23" s="8"/>
      <c r="AIR23" s="8"/>
      <c r="AIS23" s="8"/>
      <c r="AIT23" s="8"/>
      <c r="AIU23" s="8"/>
      <c r="AIV23" s="8"/>
      <c r="AIW23" s="8"/>
      <c r="AIX23" s="8"/>
      <c r="AIY23" s="8"/>
      <c r="AIZ23" s="8"/>
      <c r="AJA23" s="8"/>
      <c r="AJB23" s="8"/>
      <c r="AJC23" s="8"/>
      <c r="AJD23" s="8"/>
      <c r="AJE23" s="8"/>
      <c r="AJF23" s="8"/>
      <c r="AJG23" s="8"/>
      <c r="AJH23" s="8"/>
      <c r="AJI23" s="8"/>
      <c r="AJJ23" s="8"/>
      <c r="AJK23" s="8"/>
      <c r="AJL23" s="8"/>
      <c r="AJM23" s="8"/>
      <c r="AJN23" s="8"/>
      <c r="AJO23" s="8"/>
      <c r="AJP23" s="8"/>
      <c r="AJQ23" s="8"/>
      <c r="AJR23" s="8"/>
      <c r="AJS23" s="8"/>
      <c r="AJT23" s="8"/>
      <c r="AJU23" s="8"/>
      <c r="AJV23" s="8"/>
      <c r="AJW23" s="8"/>
      <c r="AJX23" s="8"/>
      <c r="AJY23" s="8"/>
      <c r="AJZ23" s="8"/>
      <c r="AKA23" s="8"/>
      <c r="AKB23" s="8"/>
      <c r="AKC23" s="8"/>
      <c r="AKD23" s="8"/>
      <c r="AKE23" s="8"/>
      <c r="AKF23" s="8"/>
      <c r="AKG23" s="8"/>
      <c r="AKH23" s="8"/>
      <c r="AKI23" s="8"/>
      <c r="AKJ23" s="8"/>
      <c r="AKK23" s="8"/>
      <c r="AKL23" s="8"/>
      <c r="AKM23" s="8"/>
      <c r="AKN23" s="8"/>
      <c r="AKO23" s="8"/>
      <c r="AKP23" s="8"/>
      <c r="AKQ23" s="8"/>
      <c r="AKR23" s="8"/>
      <c r="AKS23" s="8"/>
      <c r="AKT23" s="8"/>
      <c r="AKU23" s="8"/>
      <c r="AKV23" s="8"/>
      <c r="AKW23" s="8"/>
      <c r="AKX23" s="8"/>
      <c r="AKY23" s="8"/>
      <c r="AKZ23" s="8"/>
      <c r="ALA23" s="8"/>
      <c r="ALB23" s="8"/>
      <c r="ALC23" s="8"/>
      <c r="ALD23" s="8"/>
      <c r="ALE23" s="8"/>
      <c r="ALF23" s="8"/>
      <c r="ALG23" s="8"/>
      <c r="ALH23" s="8"/>
    </row>
  </sheetData>
  <conditionalFormatting sqref="T2:U23">
    <cfRule type="cellIs" priority="2" operator="greaterThan" aboveAverage="0" equalAverage="0" bottom="0" percent="0" rank="0" text="" dxfId="3">
      <formula>6</formula>
    </cfRule>
    <cfRule type="cellIs" priority="3" operator="between" aboveAverage="0" equalAverage="0" bottom="0" percent="0" rank="0" text="" dxfId="4">
      <formula>4</formula>
      <formula>6</formula>
    </cfRule>
    <cfRule type="cellIs" priority="4" operator="lessThan" aboveAverage="0" equalAverage="0" bottom="0" percent="0" rank="0" text="" dxfId="5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132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58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62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65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68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71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133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74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77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80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83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134</v>
      </c>
      <c r="E1" s="1" t="s">
        <v>135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6</v>
      </c>
      <c r="E2" s="1" t="n">
        <f aca="false">(10-D2)/2</f>
        <v>2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6</v>
      </c>
      <c r="E3" s="1" t="n">
        <f aca="false">(10-D3)/2</f>
        <v>2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8</v>
      </c>
      <c r="E4" s="1" t="n">
        <f aca="false">(10-D4)/2</f>
        <v>1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8</v>
      </c>
      <c r="E5" s="1" t="n">
        <f aca="false">(10-D5)/2</f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10</v>
      </c>
      <c r="E6" s="1" t="n">
        <f aca="false">(10-D6)/2</f>
        <v>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8</v>
      </c>
      <c r="E7" s="1" t="n">
        <f aca="false">(10-D7)/2</f>
        <v>1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10</v>
      </c>
      <c r="E8" s="1" t="n">
        <f aca="false">(10-D8)/2</f>
        <v>0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s">
        <v>40</v>
      </c>
      <c r="D9" s="1" t="n">
        <v>10</v>
      </c>
      <c r="E9" s="1" t="n">
        <f aca="false">(10-D9)/2</f>
        <v>0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8</v>
      </c>
      <c r="E10" s="1" t="n">
        <f aca="false">(10-D10)/2</f>
        <v>1</v>
      </c>
    </row>
    <row r="11" customFormat="false" ht="15" hidden="false" customHeight="false" outlineLevel="0" collapsed="false">
      <c r="A11" s="7" t="n">
        <v>10</v>
      </c>
      <c r="B11" s="8" t="s">
        <v>46</v>
      </c>
      <c r="D11" s="1" t="n">
        <v>0</v>
      </c>
      <c r="E11" s="1" t="n">
        <f aca="false">(10-D11)/2</f>
        <v>5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n">
        <v>10</v>
      </c>
      <c r="E12" s="1" t="n">
        <f aca="false">(10-D12)/2</f>
        <v>0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n">
        <v>8</v>
      </c>
      <c r="E13" s="1" t="n">
        <f aca="false">(10-D13)/2</f>
        <v>1</v>
      </c>
    </row>
    <row r="14" customFormat="false" ht="15" hidden="false" customHeight="false" outlineLevel="0" collapsed="false">
      <c r="A14" s="7" t="n">
        <v>13</v>
      </c>
      <c r="B14" s="8" t="s">
        <v>58</v>
      </c>
      <c r="D14" s="1" t="n">
        <v>0</v>
      </c>
      <c r="E14" s="1" t="n">
        <f aca="false">(10-D14)/2</f>
        <v>5</v>
      </c>
    </row>
    <row r="15" customFormat="false" ht="15" hidden="false" customHeight="false" outlineLevel="0" collapsed="false">
      <c r="A15" s="1" t="n">
        <v>14</v>
      </c>
      <c r="B15" s="2" t="s">
        <v>62</v>
      </c>
      <c r="C15" s="1" t="s">
        <v>62</v>
      </c>
      <c r="D15" s="1" t="n">
        <v>10</v>
      </c>
      <c r="E15" s="1" t="n">
        <f aca="false">(10-D15)/2</f>
        <v>0</v>
      </c>
    </row>
    <row r="16" customFormat="false" ht="15" hidden="false" customHeight="false" outlineLevel="0" collapsed="false">
      <c r="A16" s="1" t="n">
        <v>15</v>
      </c>
      <c r="B16" s="2" t="s">
        <v>65</v>
      </c>
      <c r="C16" s="1" t="s">
        <v>65</v>
      </c>
      <c r="D16" s="1" t="n">
        <v>8</v>
      </c>
      <c r="E16" s="1" t="n">
        <f aca="false">(10-D16)/2</f>
        <v>1</v>
      </c>
    </row>
    <row r="17" customFormat="false" ht="15" hidden="false" customHeight="false" outlineLevel="0" collapsed="false">
      <c r="A17" s="7" t="n">
        <v>16</v>
      </c>
      <c r="B17" s="8" t="s">
        <v>68</v>
      </c>
      <c r="D17" s="1" t="n">
        <v>0</v>
      </c>
      <c r="E17" s="1" t="n">
        <f aca="false">(10-D17)/2</f>
        <v>5</v>
      </c>
    </row>
    <row r="18" customFormat="false" ht="15" hidden="false" customHeight="false" outlineLevel="0" collapsed="false">
      <c r="A18" s="7" t="n">
        <v>17</v>
      </c>
      <c r="B18" s="8" t="s">
        <v>71</v>
      </c>
      <c r="D18" s="1" t="n">
        <v>0</v>
      </c>
      <c r="E18" s="1" t="n">
        <f aca="false">(10-D18)/2</f>
        <v>5</v>
      </c>
    </row>
    <row r="19" customFormat="false" ht="15" hidden="false" customHeight="false" outlineLevel="0" collapsed="false">
      <c r="A19" s="7" t="n">
        <v>19</v>
      </c>
      <c r="B19" s="8" t="s">
        <v>74</v>
      </c>
      <c r="D19" s="1" t="n">
        <v>0</v>
      </c>
      <c r="E19" s="1" t="n">
        <f aca="false">(10-D19)/2</f>
        <v>5</v>
      </c>
    </row>
    <row r="20" customFormat="false" ht="15" hidden="false" customHeight="false" outlineLevel="0" collapsed="false">
      <c r="A20" s="1" t="n">
        <v>20</v>
      </c>
      <c r="B20" s="2" t="s">
        <v>77</v>
      </c>
      <c r="C20" s="1" t="s">
        <v>77</v>
      </c>
      <c r="D20" s="1" t="n">
        <v>10</v>
      </c>
      <c r="E20" s="1" t="n">
        <f aca="false">(10-D20)/2</f>
        <v>0</v>
      </c>
    </row>
    <row r="21" customFormat="false" ht="15" hidden="false" customHeight="false" outlineLevel="0" collapsed="false">
      <c r="A21" s="1" t="n">
        <v>21</v>
      </c>
      <c r="B21" s="2" t="s">
        <v>80</v>
      </c>
      <c r="C21" s="1" t="s">
        <v>80</v>
      </c>
      <c r="D21" s="1" t="n">
        <v>6</v>
      </c>
      <c r="E21" s="1" t="n">
        <f aca="false">(10-D21)/2</f>
        <v>2</v>
      </c>
    </row>
    <row r="22" customFormat="false" ht="15" hidden="false" customHeight="false" outlineLevel="0" collapsed="false">
      <c r="A22" s="7" t="n">
        <v>22</v>
      </c>
      <c r="B22" s="8" t="s">
        <v>83</v>
      </c>
      <c r="D22" s="1" t="n">
        <v>0</v>
      </c>
      <c r="E22" s="1" t="n">
        <f aca="false">(10-D22)/2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136</v>
      </c>
      <c r="E1" s="1" t="s">
        <v>88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5</v>
      </c>
      <c r="E2" s="1" t="n">
        <f aca="false">5-D2</f>
        <v>0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</v>
      </c>
      <c r="E3" s="1" t="n">
        <f aca="false">5-D3</f>
        <v>0</v>
      </c>
    </row>
    <row r="4" customFormat="false" ht="15" hidden="false" customHeight="false" outlineLevel="0" collapsed="false">
      <c r="A4" s="1" t="n">
        <v>3</v>
      </c>
      <c r="B4" s="2" t="s">
        <v>22</v>
      </c>
      <c r="D4" s="1" t="n">
        <v>5</v>
      </c>
      <c r="E4" s="1" t="n">
        <f aca="false">5-D4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5</v>
      </c>
      <c r="E5" s="1" t="n">
        <f aca="false">5-D5</f>
        <v>0</v>
      </c>
    </row>
    <row r="6" customFormat="false" ht="15" hidden="false" customHeight="false" outlineLevel="0" collapsed="false">
      <c r="A6" s="1" t="n">
        <v>5</v>
      </c>
      <c r="B6" s="2" t="s">
        <v>29</v>
      </c>
      <c r="D6" s="1" t="n">
        <v>0</v>
      </c>
      <c r="E6" s="1" t="n">
        <f aca="false">5-D6</f>
        <v>5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5</v>
      </c>
      <c r="E7" s="1" t="n">
        <f aca="false">5-D7</f>
        <v>0</v>
      </c>
    </row>
    <row r="8" customFormat="false" ht="15" hidden="false" customHeight="false" outlineLevel="0" collapsed="false">
      <c r="A8" s="1" t="n">
        <v>7</v>
      </c>
      <c r="B8" s="2" t="s">
        <v>36</v>
      </c>
      <c r="D8" s="1" t="n">
        <v>5</v>
      </c>
      <c r="E8" s="1" t="n">
        <f aca="false">5-D8</f>
        <v>0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s">
        <v>40</v>
      </c>
      <c r="D9" s="1" t="n">
        <v>5</v>
      </c>
      <c r="E9" s="1" t="n">
        <f aca="false">5-D9</f>
        <v>0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5</v>
      </c>
      <c r="E10" s="1" t="n">
        <f aca="false">5-D10</f>
        <v>0</v>
      </c>
    </row>
    <row r="11" customFormat="false" ht="15" hidden="false" customHeight="false" outlineLevel="0" collapsed="false">
      <c r="A11" s="7" t="n">
        <v>10</v>
      </c>
      <c r="B11" s="8" t="s">
        <v>46</v>
      </c>
      <c r="D11" s="1" t="n">
        <v>5</v>
      </c>
      <c r="E11" s="1" t="n">
        <f aca="false">5-D11</f>
        <v>0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n">
        <v>4</v>
      </c>
      <c r="E12" s="1" t="n">
        <f aca="false">5-D12</f>
        <v>1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n">
        <v>5</v>
      </c>
      <c r="E13" s="1" t="n">
        <f aca="false">5-D13</f>
        <v>0</v>
      </c>
    </row>
    <row r="14" customFormat="false" ht="15" hidden="false" customHeight="false" outlineLevel="0" collapsed="false">
      <c r="A14" s="7" t="n">
        <v>13</v>
      </c>
      <c r="B14" s="8" t="s">
        <v>58</v>
      </c>
      <c r="D14" s="1" t="n">
        <v>0</v>
      </c>
      <c r="E14" s="1" t="n">
        <f aca="false">5-D14</f>
        <v>5</v>
      </c>
    </row>
    <row r="15" customFormat="false" ht="15" hidden="false" customHeight="false" outlineLevel="0" collapsed="false">
      <c r="A15" s="1" t="n">
        <v>14</v>
      </c>
      <c r="B15" s="2" t="s">
        <v>62</v>
      </c>
      <c r="C15" s="1" t="s">
        <v>62</v>
      </c>
      <c r="D15" s="1" t="n">
        <v>5</v>
      </c>
      <c r="E15" s="1" t="n">
        <f aca="false">5-D15</f>
        <v>0</v>
      </c>
    </row>
    <row r="16" customFormat="false" ht="15" hidden="false" customHeight="false" outlineLevel="0" collapsed="false">
      <c r="A16" s="1" t="n">
        <v>15</v>
      </c>
      <c r="B16" s="2" t="s">
        <v>65</v>
      </c>
      <c r="C16" s="1" t="s">
        <v>65</v>
      </c>
      <c r="D16" s="1" t="n">
        <v>5</v>
      </c>
      <c r="E16" s="1" t="n">
        <f aca="false">5-D16</f>
        <v>0</v>
      </c>
    </row>
    <row r="17" customFormat="false" ht="15" hidden="false" customHeight="false" outlineLevel="0" collapsed="false">
      <c r="A17" s="7" t="n">
        <v>16</v>
      </c>
      <c r="B17" s="8" t="s">
        <v>68</v>
      </c>
      <c r="D17" s="1" t="n">
        <v>0</v>
      </c>
      <c r="E17" s="1" t="n">
        <f aca="false">5-D17</f>
        <v>5</v>
      </c>
    </row>
    <row r="18" customFormat="false" ht="15" hidden="false" customHeight="false" outlineLevel="0" collapsed="false">
      <c r="A18" s="7" t="n">
        <v>17</v>
      </c>
      <c r="B18" s="8" t="s">
        <v>71</v>
      </c>
      <c r="D18" s="1" t="n">
        <v>0</v>
      </c>
      <c r="E18" s="1" t="n">
        <f aca="false">5-D18</f>
        <v>5</v>
      </c>
    </row>
    <row r="19" customFormat="false" ht="15" hidden="false" customHeight="false" outlineLevel="0" collapsed="false">
      <c r="A19" s="7" t="n">
        <v>19</v>
      </c>
      <c r="B19" s="8" t="s">
        <v>74</v>
      </c>
      <c r="D19" s="1" t="n">
        <v>0</v>
      </c>
      <c r="E19" s="1" t="n">
        <f aca="false">5-D19</f>
        <v>5</v>
      </c>
    </row>
    <row r="20" customFormat="false" ht="15" hidden="false" customHeight="false" outlineLevel="0" collapsed="false">
      <c r="A20" s="1" t="n">
        <v>20</v>
      </c>
      <c r="B20" s="2" t="s">
        <v>77</v>
      </c>
      <c r="C20" s="1" t="s">
        <v>77</v>
      </c>
      <c r="D20" s="1" t="n">
        <v>5</v>
      </c>
      <c r="E20" s="1" t="n">
        <f aca="false">5-D20</f>
        <v>0</v>
      </c>
    </row>
    <row r="21" customFormat="false" ht="15" hidden="false" customHeight="false" outlineLevel="0" collapsed="false">
      <c r="A21" s="1" t="n">
        <v>21</v>
      </c>
      <c r="B21" s="2" t="s">
        <v>80</v>
      </c>
      <c r="C21" s="1" t="s">
        <v>80</v>
      </c>
      <c r="D21" s="1" t="n">
        <v>5</v>
      </c>
      <c r="E21" s="1" t="n">
        <f aca="false">5-D21</f>
        <v>0</v>
      </c>
    </row>
    <row r="22" customFormat="false" ht="15" hidden="false" customHeight="false" outlineLevel="0" collapsed="false">
      <c r="A22" s="7" t="n">
        <v>22</v>
      </c>
      <c r="B22" s="8" t="s">
        <v>83</v>
      </c>
      <c r="D22" s="1" t="n">
        <v>0</v>
      </c>
      <c r="E22" s="1" t="n">
        <f aca="false">5-D22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15" activeCellId="0" sqref="E15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136</v>
      </c>
      <c r="E1" s="1" t="s">
        <v>135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4</v>
      </c>
      <c r="E2" s="1" t="n">
        <f aca="false">5-D2</f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</v>
      </c>
      <c r="E3" s="1" t="n">
        <f aca="false">5-D3</f>
        <v>0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5</v>
      </c>
      <c r="E4" s="1" t="n">
        <f aca="false">5-D4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5</v>
      </c>
      <c r="E5" s="1" t="n">
        <f aca="false">5-D5</f>
        <v>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5</v>
      </c>
      <c r="E6" s="1" t="n">
        <f aca="false">5-D6</f>
        <v>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5</v>
      </c>
      <c r="E7" s="1" t="n">
        <f aca="false">5-D7</f>
        <v>0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5</v>
      </c>
      <c r="E8" s="1" t="n">
        <f aca="false">5-D8</f>
        <v>0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s">
        <v>40</v>
      </c>
      <c r="D9" s="1" t="n">
        <v>5</v>
      </c>
      <c r="E9" s="1" t="n">
        <f aca="false">5-D9</f>
        <v>0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5</v>
      </c>
      <c r="E10" s="1" t="n">
        <f aca="false">5-D10</f>
        <v>0</v>
      </c>
    </row>
    <row r="11" customFormat="false" ht="15" hidden="false" customHeight="false" outlineLevel="0" collapsed="false">
      <c r="A11" s="7" t="n">
        <v>10</v>
      </c>
      <c r="B11" s="8" t="s">
        <v>46</v>
      </c>
      <c r="C11" s="1" t="s">
        <v>46</v>
      </c>
      <c r="D11" s="1" t="n">
        <v>4</v>
      </c>
      <c r="E11" s="1" t="n">
        <f aca="false">5-D11</f>
        <v>1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n">
        <v>5</v>
      </c>
      <c r="E12" s="1" t="n">
        <f aca="false">5-D12</f>
        <v>0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n">
        <v>5</v>
      </c>
      <c r="E13" s="1" t="n">
        <f aca="false">5-D13</f>
        <v>0</v>
      </c>
    </row>
    <row r="14" customFormat="false" ht="15" hidden="false" customHeight="false" outlineLevel="0" collapsed="false">
      <c r="A14" s="7" t="n">
        <v>13</v>
      </c>
      <c r="B14" s="8" t="s">
        <v>58</v>
      </c>
      <c r="D14" s="1" t="n">
        <v>0</v>
      </c>
      <c r="E14" s="1" t="n">
        <f aca="false">5-D14</f>
        <v>5</v>
      </c>
    </row>
    <row r="15" customFormat="false" ht="15" hidden="false" customHeight="false" outlineLevel="0" collapsed="false">
      <c r="A15" s="1" t="n">
        <v>14</v>
      </c>
      <c r="B15" s="2" t="s">
        <v>62</v>
      </c>
      <c r="D15" s="1" t="n">
        <v>5</v>
      </c>
      <c r="E15" s="1" t="n">
        <f aca="false">5-D15</f>
        <v>0</v>
      </c>
    </row>
    <row r="16" customFormat="false" ht="15" hidden="false" customHeight="false" outlineLevel="0" collapsed="false">
      <c r="A16" s="1" t="n">
        <v>15</v>
      </c>
      <c r="B16" s="2" t="s">
        <v>65</v>
      </c>
      <c r="C16" s="1" t="s">
        <v>65</v>
      </c>
      <c r="D16" s="1" t="n">
        <v>3</v>
      </c>
      <c r="E16" s="1" t="n">
        <f aca="false">5-D16</f>
        <v>2</v>
      </c>
    </row>
    <row r="17" customFormat="false" ht="15" hidden="false" customHeight="false" outlineLevel="0" collapsed="false">
      <c r="A17" s="7" t="n">
        <v>16</v>
      </c>
      <c r="B17" s="8" t="s">
        <v>68</v>
      </c>
      <c r="D17" s="1" t="n">
        <v>0</v>
      </c>
      <c r="E17" s="1" t="n">
        <f aca="false">5-D17</f>
        <v>5</v>
      </c>
    </row>
    <row r="18" customFormat="false" ht="15" hidden="false" customHeight="false" outlineLevel="0" collapsed="false">
      <c r="A18" s="7" t="n">
        <v>17</v>
      </c>
      <c r="B18" s="8" t="s">
        <v>71</v>
      </c>
      <c r="D18" s="1" t="n">
        <v>0</v>
      </c>
      <c r="E18" s="1" t="n">
        <f aca="false">5-D18</f>
        <v>5</v>
      </c>
    </row>
    <row r="19" customFormat="false" ht="15" hidden="false" customHeight="false" outlineLevel="0" collapsed="false">
      <c r="A19" s="7" t="n">
        <v>19</v>
      </c>
      <c r="B19" s="8" t="s">
        <v>74</v>
      </c>
      <c r="D19" s="1" t="n">
        <v>0</v>
      </c>
      <c r="E19" s="1" t="n">
        <f aca="false">5-D19</f>
        <v>5</v>
      </c>
    </row>
    <row r="20" customFormat="false" ht="15" hidden="false" customHeight="false" outlineLevel="0" collapsed="false">
      <c r="A20" s="1" t="n">
        <v>20</v>
      </c>
      <c r="B20" s="2" t="s">
        <v>77</v>
      </c>
      <c r="C20" s="1" t="s">
        <v>77</v>
      </c>
      <c r="D20" s="1" t="n">
        <v>4</v>
      </c>
      <c r="E20" s="1" t="n">
        <f aca="false">5-D20</f>
        <v>1</v>
      </c>
    </row>
    <row r="21" customFormat="false" ht="15" hidden="false" customHeight="false" outlineLevel="0" collapsed="false">
      <c r="A21" s="1" t="n">
        <v>21</v>
      </c>
      <c r="B21" s="2" t="s">
        <v>80</v>
      </c>
      <c r="C21" s="1" t="s">
        <v>80</v>
      </c>
      <c r="D21" s="1" t="n">
        <v>4</v>
      </c>
      <c r="E21" s="1" t="n">
        <f aca="false">5-D21</f>
        <v>1</v>
      </c>
    </row>
    <row r="22" customFormat="false" ht="15" hidden="false" customHeight="false" outlineLevel="0" collapsed="false">
      <c r="A22" s="7" t="n">
        <v>22</v>
      </c>
      <c r="B22" s="8" t="s">
        <v>83</v>
      </c>
      <c r="D22" s="1" t="n">
        <v>0</v>
      </c>
      <c r="E22" s="1" t="n">
        <f aca="false">5-D22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134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10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10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10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s">
        <v>40</v>
      </c>
      <c r="D9" s="1" t="n">
        <v>9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10</v>
      </c>
    </row>
    <row r="11" customFormat="false" ht="15" hidden="false" customHeight="false" outlineLevel="0" collapsed="false">
      <c r="A11" s="7" t="n">
        <v>10</v>
      </c>
      <c r="B11" s="8" t="s">
        <v>46</v>
      </c>
      <c r="C11" s="1" t="s">
        <v>46</v>
      </c>
      <c r="D11" s="1" t="n">
        <v>10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n">
        <v>9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n">
        <v>10</v>
      </c>
    </row>
    <row r="14" customFormat="false" ht="15" hidden="false" customHeight="false" outlineLevel="0" collapsed="false">
      <c r="A14" s="7" t="n">
        <v>13</v>
      </c>
      <c r="B14" s="8" t="s">
        <v>58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62</v>
      </c>
      <c r="C15" s="1" t="s">
        <v>62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65</v>
      </c>
      <c r="C16" s="1" t="s">
        <v>65</v>
      </c>
      <c r="D16" s="1" t="n">
        <v>10</v>
      </c>
    </row>
    <row r="17" customFormat="false" ht="15" hidden="false" customHeight="false" outlineLevel="0" collapsed="false">
      <c r="A17" s="7" t="n">
        <v>16</v>
      </c>
      <c r="B17" s="8" t="s">
        <v>68</v>
      </c>
      <c r="D17" s="1" t="n">
        <v>1</v>
      </c>
    </row>
    <row r="18" customFormat="false" ht="15" hidden="false" customHeight="false" outlineLevel="0" collapsed="false">
      <c r="A18" s="7" t="n">
        <v>17</v>
      </c>
      <c r="B18" s="8" t="s">
        <v>71</v>
      </c>
      <c r="D18" s="1" t="n">
        <v>1</v>
      </c>
    </row>
    <row r="19" customFormat="false" ht="15" hidden="false" customHeight="false" outlineLevel="0" collapsed="false">
      <c r="A19" s="7" t="n">
        <v>19</v>
      </c>
      <c r="B19" s="8" t="s">
        <v>74</v>
      </c>
      <c r="D19" s="1" t="n">
        <v>1</v>
      </c>
    </row>
    <row r="20" customFormat="false" ht="15" hidden="false" customHeight="false" outlineLevel="0" collapsed="false">
      <c r="A20" s="1" t="n">
        <v>20</v>
      </c>
      <c r="B20" s="2" t="s">
        <v>77</v>
      </c>
      <c r="C20" s="1" t="s">
        <v>77</v>
      </c>
      <c r="D20" s="1" t="n">
        <v>10</v>
      </c>
    </row>
    <row r="21" customFormat="false" ht="15" hidden="false" customHeight="false" outlineLevel="0" collapsed="false">
      <c r="A21" s="1" t="n">
        <v>21</v>
      </c>
      <c r="B21" s="2" t="s">
        <v>80</v>
      </c>
      <c r="C21" s="1" t="s">
        <v>80</v>
      </c>
      <c r="D21" s="1" t="n">
        <v>10</v>
      </c>
    </row>
    <row r="22" customFormat="false" ht="15" hidden="false" customHeight="false" outlineLevel="0" collapsed="false">
      <c r="A22" s="7" t="n">
        <v>22</v>
      </c>
      <c r="B22" s="8" t="s">
        <v>83</v>
      </c>
      <c r="D2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2026-10-06T18:18:45Z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