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" sheetId="2" state="visible" r:id="rId4"/>
    <sheet name="positivos" sheetId="3" state="visible" r:id="rId5"/>
    <sheet name="1-codigos" sheetId="4" state="visible" r:id="rId6"/>
    <sheet name="1-recu+" sheetId="5" state="visible" r:id="rId7"/>
    <sheet name="2-alg.de boole" sheetId="6" state="visible" r:id="rId8"/>
    <sheet name="3-compue" sheetId="7" state="visible" r:id="rId9"/>
    <sheet name="5-salidas" sheetId="8" state="visible" r:id="rId10"/>
    <sheet name="5-RecuP" sheetId="9" state="visible" r:id="rId11"/>
    <sheet name="6-if" sheetId="10" state="visible" r:id="rId12"/>
    <sheet name="evalucion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<sst xmlns="http://schemas.openxmlformats.org/spreadsheetml/2006/main" count="677" uniqueCount="280">
  <si>
    <t xml:space="preserve">nro</t>
  </si>
  <si>
    <t xml:space="preserve">Nombre</t>
  </si>
  <si>
    <t xml:space="preserve">Apellido(s)</t>
  </si>
  <si>
    <t xml:space="preserve">Dirección de correo</t>
  </si>
  <si>
    <t xml:space="preserve">Lucila Yanel</t>
  </si>
  <si>
    <t xml:space="preserve">AMIGO</t>
  </si>
  <si>
    <t xml:space="preserve">patorouge77@hotmail.com</t>
  </si>
  <si>
    <t xml:space="preserve">P</t>
  </si>
  <si>
    <t xml:space="preserve">Lourdes Elizabeth</t>
  </si>
  <si>
    <t xml:space="preserve">ANDRADA BASCOPE</t>
  </si>
  <si>
    <t xml:space="preserve">gralraul71@gmail.com</t>
  </si>
  <si>
    <t xml:space="preserve">Germán Ezequiel</t>
  </si>
  <si>
    <t xml:space="preserve">APURIL</t>
  </si>
  <si>
    <t xml:space="preserve">gerapuril@gmail.com</t>
  </si>
  <si>
    <t xml:space="preserve">Lautaro Francisco</t>
  </si>
  <si>
    <t xml:space="preserve">AYBAR</t>
  </si>
  <si>
    <t xml:space="preserve">aybarguillermo@gmail.com</t>
  </si>
  <si>
    <t xml:space="preserve">Sathya</t>
  </si>
  <si>
    <t xml:space="preserve">bertola galizzi</t>
  </si>
  <si>
    <t xml:space="preserve">sathyxzz@gmail.com</t>
  </si>
  <si>
    <t xml:space="preserve">Santiago</t>
  </si>
  <si>
    <t xml:space="preserve">BIROCCO FRETES</t>
  </si>
  <si>
    <t xml:space="preserve">SANTIAGOBIROCCOFRETES@GMAIL.COM</t>
  </si>
  <si>
    <t xml:space="preserve">Mateo Ignacio</t>
  </si>
  <si>
    <t xml:space="preserve">BRUNO</t>
  </si>
  <si>
    <t xml:space="preserve">mateoibruno5@gmail.com</t>
  </si>
  <si>
    <t xml:space="preserve">Mirko</t>
  </si>
  <si>
    <t xml:space="preserve">Dellana</t>
  </si>
  <si>
    <t xml:space="preserve">mirkod2009@gmail.com</t>
  </si>
  <si>
    <t xml:space="preserve">Liam Yoel</t>
  </si>
  <si>
    <t xml:space="preserve">DI FEBO</t>
  </si>
  <si>
    <t xml:space="preserve">liamdifebo15@gmail.com</t>
  </si>
  <si>
    <t xml:space="preserve">Francisco Gael</t>
  </si>
  <si>
    <t xml:space="preserve">Dimeo</t>
  </si>
  <si>
    <t xml:space="preserve">dimeofrancisco@gmail.com</t>
  </si>
  <si>
    <t xml:space="preserve">Facundo Agustin</t>
  </si>
  <si>
    <t xml:space="preserve">ENGERS GONZALEZ</t>
  </si>
  <si>
    <t xml:space="preserve">morenabonitafacturas@gmail.com</t>
  </si>
  <si>
    <t xml:space="preserve">Pedro Gabriel</t>
  </si>
  <si>
    <t xml:space="preserve">GERAGHTY</t>
  </si>
  <si>
    <t xml:space="preserve">tristangabrielgeraghty@gmail.com</t>
  </si>
  <si>
    <t xml:space="preserve">Miqueas Ariel</t>
  </si>
  <si>
    <t xml:space="preserve">Hoyos</t>
  </si>
  <si>
    <t xml:space="preserve">victoriacruz.alzu@gmail.com</t>
  </si>
  <si>
    <t xml:space="preserve">Tobias</t>
  </si>
  <si>
    <t xml:space="preserve">Ibarra Yegro</t>
  </si>
  <si>
    <t xml:space="preserve">alexa_r3@yahoo.com.ar</t>
  </si>
  <si>
    <t xml:space="preserve">Zoe Antonella</t>
  </si>
  <si>
    <t xml:space="preserve">LOPEZ BERZA</t>
  </si>
  <si>
    <t xml:space="preserve">electroariel_@hotmail.com</t>
  </si>
  <si>
    <t xml:space="preserve">Gabriel Lautaro</t>
  </si>
  <si>
    <t xml:space="preserve">MARTINEZ DEL PINO</t>
  </si>
  <si>
    <t xml:space="preserve">gabrieladelpino10@gmail.com</t>
  </si>
  <si>
    <t xml:space="preserve">Facundo Ariel</t>
  </si>
  <si>
    <t xml:space="preserve">MEDINA</t>
  </si>
  <si>
    <t xml:space="preserve">48376287@gmail.com</t>
  </si>
  <si>
    <t xml:space="preserve">Araceli Rosario Abigail</t>
  </si>
  <si>
    <t xml:space="preserve">SANTIBAÑEZ RAMÍREZ</t>
  </si>
  <si>
    <t xml:space="preserve">habibiaraceli08@gmail.com</t>
  </si>
  <si>
    <t xml:space="preserve">Matías</t>
  </si>
  <si>
    <t xml:space="preserve">SUAREZ</t>
  </si>
  <si>
    <t xml:space="preserve">matiassua09@gmail.com</t>
  </si>
  <si>
    <t xml:space="preserve">Franco Joaquín</t>
  </si>
  <si>
    <t xml:space="preserve">VILLCA</t>
  </si>
  <si>
    <t xml:space="preserve">rutyayala28@gmail.com</t>
  </si>
  <si>
    <t xml:space="preserve">Ramiro Demian</t>
  </si>
  <si>
    <t xml:space="preserve">ZARRAGA</t>
  </si>
  <si>
    <t xml:space="preserve">zarragaramiro01@gmail.com</t>
  </si>
  <si>
    <t xml:space="preserve">presentes</t>
  </si>
  <si>
    <t xml:space="preserve">media falta</t>
  </si>
  <si>
    <t xml:space="preserve">tarde</t>
  </si>
  <si>
    <t xml:space="preserve">olimpiadas</t>
  </si>
  <si>
    <t xml:space="preserve">toal</t>
  </si>
  <si>
    <t xml:space="preserve">Grupos </t>
  </si>
  <si>
    <t xml:space="preserve">positivos</t>
  </si>
  <si>
    <t xml:space="preserve">RODRIGUEZ MIÑO</t>
  </si>
  <si>
    <t xml:space="preserve">Finalizado</t>
  </si>
  <si>
    <t xml:space="preserve">Tiempo requerido</t>
  </si>
  <si>
    <t xml:space="preserve">Calificación/10,00</t>
  </si>
  <si>
    <t xml:space="preserve">promedio</t>
  </si>
  <si>
    <t xml:space="preserve">segundo</t>
  </si>
  <si>
    <t xml:space="preserve">final</t>
  </si>
  <si>
    <t xml:space="preserve">4 de abril de 2025  12:30</t>
  </si>
  <si>
    <t xml:space="preserve">8 minutos 30 segundos</t>
  </si>
  <si>
    <t xml:space="preserve">4 de abril de 2025  23:16</t>
  </si>
  <si>
    <t xml:space="preserve">12 minutos 49 segundos</t>
  </si>
  <si>
    <t xml:space="preserve">4 de abril de 2025  12:26</t>
  </si>
  <si>
    <t xml:space="preserve">1 día 16 horas</t>
  </si>
  <si>
    <t xml:space="preserve">3 de abril de 2025  00:13</t>
  </si>
  <si>
    <t xml:space="preserve">20 minutos 55 segundos</t>
  </si>
  <si>
    <t xml:space="preserve">4 de abril de 2025  20:10</t>
  </si>
  <si>
    <t xml:space="preserve">36 minutos 17 segundos</t>
  </si>
  <si>
    <t xml:space="preserve">4 de abril de 2025  13:26</t>
  </si>
  <si>
    <t xml:space="preserve">14 minutos 58 segundos</t>
  </si>
  <si>
    <t xml:space="preserve">4 de abril de 2025  12:36</t>
  </si>
  <si>
    <t xml:space="preserve">17 minutos 31 segundos</t>
  </si>
  <si>
    <t xml:space="preserve">6 minutos 58 segundos</t>
  </si>
  <si>
    <t xml:space="preserve">2 de abril de 2025  17:16</t>
  </si>
  <si>
    <t xml:space="preserve">18 minutos 21 segundos</t>
  </si>
  <si>
    <t xml:space="preserve">4 de abril de 2025  13:18</t>
  </si>
  <si>
    <t xml:space="preserve">59 minutos 16 segundos</t>
  </si>
  <si>
    <t xml:space="preserve">4 de abril de 2025  12:56</t>
  </si>
  <si>
    <t xml:space="preserve">32 minutos 58 segundos</t>
  </si>
  <si>
    <t xml:space="preserve">4 de abril de 2025  12:37</t>
  </si>
  <si>
    <t xml:space="preserve">6 minutos 33 segundos</t>
  </si>
  <si>
    <t xml:space="preserve">4 de abril de 2025  12:42</t>
  </si>
  <si>
    <t xml:space="preserve">19 minutos 38 segundos</t>
  </si>
  <si>
    <t xml:space="preserve">4 de abril de 2025  13:45</t>
  </si>
  <si>
    <t xml:space="preserve">4 minutos 18 segundos</t>
  </si>
  <si>
    <t xml:space="preserve">4 de abril de 2025  23:49</t>
  </si>
  <si>
    <t xml:space="preserve">3 minutos 56 segundos</t>
  </si>
  <si>
    <t xml:space="preserve">4 de abril de 2025  22:41</t>
  </si>
  <si>
    <t xml:space="preserve">6 minutos 53 segundos</t>
  </si>
  <si>
    <t xml:space="preserve">4 de abril de 2025  12:25</t>
  </si>
  <si>
    <t xml:space="preserve">5 minutos 49 segundos</t>
  </si>
  <si>
    <t xml:space="preserve">4 de abril de 2025  21:45</t>
  </si>
  <si>
    <t xml:space="preserve">11 minutos 50 segundos</t>
  </si>
  <si>
    <t xml:space="preserve">4 de abril de 2025  20:39</t>
  </si>
  <si>
    <t xml:space="preserve">19 minutos 5 segundos</t>
  </si>
  <si>
    <t xml:space="preserve">21 minutos 21 segundos</t>
  </si>
  <si>
    <t xml:space="preserve">4 de abril de 2025  12:31</t>
  </si>
  <si>
    <t xml:space="preserve">3 días 17 horas</t>
  </si>
  <si>
    <t xml:space="preserve">Calificación/9,00</t>
  </si>
  <si>
    <t xml:space="preserve">17 de abril de 2025  19:45</t>
  </si>
  <si>
    <t xml:space="preserve">5 minutos 14 segundos</t>
  </si>
  <si>
    <t xml:space="preserve">4 de abril de 2025  22:59</t>
  </si>
  <si>
    <t xml:space="preserve">8 minutos 32 segundos</t>
  </si>
  <si>
    <t xml:space="preserve">4 de abril de 2025  23:23</t>
  </si>
  <si>
    <t xml:space="preserve">6 minutos 37 segundos</t>
  </si>
  <si>
    <t xml:space="preserve">4 de abril de 2025  12:32</t>
  </si>
  <si>
    <t xml:space="preserve">3 de abril de 2025  00:37</t>
  </si>
  <si>
    <t xml:space="preserve">9 minutos 28 segundos</t>
  </si>
  <si>
    <t xml:space="preserve">4 de abril de 2025  20:33</t>
  </si>
  <si>
    <t xml:space="preserve">5 minutos 36 segundos</t>
  </si>
  <si>
    <t xml:space="preserve">4 de abril de 2025  19:11</t>
  </si>
  <si>
    <t xml:space="preserve">3 minutos 38 segundos</t>
  </si>
  <si>
    <t xml:space="preserve">4 de abril de 2025  22:01</t>
  </si>
  <si>
    <t xml:space="preserve">2 de abril de 2025  17:22</t>
  </si>
  <si>
    <t xml:space="preserve">5 minutos 8 segundos</t>
  </si>
  <si>
    <t xml:space="preserve">4 de abril de 2025  15:24</t>
  </si>
  <si>
    <t xml:space="preserve">2 horas 1 minutos</t>
  </si>
  <si>
    <t xml:space="preserve">4 de abril de 2025  12:50</t>
  </si>
  <si>
    <t xml:space="preserve">12 minutos 3 segundos</t>
  </si>
  <si>
    <t xml:space="preserve">4 de abril de 2025  19:39</t>
  </si>
  <si>
    <t xml:space="preserve">5 minutos 40 segundos</t>
  </si>
  <si>
    <t xml:space="preserve">4 de abril de 2025  13:53</t>
  </si>
  <si>
    <t xml:space="preserve">6 minutos 46 segundos</t>
  </si>
  <si>
    <t xml:space="preserve">4 de abril de 2025  23:44</t>
  </si>
  <si>
    <t xml:space="preserve">3 minutos 45 segundos</t>
  </si>
  <si>
    <t xml:space="preserve">4 de abril de 2025  22:47</t>
  </si>
  <si>
    <t xml:space="preserve">5 minutos 28 segundos</t>
  </si>
  <si>
    <t xml:space="preserve">4 de abril de 2025  23:07</t>
  </si>
  <si>
    <t xml:space="preserve">4 minutos 4 segundos</t>
  </si>
  <si>
    <t xml:space="preserve">4 de abril de 2025  21:33</t>
  </si>
  <si>
    <t xml:space="preserve">11 minutos 24 segundos</t>
  </si>
  <si>
    <t xml:space="preserve">4 de abril de 2025  21:19</t>
  </si>
  <si>
    <t xml:space="preserve">7 minutos 54 segundos</t>
  </si>
  <si>
    <t xml:space="preserve">4 de abril de 2025  21:07</t>
  </si>
  <si>
    <t xml:space="preserve">8 minutos 1 segundos</t>
  </si>
  <si>
    <t xml:space="preserve">4 de abril de 2025  20:48</t>
  </si>
  <si>
    <t xml:space="preserve">8 minutos 3 segundos</t>
  </si>
  <si>
    <t xml:space="preserve">4 de abril de 2025  20:58</t>
  </si>
  <si>
    <t xml:space="preserve">8 minutos 49 segundos</t>
  </si>
  <si>
    <t xml:space="preserve">4 de abril de 2025  22:27</t>
  </si>
  <si>
    <t xml:space="preserve">3 minutos 25 segundos</t>
  </si>
  <si>
    <t xml:space="preserve">4 de abril de 2025  22:44</t>
  </si>
  <si>
    <t xml:space="preserve">10 minutos 9 segundos</t>
  </si>
  <si>
    <t xml:space="preserve">4 de abril de 2025  23:41</t>
  </si>
  <si>
    <t xml:space="preserve">17 minutos 33 segundos</t>
  </si>
  <si>
    <t xml:space="preserve">4 de abril de 2025  22:14</t>
  </si>
  <si>
    <t xml:space="preserve">2 días 1 hora</t>
  </si>
  <si>
    <t xml:space="preserve">3 de abril de 2025  00:28</t>
  </si>
  <si>
    <t xml:space="preserve">14 minutos 7 segundos</t>
  </si>
  <si>
    <t xml:space="preserve">4 de abril de 2025  20:27</t>
  </si>
  <si>
    <t xml:space="preserve">15 minutos 22 segundos</t>
  </si>
  <si>
    <t xml:space="preserve">4 de abril de 2025  19:22</t>
  </si>
  <si>
    <t xml:space="preserve">10 minutos 38 segundos</t>
  </si>
  <si>
    <t xml:space="preserve">4 de abril de 2025  22:08</t>
  </si>
  <si>
    <t xml:space="preserve">6 minutos 10 segundos</t>
  </si>
  <si>
    <t xml:space="preserve">2 de abril de 2025  17:31</t>
  </si>
  <si>
    <t xml:space="preserve">9 minutos 17 segundos</t>
  </si>
  <si>
    <t xml:space="preserve">4 de abril de 2025  20:05</t>
  </si>
  <si>
    <t xml:space="preserve">10 minutos 15 segundos</t>
  </si>
  <si>
    <t xml:space="preserve">4 de abril de 2025  22:33</t>
  </si>
  <si>
    <t xml:space="preserve">22 minutos 55 segundos</t>
  </si>
  <si>
    <t xml:space="preserve">4 de abril de 2025  13:17</t>
  </si>
  <si>
    <t xml:space="preserve">9 minutos 6 segundos</t>
  </si>
  <si>
    <t xml:space="preserve">4 de abril de 2025  19:58</t>
  </si>
  <si>
    <t xml:space="preserve">17 minutos 41 segundos</t>
  </si>
  <si>
    <t xml:space="preserve">4 de abril de 2025  14:02</t>
  </si>
  <si>
    <t xml:space="preserve">8 minutos 56 segundos</t>
  </si>
  <si>
    <t xml:space="preserve">4 de abril de 2025  23:20</t>
  </si>
  <si>
    <t xml:space="preserve">6 minutos 27 segundos</t>
  </si>
  <si>
    <t xml:space="preserve">4 de abril de 2025  22:55</t>
  </si>
  <si>
    <t xml:space="preserve">6 minutos</t>
  </si>
  <si>
    <t xml:space="preserve">4 de abril de 2025  23:48</t>
  </si>
  <si>
    <t xml:space="preserve">15 minutos 56 segundos</t>
  </si>
  <si>
    <t xml:space="preserve">4 de abril de 2025  21:57</t>
  </si>
  <si>
    <t xml:space="preserve">10 minutos 46 segundos</t>
  </si>
  <si>
    <t xml:space="preserve">4 de abril de 2025  22:23</t>
  </si>
  <si>
    <t xml:space="preserve">5 minutos 50 segundos</t>
  </si>
  <si>
    <t xml:space="preserve">29 de abril de 2025  13:55</t>
  </si>
  <si>
    <t xml:space="preserve">6 minutos 41 segundos</t>
  </si>
  <si>
    <t xml:space="preserve">28 de abril de 2025  00:03</t>
  </si>
  <si>
    <t xml:space="preserve">8 minutos 47 segundos</t>
  </si>
  <si>
    <t xml:space="preserve">28 de abril de 2025  18:51</t>
  </si>
  <si>
    <t xml:space="preserve">8 minutos 9 segundos</t>
  </si>
  <si>
    <t xml:space="preserve">26 de abril de 2025  19:41</t>
  </si>
  <si>
    <t xml:space="preserve">10 minutos 1 segundos</t>
  </si>
  <si>
    <t xml:space="preserve">28 de abril de 2025  18:21</t>
  </si>
  <si>
    <t xml:space="preserve">8 minutos 26 segundos</t>
  </si>
  <si>
    <t xml:space="preserve">27 de abril de 2025  18:00</t>
  </si>
  <si>
    <t xml:space="preserve">9 minutos 39 segundos</t>
  </si>
  <si>
    <t xml:space="preserve">28 de abril de 2025  17:14</t>
  </si>
  <si>
    <t xml:space="preserve">9 minutos 59 segundos</t>
  </si>
  <si>
    <t xml:space="preserve">28 de abril de 2025  22:17</t>
  </si>
  <si>
    <t xml:space="preserve">3 minutos 24 segundos</t>
  </si>
  <si>
    <t xml:space="preserve">29 de abril de 2025  09:30</t>
  </si>
  <si>
    <t xml:space="preserve">1 segundos</t>
  </si>
  <si>
    <t xml:space="preserve">5 de mayo de 2025  17:11</t>
  </si>
  <si>
    <t xml:space="preserve">6 días 19 horas</t>
  </si>
  <si>
    <t xml:space="preserve">28 de abril de 2025  19:05</t>
  </si>
  <si>
    <t xml:space="preserve">3 minutos 58 segundos</t>
  </si>
  <si>
    <t xml:space="preserve">28 de abril de 2025  18:27</t>
  </si>
  <si>
    <t xml:space="preserve">6 minutos 15 segundos</t>
  </si>
  <si>
    <t xml:space="preserve">6 de mayo de 2025  22:20</t>
  </si>
  <si>
    <t xml:space="preserve">5 minutos 12 segundos</t>
  </si>
  <si>
    <t xml:space="preserve">5 de mayo de 2025  17:21</t>
  </si>
  <si>
    <t xml:space="preserve">6 minutos 29 segundos</t>
  </si>
  <si>
    <t xml:space="preserve">7 de mayo de 2025  23:39</t>
  </si>
  <si>
    <t xml:space="preserve">6 minutos 5 segundos</t>
  </si>
  <si>
    <t xml:space="preserve">7 de mayo de 2025  21:51</t>
  </si>
  <si>
    <t xml:space="preserve">6 minutos 31 segundos</t>
  </si>
  <si>
    <t xml:space="preserve">7 de mayo de 2025  22:00</t>
  </si>
  <si>
    <t xml:space="preserve">3 minutos 15 segundos</t>
  </si>
  <si>
    <t xml:space="preserve">7 de mayo de 2025  23:45</t>
  </si>
  <si>
    <t xml:space="preserve">4 minutos 6 segundos</t>
  </si>
  <si>
    <t xml:space="preserve">7 de mayo de 2025  23:48</t>
  </si>
  <si>
    <t xml:space="preserve">3 minutos 10 segundos</t>
  </si>
  <si>
    <t xml:space="preserve">7 de mayo de 2025  21:43</t>
  </si>
  <si>
    <t xml:space="preserve">7 de mayo de 2025  23:31</t>
  </si>
  <si>
    <t xml:space="preserve">5 minutos 54 segundos</t>
  </si>
  <si>
    <t xml:space="preserve">5 de mayo de 2025  22:40</t>
  </si>
  <si>
    <t xml:space="preserve">8 minutos 59 segundos</t>
  </si>
  <si>
    <t xml:space="preserve">2 minutos 55 segundos</t>
  </si>
  <si>
    <t xml:space="preserve">7 de mayo de 2025  18:32</t>
  </si>
  <si>
    <t xml:space="preserve">9 minutos 55 segundos</t>
  </si>
  <si>
    <t xml:space="preserve">9 minutos 5 segundos</t>
  </si>
  <si>
    <t xml:space="preserve">9 minutos 49 segundos</t>
  </si>
  <si>
    <t xml:space="preserve">5 minutos 42 segundos</t>
  </si>
  <si>
    <t xml:space="preserve">5 minutos 37 segundos</t>
  </si>
  <si>
    <t xml:space="preserve">9 minutos 23 segundos</t>
  </si>
  <si>
    <t xml:space="preserve">8 minutos 8 segundos</t>
  </si>
  <si>
    <t xml:space="preserve">8 minutos 58 segundos</t>
  </si>
  <si>
    <t xml:space="preserve">2 minutos 48 segundos</t>
  </si>
  <si>
    <t xml:space="preserve">8 minutos 4 segundos</t>
  </si>
  <si>
    <t xml:space="preserve">8 minutos 43 segundos</t>
  </si>
  <si>
    <t xml:space="preserve">5 minutos 11 segundos</t>
  </si>
  <si>
    <t xml:space="preserve">total</t>
  </si>
  <si>
    <t xml:space="preserve">45 minutos 55 segundos</t>
  </si>
  <si>
    <t xml:space="preserve">55 minutos 45 segundos</t>
  </si>
  <si>
    <t xml:space="preserve">51 minutos 36 segundos</t>
  </si>
  <si>
    <t xml:space="preserve">1 hora 1 minutos</t>
  </si>
  <si>
    <t xml:space="preserve">49 minutos 32 segundos</t>
  </si>
  <si>
    <t xml:space="preserve">38 minutos 33 segundos</t>
  </si>
  <si>
    <t xml:space="preserve">34 minutos 42 segundos</t>
  </si>
  <si>
    <t xml:space="preserve">40 minutos 33 segundos</t>
  </si>
  <si>
    <t xml:space="preserve">58 minutos 14 segundos</t>
  </si>
  <si>
    <t xml:space="preserve">26 minutos 52 segundos</t>
  </si>
  <si>
    <t xml:space="preserve">32 minutos 44 segundos</t>
  </si>
  <si>
    <t xml:space="preserve">46 minutos 20 segundos</t>
  </si>
  <si>
    <t xml:space="preserve">47 minutos 24 segundos</t>
  </si>
  <si>
    <t xml:space="preserve">58 minutos 19 segundos</t>
  </si>
  <si>
    <t xml:space="preserve">53 minutos 23 segundos</t>
  </si>
  <si>
    <t xml:space="preserve">Avril</t>
  </si>
  <si>
    <t xml:space="preserve">59 minutos 29 segundos</t>
  </si>
  <si>
    <t xml:space="preserve">53 minutos 37 segundos</t>
  </si>
  <si>
    <t xml:space="preserve">36 minutos 42 segundos</t>
  </si>
  <si>
    <t xml:space="preserve">45 minutos 59 segundos</t>
  </si>
  <si>
    <t xml:space="preserve">46 minutos 32 segundos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</si>
</sst>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F1048576"/>
  <sheetViews>
    <sheetView showFormulas="false" showGridLines="true" showRowColHeaders="true" showZeros="true" rightToLeft="false" tabSelected="false" showOutlineSymbols="true" defaultGridColor="true" view="normal" topLeftCell="A5" colorId="64" zoomScale="90" zoomScaleNormal="90" zoomScalePageLayoutView="100" workbookViewId="0">
      <selection pane="topLeft" activeCell="E29" activeCellId="0" sqref="E29"/>
    </sheetView>
  </sheetViews>
  <sheetFormatPr defaultColWidth="8.75390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21.34"/>
    <col collapsed="false" customWidth="true" hidden="true" outlineLevel="0" max="4" min="4" style="1" width="35.71"/>
    <col collapsed="false" customWidth="true" hidden="false" outlineLevel="0" max="5" min="5" style="1" width="8.68"/>
    <col collapsed="false" customWidth="true" hidden="false" outlineLevel="0" max="16384" min="16197" style="1" width="10.58"/>
  </cols>
  <sheetData>
    <row r="1" customFormat="false" ht="15" hidden="false" customHeight="false" outlineLevel="0" collapsed="false">
      <c r="B1" s="2"/>
      <c r="C1" s="2"/>
      <c r="D1" s="2"/>
      <c r="E1" s="3"/>
    </row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3" t="n">
        <v>46091</v>
      </c>
      <c r="F2" s="3" t="n">
        <v>46098</v>
      </c>
      <c r="G2" s="3" t="n">
        <v>46105</v>
      </c>
      <c r="H2" s="3" t="n">
        <v>46112</v>
      </c>
      <c r="I2" s="3" t="n">
        <v>46119</v>
      </c>
      <c r="J2" s="3" t="n">
        <v>46126</v>
      </c>
      <c r="K2" s="3" t="n">
        <v>46133</v>
      </c>
      <c r="L2" s="3" t="n">
        <v>46140</v>
      </c>
      <c r="M2" s="3" t="n">
        <v>46147</v>
      </c>
      <c r="N2" s="3" t="n">
        <v>46154</v>
      </c>
      <c r="O2" s="3" t="n">
        <v>46161</v>
      </c>
      <c r="P2" s="3" t="n">
        <v>46168</v>
      </c>
      <c r="Q2" s="3" t="n">
        <v>46175</v>
      </c>
      <c r="R2" s="3" t="n">
        <v>46182</v>
      </c>
      <c r="S2" s="3" t="n">
        <v>46189</v>
      </c>
      <c r="T2" s="3" t="n">
        <v>46196</v>
      </c>
      <c r="U2" s="3" t="n">
        <v>46203</v>
      </c>
      <c r="V2" s="3" t="n">
        <v>46210</v>
      </c>
      <c r="W2" s="3" t="n">
        <v>46217</v>
      </c>
      <c r="X2" s="3" t="n">
        <v>46224</v>
      </c>
      <c r="Y2" s="3" t="n">
        <v>46231</v>
      </c>
      <c r="Z2" s="3" t="n">
        <v>46238</v>
      </c>
      <c r="AA2" s="3" t="n">
        <v>46245</v>
      </c>
      <c r="AB2" s="3" t="n">
        <v>46252</v>
      </c>
      <c r="AC2" s="3" t="n">
        <v>46259</v>
      </c>
      <c r="AD2" s="3" t="n">
        <v>46266</v>
      </c>
      <c r="AE2" s="3" t="n">
        <v>46273</v>
      </c>
      <c r="AF2" s="3" t="n">
        <v>46280</v>
      </c>
      <c r="AG2" s="3" t="n">
        <v>46287</v>
      </c>
      <c r="AH2" s="3" t="n">
        <v>46294</v>
      </c>
      <c r="AI2" s="3" t="n">
        <v>46301</v>
      </c>
      <c r="AJ2" s="3" t="n">
        <v>46308</v>
      </c>
      <c r="AK2" s="3" t="n">
        <v>46315</v>
      </c>
      <c r="AL2" s="3" t="n">
        <v>46322</v>
      </c>
      <c r="AM2" s="3" t="n">
        <v>46329</v>
      </c>
      <c r="AN2" s="3" t="n">
        <v>46336</v>
      </c>
      <c r="AO2" s="3" t="n">
        <v>46343</v>
      </c>
      <c r="AP2" s="3" t="n">
        <v>46350</v>
      </c>
      <c r="AQ2" s="3" t="n">
        <v>46357</v>
      </c>
      <c r="AR2" s="3" t="n">
        <v>46364</v>
      </c>
      <c r="AS2" s="3" t="n">
        <v>46371</v>
      </c>
      <c r="AT2" s="3" t="n">
        <v>46378</v>
      </c>
      <c r="AU2" s="3" t="n">
        <v>46385</v>
      </c>
    </row>
    <row r="3" customFormat="false" ht="15" hidden="false" customHeight="false" outlineLevel="0" collapsed="false">
      <c r="A3" s="1" t="n">
        <v>1</v>
      </c>
      <c r="B3" s="2" t="s">
        <v>4</v>
      </c>
      <c r="C3" s="2" t="s">
        <v>5</v>
      </c>
      <c r="D3" s="2" t="s">
        <v>6</v>
      </c>
      <c r="E3" s="1" t="s">
        <v>7</v>
      </c>
    </row>
    <row r="4" customFormat="false" ht="15" hidden="false" customHeight="false" outlineLevel="0" collapsed="false">
      <c r="A4" s="1" t="n">
        <v>2</v>
      </c>
      <c r="B4" s="2" t="s">
        <v>8</v>
      </c>
      <c r="C4" s="2" t="s">
        <v>9</v>
      </c>
      <c r="D4" s="2" t="s">
        <v>10</v>
      </c>
      <c r="E4" s="1" t="s">
        <v>7</v>
      </c>
    </row>
    <row r="5" customFormat="false" ht="15" hidden="false" customHeight="false" outlineLevel="0" collapsed="false">
      <c r="A5" s="1" t="n">
        <v>3</v>
      </c>
      <c r="B5" s="2" t="s">
        <v>11</v>
      </c>
      <c r="C5" s="2" t="s">
        <v>12</v>
      </c>
      <c r="D5" s="2" t="s">
        <v>13</v>
      </c>
      <c r="E5" s="1" t="s">
        <v>7</v>
      </c>
    </row>
    <row r="6" customFormat="false" ht="15" hidden="false" customHeight="false" outlineLevel="0" collapsed="false">
      <c r="A6" s="1" t="n">
        <v>4</v>
      </c>
      <c r="B6" s="2" t="s">
        <v>14</v>
      </c>
      <c r="C6" s="2" t="s">
        <v>15</v>
      </c>
      <c r="D6" s="2" t="s">
        <v>16</v>
      </c>
      <c r="E6" s="1" t="s">
        <v>7</v>
      </c>
    </row>
    <row r="7" customFormat="false" ht="15" hidden="false" customHeight="false" outlineLevel="0" collapsed="false">
      <c r="A7" s="1" t="n">
        <v>5</v>
      </c>
      <c r="B7" s="2" t="s">
        <v>17</v>
      </c>
      <c r="C7" s="2" t="s">
        <v>18</v>
      </c>
      <c r="D7" s="2" t="s">
        <v>19</v>
      </c>
      <c r="E7" s="1" t="s">
        <v>7</v>
      </c>
    </row>
    <row r="8" s="2" customFormat="true" ht="15" hidden="false" customHeight="false" outlineLevel="0" collapsed="false">
      <c r="A8" s="1" t="n">
        <v>6</v>
      </c>
      <c r="B8" s="2" t="s">
        <v>20</v>
      </c>
      <c r="C8" s="2" t="s">
        <v>21</v>
      </c>
      <c r="D8" s="2" t="s">
        <v>22</v>
      </c>
      <c r="E8" s="1" t="s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customFormat="false" ht="15" hidden="false" customHeight="false" outlineLevel="0" collapsed="false">
      <c r="A9" s="1" t="n">
        <v>7</v>
      </c>
      <c r="B9" s="2" t="s">
        <v>23</v>
      </c>
      <c r="C9" s="2" t="s">
        <v>24</v>
      </c>
      <c r="D9" s="2" t="s">
        <v>25</v>
      </c>
      <c r="E9" s="1" t="s">
        <v>7</v>
      </c>
    </row>
    <row r="10" customFormat="false" ht="15" hidden="false" customHeight="false" outlineLevel="0" collapsed="false">
      <c r="A10" s="1" t="n">
        <v>8</v>
      </c>
      <c r="B10" s="2" t="s">
        <v>26</v>
      </c>
      <c r="C10" s="2" t="s">
        <v>27</v>
      </c>
      <c r="D10" s="2" t="s">
        <v>28</v>
      </c>
      <c r="E10" s="1" t="s">
        <v>7</v>
      </c>
    </row>
    <row r="11" customFormat="false" ht="15" hidden="false" customHeight="false" outlineLevel="0" collapsed="false">
      <c r="A11" s="1" t="n">
        <v>9</v>
      </c>
      <c r="B11" s="2" t="s">
        <v>29</v>
      </c>
      <c r="C11" s="2" t="s">
        <v>30</v>
      </c>
      <c r="D11" s="2" t="s">
        <v>31</v>
      </c>
      <c r="E11" s="1" t="s">
        <v>7</v>
      </c>
    </row>
    <row r="12" s="2" customFormat="true" ht="15" hidden="false" customHeight="false" outlineLevel="0" collapsed="false">
      <c r="A12" s="1" t="n">
        <v>10</v>
      </c>
      <c r="B12" s="2" t="s">
        <v>32</v>
      </c>
      <c r="C12" s="2" t="s">
        <v>33</v>
      </c>
      <c r="D12" s="2" t="s">
        <v>34</v>
      </c>
      <c r="E12" s="1" t="s">
        <v>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="1" customFormat="true" ht="15" hidden="false" customHeight="false" outlineLevel="0" collapsed="false">
      <c r="A13" s="1" t="n">
        <v>11</v>
      </c>
      <c r="B13" s="2" t="s">
        <v>35</v>
      </c>
      <c r="C13" s="2" t="s">
        <v>36</v>
      </c>
      <c r="D13" s="2" t="s">
        <v>37</v>
      </c>
      <c r="E13" s="1" t="s">
        <v>7</v>
      </c>
    </row>
    <row r="14" s="1" customFormat="true" ht="15" hidden="false" customHeight="false" outlineLevel="0" collapsed="false">
      <c r="A14" s="1" t="n">
        <v>12</v>
      </c>
      <c r="B14" s="2" t="s">
        <v>38</v>
      </c>
      <c r="C14" s="2" t="s">
        <v>39</v>
      </c>
      <c r="D14" s="2" t="s">
        <v>40</v>
      </c>
      <c r="E14" s="1" t="s">
        <v>7</v>
      </c>
    </row>
    <row r="15" s="2" customFormat="true" ht="15" hidden="false" customHeight="false" outlineLevel="0" collapsed="false">
      <c r="A15" s="1" t="n">
        <v>13</v>
      </c>
      <c r="B15" s="2" t="s">
        <v>41</v>
      </c>
      <c r="C15" s="2" t="s">
        <v>42</v>
      </c>
      <c r="D15" s="2" t="s">
        <v>43</v>
      </c>
      <c r="E15" s="1" t="s">
        <v>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="1" customFormat="true" ht="15" hidden="false" customHeight="false" outlineLevel="0" collapsed="false">
      <c r="A16" s="1" t="n">
        <v>14</v>
      </c>
      <c r="B16" s="2" t="s">
        <v>44</v>
      </c>
      <c r="C16" s="2" t="s">
        <v>45</v>
      </c>
      <c r="D16" s="2" t="s">
        <v>46</v>
      </c>
      <c r="E16" s="1" t="s">
        <v>7</v>
      </c>
    </row>
    <row r="17" s="1" customFormat="true" ht="15" hidden="false" customHeight="false" outlineLevel="0" collapsed="false">
      <c r="A17" s="1" t="n">
        <v>15</v>
      </c>
      <c r="B17" s="2" t="s">
        <v>47</v>
      </c>
      <c r="C17" s="2" t="s">
        <v>48</v>
      </c>
      <c r="D17" s="2" t="s">
        <v>49</v>
      </c>
      <c r="E17" s="1" t="s">
        <v>7</v>
      </c>
    </row>
    <row r="18" s="2" customFormat="true" ht="15" hidden="false" customHeight="false" outlineLevel="0" collapsed="false">
      <c r="A18" s="1" t="n">
        <v>16</v>
      </c>
      <c r="B18" s="2" t="s">
        <v>50</v>
      </c>
      <c r="C18" s="2" t="s">
        <v>51</v>
      </c>
      <c r="D18" s="2" t="s">
        <v>52</v>
      </c>
      <c r="E18" s="1" t="s">
        <v>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="2" customFormat="true" ht="15" hidden="false" customHeight="false" outlineLevel="0" collapsed="false">
      <c r="A19" s="1" t="n">
        <v>17</v>
      </c>
      <c r="B19" s="2" t="s">
        <v>53</v>
      </c>
      <c r="C19" s="2" t="s">
        <v>54</v>
      </c>
      <c r="D19" s="2" t="s">
        <v>55</v>
      </c>
      <c r="E19" s="1" t="s">
        <v>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="1" customFormat="true" ht="15" hidden="false" customHeight="false" outlineLevel="0" collapsed="false">
      <c r="A20" s="1" t="n">
        <v>19</v>
      </c>
      <c r="B20" s="2" t="s">
        <v>56</v>
      </c>
      <c r="C20" s="2" t="s">
        <v>57</v>
      </c>
      <c r="D20" s="2" t="s">
        <v>58</v>
      </c>
      <c r="E20" s="1" t="s">
        <v>7</v>
      </c>
    </row>
    <row r="21" s="1" customFormat="true" ht="15" hidden="false" customHeight="false" outlineLevel="0" collapsed="false">
      <c r="A21" s="1" t="n">
        <v>20</v>
      </c>
      <c r="B21" s="2" t="s">
        <v>59</v>
      </c>
      <c r="C21" s="2" t="s">
        <v>60</v>
      </c>
      <c r="D21" s="2" t="s">
        <v>61</v>
      </c>
      <c r="E21" s="1" t="s">
        <v>7</v>
      </c>
    </row>
    <row r="22" s="1" customFormat="true" ht="15" hidden="false" customHeight="false" outlineLevel="0" collapsed="false">
      <c r="A22" s="1" t="n">
        <v>21</v>
      </c>
      <c r="B22" s="2" t="s">
        <v>62</v>
      </c>
      <c r="C22" s="2" t="s">
        <v>63</v>
      </c>
      <c r="D22" s="2" t="s">
        <v>64</v>
      </c>
      <c r="E22" s="1" t="s">
        <v>7</v>
      </c>
    </row>
    <row r="23" s="2" customFormat="true" ht="15" hidden="false" customHeight="false" outlineLevel="0" collapsed="false">
      <c r="A23" s="1" t="n">
        <v>22</v>
      </c>
      <c r="B23" s="2" t="s">
        <v>65</v>
      </c>
      <c r="C23" s="2" t="s">
        <v>66</v>
      </c>
      <c r="D23" s="2" t="s">
        <v>67</v>
      </c>
      <c r="E23" s="1" t="s">
        <v>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customFormat="false" ht="15" hidden="false" customHeight="false" outlineLevel="0" collapsed="false">
      <c r="C24" s="1" t="s">
        <v>68</v>
      </c>
      <c r="D24" s="1" t="s">
        <v>68</v>
      </c>
      <c r="E24" s="1" t="n">
        <f aca="false">COUNTIF(E3:E23,"P")</f>
        <v>21</v>
      </c>
    </row>
    <row r="25" customFormat="false" ht="15" hidden="false" customHeight="false" outlineLevel="0" collapsed="false">
      <c r="C25" s="1" t="s">
        <v>69</v>
      </c>
    </row>
    <row r="26" customFormat="false" ht="15" hidden="false" customHeight="false" outlineLevel="0" collapsed="false">
      <c r="C26" s="1" t="s">
        <v>70</v>
      </c>
    </row>
    <row r="27" customFormat="false" ht="15" hidden="false" customHeight="false" outlineLevel="0" collapsed="false">
      <c r="C27" s="1" t="s">
        <v>71</v>
      </c>
    </row>
    <row r="28" customFormat="false" ht="15" hidden="false" customHeight="false" outlineLevel="0" collapsed="false">
      <c r="C28" s="1" t="s">
        <v>72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M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7" activeCellId="0" sqref="E17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true" hidden="false" outlineLevel="0" max="983" min="983" style="1" width="9.33"/>
    <col collapsed="false" customWidth="true" hidden="false" outlineLevel="0" max="16384" min="16341" style="0" width="10.58"/>
  </cols>
  <sheetData>
    <row r="1" customFormat="false" ht="15" hidden="false" customHeight="false" outlineLevel="0" collapsed="false">
      <c r="B1" s="2"/>
    </row>
    <row r="2" customFormat="false" ht="15" hidden="false" customHeight="false" outlineLevel="0" collapsed="false">
      <c r="A2" s="1" t="s">
        <v>0</v>
      </c>
      <c r="B2" s="2" t="s">
        <v>2</v>
      </c>
      <c r="C2" s="4" t="s">
        <v>73</v>
      </c>
    </row>
    <row r="3" s="1" customFormat="true" ht="15.65" hidden="false" customHeight="false" outlineLevel="0" collapsed="false">
      <c r="A3" s="1" t="n">
        <v>7</v>
      </c>
      <c r="B3" s="2" t="s">
        <v>24</v>
      </c>
      <c r="C3" s="1" t="n">
        <v>1</v>
      </c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</row>
    <row r="4" s="1" customFormat="true" ht="15.65" hidden="false" customHeight="false" outlineLevel="0" collapsed="false">
      <c r="A4" s="1" t="n">
        <v>10</v>
      </c>
      <c r="B4" s="2" t="s">
        <v>33</v>
      </c>
      <c r="C4" s="2" t="n">
        <v>1</v>
      </c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</row>
    <row r="5" s="1" customFormat="true" ht="15.65" hidden="false" customHeight="false" outlineLevel="0" collapsed="false">
      <c r="A5" s="1" t="n">
        <v>11</v>
      </c>
      <c r="B5" s="2" t="s">
        <v>36</v>
      </c>
      <c r="C5" s="1" t="n">
        <v>1</v>
      </c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  <c r="AMK5" s="0"/>
      <c r="AML5" s="0"/>
      <c r="AMM5" s="0"/>
    </row>
    <row r="6" s="1" customFormat="true" ht="15.65" hidden="false" customHeight="false" outlineLevel="0" collapsed="false">
      <c r="A6" s="1" t="n">
        <v>21</v>
      </c>
      <c r="B6" s="2" t="s">
        <v>63</v>
      </c>
      <c r="C6" s="1" t="n">
        <v>1</v>
      </c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  <c r="AML6" s="0"/>
      <c r="AMM6" s="0"/>
    </row>
    <row r="7" s="1" customFormat="true" ht="15.65" hidden="false" customHeight="false" outlineLevel="0" collapsed="false">
      <c r="A7" s="1" t="n">
        <v>2</v>
      </c>
      <c r="B7" s="2" t="s">
        <v>9</v>
      </c>
      <c r="C7" s="1" t="n">
        <v>2</v>
      </c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  <c r="AMK7" s="0"/>
      <c r="AML7" s="0"/>
      <c r="AMM7" s="0"/>
    </row>
    <row r="8" s="2" customFormat="true" ht="15.65" hidden="false" customHeight="false" outlineLevel="0" collapsed="false">
      <c r="A8" s="1" t="n">
        <v>5</v>
      </c>
      <c r="B8" s="2" t="s">
        <v>18</v>
      </c>
      <c r="C8" s="1" t="n">
        <v>2</v>
      </c>
      <c r="AKU8" s="1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  <c r="AMK8" s="0"/>
      <c r="AML8" s="0"/>
      <c r="AMM8" s="0"/>
    </row>
    <row r="9" s="1" customFormat="true" ht="15.65" hidden="false" customHeight="false" outlineLevel="0" collapsed="false">
      <c r="A9" s="1" t="n">
        <v>6</v>
      </c>
      <c r="B9" s="2" t="s">
        <v>21</v>
      </c>
      <c r="C9" s="2" t="n">
        <v>2</v>
      </c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  <c r="AML9" s="0"/>
      <c r="AMM9" s="0"/>
    </row>
    <row r="10" s="1" customFormat="true" ht="15.65" hidden="false" customHeight="false" outlineLevel="0" collapsed="false">
      <c r="A10" s="1" t="n">
        <v>19</v>
      </c>
      <c r="B10" s="2" t="s">
        <v>57</v>
      </c>
      <c r="C10" s="1" t="n">
        <v>2</v>
      </c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  <c r="AML10" s="0"/>
      <c r="AMM10" s="0"/>
    </row>
    <row r="11" s="1" customFormat="true" ht="15.65" hidden="false" customHeight="false" outlineLevel="0" collapsed="false">
      <c r="A11" s="1" t="n">
        <v>13</v>
      </c>
      <c r="B11" s="2" t="s">
        <v>42</v>
      </c>
      <c r="C11" s="2" t="n">
        <v>3</v>
      </c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  <c r="AMK11" s="0"/>
      <c r="AML11" s="0"/>
      <c r="AMM11" s="0"/>
    </row>
    <row r="12" s="2" customFormat="true" ht="15.65" hidden="false" customHeight="false" outlineLevel="0" collapsed="false">
      <c r="A12" s="1" t="n">
        <v>14</v>
      </c>
      <c r="B12" s="2" t="s">
        <v>45</v>
      </c>
      <c r="C12" s="1" t="n">
        <v>3</v>
      </c>
      <c r="AKU12" s="1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  <c r="AMK12" s="0"/>
      <c r="AML12" s="0"/>
      <c r="AMM12" s="0"/>
    </row>
    <row r="13" s="1" customFormat="true" ht="15.65" hidden="false" customHeight="false" outlineLevel="0" collapsed="false">
      <c r="A13" s="1" t="n">
        <v>16</v>
      </c>
      <c r="B13" s="2" t="s">
        <v>51</v>
      </c>
      <c r="C13" s="2" t="n">
        <v>3</v>
      </c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  <c r="AML13" s="0"/>
      <c r="AMM13" s="0"/>
    </row>
    <row r="14" s="1" customFormat="true" ht="15.65" hidden="false" customHeight="false" outlineLevel="0" collapsed="false">
      <c r="A14" s="1" t="n">
        <v>17</v>
      </c>
      <c r="B14" s="2" t="s">
        <v>54</v>
      </c>
      <c r="C14" s="2" t="n">
        <v>3</v>
      </c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  <c r="AMK14" s="0"/>
      <c r="AML14" s="0"/>
      <c r="AMM14" s="0"/>
    </row>
    <row r="15" s="2" customFormat="true" ht="15.65" hidden="false" customHeight="false" outlineLevel="0" collapsed="false">
      <c r="A15" s="1" t="n">
        <v>22</v>
      </c>
      <c r="B15" s="2" t="s">
        <v>66</v>
      </c>
      <c r="C15" s="2" t="n">
        <v>3</v>
      </c>
      <c r="AKU15" s="1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  <c r="AML15" s="0"/>
      <c r="AMM15" s="0"/>
    </row>
    <row r="16" s="1" customFormat="true" ht="15.65" hidden="false" customHeight="false" outlineLevel="0" collapsed="false">
      <c r="A16" s="1" t="n">
        <v>1</v>
      </c>
      <c r="B16" s="2" t="s">
        <v>5</v>
      </c>
      <c r="C16" s="1" t="n">
        <v>4</v>
      </c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  <c r="AML16" s="0"/>
      <c r="AMM16" s="0"/>
    </row>
    <row r="17" s="1" customFormat="true" ht="15.65" hidden="false" customHeight="false" outlineLevel="0" collapsed="false">
      <c r="A17" s="1" t="n">
        <v>3</v>
      </c>
      <c r="B17" s="2" t="s">
        <v>12</v>
      </c>
      <c r="C17" s="1" t="n">
        <v>4</v>
      </c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  <c r="AMK17" s="0"/>
      <c r="AML17" s="0"/>
      <c r="AMM17" s="0"/>
    </row>
    <row r="18" s="2" customFormat="true" ht="15.65" hidden="false" customHeight="false" outlineLevel="0" collapsed="false">
      <c r="A18" s="1" t="n">
        <v>15</v>
      </c>
      <c r="B18" s="2" t="s">
        <v>48</v>
      </c>
      <c r="C18" s="1" t="n">
        <v>4</v>
      </c>
      <c r="AKU18" s="1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  <c r="AMK18" s="0"/>
      <c r="AML18" s="0"/>
      <c r="AMM18" s="0"/>
    </row>
    <row r="19" s="2" customFormat="true" ht="15.65" hidden="false" customHeight="false" outlineLevel="0" collapsed="false">
      <c r="A19" s="1" t="n">
        <v>20</v>
      </c>
      <c r="B19" s="2" t="s">
        <v>60</v>
      </c>
      <c r="C19" s="1" t="n">
        <v>4</v>
      </c>
      <c r="AKU19" s="1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  <c r="AMK19" s="0"/>
      <c r="AML19" s="0"/>
      <c r="AMM19" s="0"/>
    </row>
    <row r="20" s="1" customFormat="true" ht="15.65" hidden="false" customHeight="false" outlineLevel="0" collapsed="false">
      <c r="A20" s="1" t="n">
        <v>4</v>
      </c>
      <c r="B20" s="2" t="s">
        <v>15</v>
      </c>
      <c r="C20" s="1" t="n">
        <v>5</v>
      </c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  <c r="AMK20" s="0"/>
      <c r="AML20" s="0"/>
      <c r="AMM20" s="0"/>
    </row>
    <row r="21" s="1" customFormat="true" ht="15.65" hidden="false" customHeight="false" outlineLevel="0" collapsed="false">
      <c r="A21" s="1" t="n">
        <v>8</v>
      </c>
      <c r="B21" s="2" t="s">
        <v>27</v>
      </c>
      <c r="C21" s="1" t="n">
        <v>5</v>
      </c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  <c r="AML21" s="0"/>
      <c r="AMM21" s="0"/>
    </row>
    <row r="22" s="2" customFormat="true" ht="15.65" hidden="false" customHeight="false" outlineLevel="0" collapsed="false">
      <c r="A22" s="1" t="n">
        <v>9</v>
      </c>
      <c r="B22" s="2" t="s">
        <v>30</v>
      </c>
      <c r="C22" s="1" t="n">
        <v>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  <c r="AMK22" s="0"/>
      <c r="AML22" s="0"/>
      <c r="AMM22" s="0"/>
    </row>
    <row r="23" s="1" customFormat="true" ht="15.65" hidden="false" customHeight="false" outlineLevel="0" collapsed="false">
      <c r="A23" s="1" t="n">
        <v>12</v>
      </c>
      <c r="B23" s="2" t="s">
        <v>39</v>
      </c>
      <c r="C23" s="1" t="n">
        <v>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  <c r="AMK23" s="0"/>
      <c r="AML23" s="0"/>
      <c r="AMM23" s="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" activeCellId="0" sqref="G2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false" hidden="true" outlineLevel="0" max="3" min="3" style="1" width="9.58"/>
    <col collapsed="false" customWidth="true" hidden="false" outlineLevel="0" max="16384" min="16361" style="1" width="10.58"/>
  </cols>
  <sheetData>
    <row r="1" customFormat="false" ht="15" hidden="false" customHeight="false" outlineLevel="0" collapsed="false">
      <c r="A1" s="1" t="s">
        <v>0</v>
      </c>
      <c r="B1" s="2" t="s">
        <v>2</v>
      </c>
      <c r="C1" s="3" t="n">
        <v>45737</v>
      </c>
      <c r="D1" s="3" t="n">
        <v>45919</v>
      </c>
      <c r="E1" s="3" t="n">
        <v>45954</v>
      </c>
      <c r="F1" s="3" t="n">
        <v>45961</v>
      </c>
      <c r="G1" s="2" t="s">
        <v>74</v>
      </c>
    </row>
    <row r="2" customFormat="false" ht="15" hidden="false" customHeight="false" outlineLevel="0" collapsed="false">
      <c r="A2" s="1" t="n">
        <v>1</v>
      </c>
      <c r="B2" s="2" t="s">
        <v>5</v>
      </c>
      <c r="C2" s="1" t="n">
        <v>3</v>
      </c>
      <c r="F2" s="1" t="n">
        <v>1</v>
      </c>
      <c r="G2" s="2" t="n">
        <f aca="false">SUM(D2:F2)</f>
        <v>1</v>
      </c>
    </row>
    <row r="3" customFormat="false" ht="15" hidden="false" customHeight="false" outlineLevel="0" collapsed="false">
      <c r="A3" s="1" t="n">
        <v>2</v>
      </c>
      <c r="B3" s="2" t="s">
        <v>9</v>
      </c>
      <c r="C3" s="1" t="n">
        <v>0</v>
      </c>
      <c r="D3" s="1" t="n">
        <v>1</v>
      </c>
      <c r="F3" s="1" t="n">
        <v>2</v>
      </c>
      <c r="G3" s="2" t="n">
        <f aca="false">SUM(D3:F3)</f>
        <v>3</v>
      </c>
    </row>
    <row r="4" customFormat="false" ht="15" hidden="false" customHeight="false" outlineLevel="0" collapsed="false">
      <c r="A4" s="1" t="n">
        <v>3</v>
      </c>
      <c r="B4" s="2" t="s">
        <v>12</v>
      </c>
      <c r="C4" s="1" t="n">
        <v>3</v>
      </c>
      <c r="G4" s="2" t="n">
        <f aca="false">SUM(D4:F4)</f>
        <v>0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n">
        <v>4</v>
      </c>
      <c r="F5" s="1" t="n">
        <v>1</v>
      </c>
      <c r="G5" s="2" t="n">
        <f aca="false">SUM(D5:F5)</f>
        <v>1</v>
      </c>
    </row>
    <row r="6" customFormat="false" ht="15" hidden="false" customHeight="false" outlineLevel="0" collapsed="false">
      <c r="A6" s="1" t="n">
        <v>5</v>
      </c>
      <c r="B6" s="2" t="s">
        <v>18</v>
      </c>
      <c r="C6" s="1" t="n">
        <v>0</v>
      </c>
      <c r="D6" s="1" t="n">
        <v>1</v>
      </c>
      <c r="G6" s="2" t="n">
        <f aca="false">SUM(D6:F6)</f>
        <v>1</v>
      </c>
    </row>
    <row r="7" customFormat="false" ht="15" hidden="false" customHeight="false" outlineLevel="0" collapsed="false">
      <c r="A7" s="1" t="n">
        <v>6</v>
      </c>
      <c r="B7" s="2" t="s">
        <v>21</v>
      </c>
      <c r="C7" s="1" t="n">
        <v>0</v>
      </c>
      <c r="D7" s="1" t="n">
        <v>1</v>
      </c>
      <c r="G7" s="2" t="n">
        <f aca="false">SUM(D7:F7)</f>
        <v>1</v>
      </c>
    </row>
    <row r="8" customFormat="false" ht="15" hidden="false" customHeight="false" outlineLevel="0" collapsed="false">
      <c r="A8" s="1" t="n">
        <v>7</v>
      </c>
      <c r="B8" s="2" t="s">
        <v>24</v>
      </c>
      <c r="C8" s="1" t="n">
        <v>3</v>
      </c>
      <c r="D8" s="1" t="n">
        <v>1</v>
      </c>
      <c r="G8" s="2" t="n">
        <f aca="false">SUM(D8:F8)</f>
        <v>1</v>
      </c>
    </row>
    <row r="9" customFormat="false" ht="15" hidden="false" customHeight="false" outlineLevel="0" collapsed="false">
      <c r="A9" s="1" t="n">
        <v>8</v>
      </c>
      <c r="B9" s="2" t="s">
        <v>27</v>
      </c>
      <c r="C9" s="1" t="n">
        <v>4</v>
      </c>
      <c r="D9" s="1" t="n">
        <v>1</v>
      </c>
      <c r="F9" s="1" t="n">
        <v>1</v>
      </c>
      <c r="G9" s="2" t="n">
        <f aca="false">SUM(D9:F9)</f>
        <v>2</v>
      </c>
    </row>
    <row r="10" customFormat="false" ht="15" hidden="false" customHeight="false" outlineLevel="0" collapsed="false">
      <c r="A10" s="1" t="n">
        <v>9</v>
      </c>
      <c r="B10" s="2" t="s">
        <v>30</v>
      </c>
      <c r="C10" s="1" t="n">
        <v>3</v>
      </c>
      <c r="G10" s="2" t="n">
        <f aca="false">SUM(D10:F10)</f>
        <v>0</v>
      </c>
    </row>
    <row r="11" customFormat="false" ht="15" hidden="false" customHeight="false" outlineLevel="0" collapsed="false">
      <c r="A11" s="1" t="n">
        <v>10</v>
      </c>
      <c r="B11" s="2" t="s">
        <v>33</v>
      </c>
      <c r="C11" s="1" t="n">
        <v>3</v>
      </c>
      <c r="G11" s="2" t="n">
        <f aca="false">SUM(D11:F11)</f>
        <v>0</v>
      </c>
    </row>
    <row r="12" customFormat="false" ht="15" hidden="false" customHeight="false" outlineLevel="0" collapsed="false">
      <c r="A12" s="1" t="n">
        <v>11</v>
      </c>
      <c r="B12" s="2" t="s">
        <v>36</v>
      </c>
      <c r="C12" s="1" t="n">
        <v>3</v>
      </c>
      <c r="D12" s="1" t="n">
        <v>1</v>
      </c>
      <c r="F12" s="1" t="n">
        <v>1</v>
      </c>
      <c r="G12" s="2" t="n">
        <f aca="false">SUM(D12:F12)</f>
        <v>2</v>
      </c>
    </row>
    <row r="13" customFormat="false" ht="15" hidden="false" customHeight="false" outlineLevel="0" collapsed="false">
      <c r="A13" s="1" t="n">
        <v>12</v>
      </c>
      <c r="B13" s="2" t="s">
        <v>39</v>
      </c>
      <c r="C13" s="1" t="n">
        <v>0</v>
      </c>
      <c r="G13" s="2" t="n">
        <f aca="false">SUM(D13:F13)</f>
        <v>0</v>
      </c>
    </row>
    <row r="14" customFormat="false" ht="15" hidden="false" customHeight="false" outlineLevel="0" collapsed="false">
      <c r="A14" s="1" t="n">
        <v>13</v>
      </c>
      <c r="B14" s="2" t="s">
        <v>42</v>
      </c>
      <c r="C14" s="1" t="n">
        <v>3</v>
      </c>
      <c r="D14" s="1" t="n">
        <v>1</v>
      </c>
      <c r="F14" s="1" t="n">
        <v>1</v>
      </c>
      <c r="G14" s="2" t="n">
        <f aca="false">SUM(D14:F14)</f>
        <v>2</v>
      </c>
    </row>
    <row r="15" customFormat="false" ht="15" hidden="false" customHeight="false" outlineLevel="0" collapsed="false">
      <c r="A15" s="1" t="n">
        <v>14</v>
      </c>
      <c r="B15" s="2" t="s">
        <v>45</v>
      </c>
      <c r="C15" s="1" t="n">
        <v>3</v>
      </c>
      <c r="D15" s="1" t="n">
        <v>1</v>
      </c>
      <c r="F15" s="1" t="n">
        <v>1</v>
      </c>
      <c r="G15" s="2" t="n">
        <f aca="false">SUM(D15:F15)</f>
        <v>2</v>
      </c>
    </row>
    <row r="16" customFormat="false" ht="15" hidden="false" customHeight="false" outlineLevel="0" collapsed="false">
      <c r="A16" s="1" t="n">
        <v>15</v>
      </c>
      <c r="B16" s="2" t="s">
        <v>48</v>
      </c>
      <c r="C16" s="1" t="n">
        <v>3</v>
      </c>
      <c r="D16" s="1" t="n">
        <v>1</v>
      </c>
      <c r="G16" s="2" t="n">
        <f aca="false">SUM(D16:F16)</f>
        <v>1</v>
      </c>
    </row>
    <row r="17" customFormat="false" ht="15" hidden="false" customHeight="false" outlineLevel="0" collapsed="false">
      <c r="A17" s="1" t="n">
        <v>16</v>
      </c>
      <c r="B17" s="2" t="s">
        <v>51</v>
      </c>
      <c r="C17" s="1" t="n">
        <v>0</v>
      </c>
      <c r="G17" s="2" t="n">
        <f aca="false">SUM(D17:F17)</f>
        <v>0</v>
      </c>
    </row>
    <row r="18" customFormat="false" ht="15" hidden="false" customHeight="false" outlineLevel="0" collapsed="false">
      <c r="A18" s="1" t="n">
        <v>17</v>
      </c>
      <c r="B18" s="2" t="s">
        <v>54</v>
      </c>
      <c r="C18" s="1" t="n">
        <v>3</v>
      </c>
      <c r="F18" s="1" t="n">
        <v>1</v>
      </c>
      <c r="G18" s="2" t="n">
        <f aca="false">SUM(D18:F18)</f>
        <v>1</v>
      </c>
    </row>
    <row r="19" customFormat="false" ht="15" hidden="false" customHeight="false" outlineLevel="0" collapsed="false">
      <c r="A19" s="1" t="n">
        <v>18</v>
      </c>
      <c r="B19" s="2" t="s">
        <v>75</v>
      </c>
      <c r="C19" s="1" t="n">
        <v>0</v>
      </c>
      <c r="F19" s="1" t="n">
        <v>1</v>
      </c>
      <c r="G19" s="2" t="n">
        <f aca="false">SUM(D19:F19)</f>
        <v>1</v>
      </c>
    </row>
    <row r="20" customFormat="false" ht="15" hidden="false" customHeight="false" outlineLevel="0" collapsed="false">
      <c r="A20" s="1" t="n">
        <v>19</v>
      </c>
      <c r="B20" s="2" t="s">
        <v>57</v>
      </c>
      <c r="C20" s="1" t="n">
        <v>3</v>
      </c>
      <c r="G20" s="2" t="n">
        <f aca="false">SUM(D20:F20)</f>
        <v>0</v>
      </c>
    </row>
    <row r="21" customFormat="false" ht="15" hidden="false" customHeight="false" outlineLevel="0" collapsed="false">
      <c r="A21" s="1" t="n">
        <v>20</v>
      </c>
      <c r="B21" s="2" t="s">
        <v>60</v>
      </c>
      <c r="C21" s="1" t="n">
        <v>3</v>
      </c>
      <c r="F21" s="1" t="n">
        <v>1</v>
      </c>
      <c r="G21" s="2" t="n">
        <f aca="false">SUM(D21:F21)</f>
        <v>1</v>
      </c>
    </row>
    <row r="22" customFormat="false" ht="15" hidden="false" customHeight="false" outlineLevel="0" collapsed="false">
      <c r="A22" s="1" t="n">
        <v>21</v>
      </c>
      <c r="B22" s="2" t="s">
        <v>63</v>
      </c>
      <c r="C22" s="1" t="n">
        <v>3</v>
      </c>
      <c r="F22" s="1" t="n">
        <v>1</v>
      </c>
      <c r="G22" s="2" t="n">
        <f aca="false">SUM(D22:F22)</f>
        <v>1</v>
      </c>
    </row>
    <row r="23" customFormat="false" ht="15" hidden="false" customHeight="false" outlineLevel="0" collapsed="false">
      <c r="A23" s="1" t="n">
        <v>22</v>
      </c>
      <c r="B23" s="2" t="s">
        <v>66</v>
      </c>
      <c r="C23" s="1" t="n">
        <v>3</v>
      </c>
      <c r="G23" s="2" t="n">
        <f aca="false">SUM(D23:F23)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" activeCellId="0" sqref="G1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4" min="4" style="1" width="21.64"/>
  </cols>
  <sheetData>
    <row r="1" customFormat="false" ht="15" hidden="false" customHeight="false" outlineLevel="0" collapsed="false">
      <c r="C1" s="1" t="s">
        <v>2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customFormat="false" ht="15" hidden="false" customHeight="false" outlineLevel="0" collapsed="false">
      <c r="A2" s="1" t="n">
        <v>1</v>
      </c>
      <c r="B2" s="2" t="s">
        <v>5</v>
      </c>
      <c r="C2" s="1" t="s">
        <v>5</v>
      </c>
      <c r="D2" s="1" t="s">
        <v>82</v>
      </c>
      <c r="E2" s="1" t="s">
        <v>83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2" t="s">
        <v>9</v>
      </c>
      <c r="C3" s="1" t="s">
        <v>9</v>
      </c>
      <c r="D3" s="1" t="s">
        <v>84</v>
      </c>
      <c r="E3" s="1" t="s">
        <v>85</v>
      </c>
      <c r="F3" s="1" t="n">
        <v>10</v>
      </c>
      <c r="I3" s="1" t="n">
        <v>10</v>
      </c>
    </row>
    <row r="4" customFormat="false" ht="15" hidden="false" customHeight="false" outlineLevel="0" collapsed="false">
      <c r="A4" s="1" t="n">
        <v>3</v>
      </c>
      <c r="B4" s="2" t="s">
        <v>12</v>
      </c>
      <c r="C4" s="1" t="s">
        <v>12</v>
      </c>
      <c r="D4" s="1" t="s">
        <v>86</v>
      </c>
      <c r="E4" s="1" t="s">
        <v>87</v>
      </c>
      <c r="F4" s="1" t="n">
        <v>9</v>
      </c>
      <c r="I4" s="1" t="n">
        <v>9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s">
        <v>88</v>
      </c>
      <c r="E5" s="1" t="s">
        <v>89</v>
      </c>
      <c r="F5" s="1" t="n">
        <v>10</v>
      </c>
      <c r="I5" s="1" t="n">
        <v>10</v>
      </c>
    </row>
    <row r="6" customFormat="false" ht="15" hidden="false" customHeight="false" outlineLevel="0" collapsed="false">
      <c r="A6" s="1" t="n">
        <v>5</v>
      </c>
      <c r="B6" s="2" t="s">
        <v>18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21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24</v>
      </c>
      <c r="C8" s="1" t="s">
        <v>24</v>
      </c>
      <c r="D8" s="1" t="s">
        <v>90</v>
      </c>
      <c r="E8" s="1" t="s">
        <v>91</v>
      </c>
      <c r="F8" s="1" t="n">
        <v>10</v>
      </c>
      <c r="I8" s="1" t="n">
        <v>10</v>
      </c>
    </row>
    <row r="9" customFormat="false" ht="15" hidden="false" customHeight="false" outlineLevel="0" collapsed="false">
      <c r="A9" s="1" t="n">
        <v>8</v>
      </c>
      <c r="B9" s="2" t="s">
        <v>27</v>
      </c>
      <c r="C9" s="1" t="s">
        <v>27</v>
      </c>
      <c r="D9" s="1" t="s">
        <v>92</v>
      </c>
      <c r="E9" s="1" t="s">
        <v>93</v>
      </c>
      <c r="F9" s="1" t="n">
        <v>10</v>
      </c>
      <c r="G9" s="1" t="n">
        <f aca="false">AVERAGE(F9:F10)</f>
        <v>9</v>
      </c>
      <c r="H9" s="1" t="n">
        <v>8</v>
      </c>
      <c r="I9" s="1" t="n">
        <f aca="false">ROUND(MAX(H9,G9),0)</f>
        <v>9</v>
      </c>
    </row>
    <row r="10" customFormat="false" ht="15" hidden="false" customHeight="false" outlineLevel="0" collapsed="false">
      <c r="C10" s="1" t="s">
        <v>27</v>
      </c>
      <c r="D10" s="1" t="s">
        <v>94</v>
      </c>
      <c r="E10" s="1" t="s">
        <v>95</v>
      </c>
      <c r="F10" s="1" t="n">
        <v>8</v>
      </c>
    </row>
    <row r="11" customFormat="false" ht="15" hidden="false" customHeight="false" outlineLevel="0" collapsed="false">
      <c r="A11" s="1" t="n">
        <v>9</v>
      </c>
      <c r="B11" s="2" t="s">
        <v>30</v>
      </c>
      <c r="C11" s="1" t="s">
        <v>30</v>
      </c>
      <c r="D11" s="1" t="s">
        <v>86</v>
      </c>
      <c r="E11" s="1" t="s">
        <v>96</v>
      </c>
      <c r="F11" s="1" t="n">
        <v>10</v>
      </c>
      <c r="I11" s="1" t="n">
        <v>10</v>
      </c>
    </row>
    <row r="12" customFormat="false" ht="15" hidden="false" customHeight="false" outlineLevel="0" collapsed="false">
      <c r="A12" s="1" t="n">
        <v>10</v>
      </c>
      <c r="B12" s="2" t="s">
        <v>33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11</v>
      </c>
      <c r="B13" s="2" t="s">
        <v>36</v>
      </c>
      <c r="C13" s="1" t="s">
        <v>36</v>
      </c>
      <c r="D13" s="1" t="s">
        <v>97</v>
      </c>
      <c r="E13" s="1" t="s">
        <v>98</v>
      </c>
      <c r="F13" s="1" t="n">
        <v>10</v>
      </c>
      <c r="I13" s="1" t="n">
        <v>10</v>
      </c>
    </row>
    <row r="14" customFormat="false" ht="15" hidden="false" customHeight="false" outlineLevel="0" collapsed="false">
      <c r="A14" s="1" t="n">
        <v>12</v>
      </c>
      <c r="B14" s="2" t="s">
        <v>39</v>
      </c>
      <c r="C14" s="1" t="s">
        <v>39</v>
      </c>
      <c r="D14" s="1" t="s">
        <v>99</v>
      </c>
      <c r="E14" s="1" t="s">
        <v>100</v>
      </c>
      <c r="F14" s="1" t="n">
        <v>7</v>
      </c>
      <c r="I14" s="1" t="n">
        <v>7</v>
      </c>
    </row>
    <row r="15" customFormat="false" ht="15" hidden="false" customHeight="false" outlineLevel="0" collapsed="false">
      <c r="A15" s="1" t="n">
        <v>13</v>
      </c>
      <c r="B15" s="2" t="s">
        <v>42</v>
      </c>
      <c r="C15" s="1" t="s">
        <v>42</v>
      </c>
      <c r="D15" s="1" t="s">
        <v>101</v>
      </c>
      <c r="E15" s="1" t="s">
        <v>102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14</v>
      </c>
      <c r="B16" s="2" t="s">
        <v>45</v>
      </c>
      <c r="C16" s="1" t="s">
        <v>45</v>
      </c>
      <c r="D16" s="1" t="s">
        <v>103</v>
      </c>
      <c r="E16" s="1" t="s">
        <v>104</v>
      </c>
      <c r="F16" s="1" t="n">
        <v>9</v>
      </c>
      <c r="I16" s="1" t="n">
        <v>9</v>
      </c>
    </row>
    <row r="17" customFormat="false" ht="15" hidden="false" customHeight="false" outlineLevel="0" collapsed="false">
      <c r="A17" s="1" t="n">
        <v>15</v>
      </c>
      <c r="B17" s="2" t="s">
        <v>48</v>
      </c>
      <c r="C17" s="1" t="s">
        <v>48</v>
      </c>
      <c r="D17" s="1" t="s">
        <v>105</v>
      </c>
      <c r="E17" s="1" t="s">
        <v>106</v>
      </c>
      <c r="F17" s="1" t="n">
        <v>10</v>
      </c>
      <c r="I17" s="1" t="n">
        <v>10</v>
      </c>
    </row>
    <row r="18" customFormat="false" ht="15" hidden="false" customHeight="false" outlineLevel="0" collapsed="false">
      <c r="A18" s="1" t="n">
        <v>16</v>
      </c>
      <c r="B18" s="2" t="s">
        <v>51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17</v>
      </c>
      <c r="B19" s="2" t="s">
        <v>54</v>
      </c>
      <c r="C19" s="1" t="s">
        <v>54</v>
      </c>
      <c r="D19" s="1" t="s">
        <v>107</v>
      </c>
      <c r="E19" s="1" t="s">
        <v>108</v>
      </c>
      <c r="F19" s="1" t="n">
        <v>10</v>
      </c>
      <c r="I19" s="1" t="n">
        <v>10</v>
      </c>
    </row>
    <row r="20" customFormat="false" ht="15" hidden="false" customHeight="false" outlineLevel="0" collapsed="false">
      <c r="A20" s="1" t="n">
        <v>18</v>
      </c>
      <c r="B20" s="2" t="s">
        <v>75</v>
      </c>
      <c r="C20" s="1" t="s">
        <v>75</v>
      </c>
      <c r="D20" s="1" t="s">
        <v>109</v>
      </c>
      <c r="E20" s="1" t="s">
        <v>110</v>
      </c>
      <c r="F20" s="1" t="n">
        <v>9</v>
      </c>
      <c r="I20" s="1" t="n">
        <v>9</v>
      </c>
    </row>
    <row r="21" customFormat="false" ht="15" hidden="false" customHeight="false" outlineLevel="0" collapsed="false">
      <c r="A21" s="1" t="n">
        <v>19</v>
      </c>
      <c r="B21" s="2" t="s">
        <v>57</v>
      </c>
      <c r="C21" s="1" t="s">
        <v>57</v>
      </c>
      <c r="D21" s="1" t="s">
        <v>111</v>
      </c>
      <c r="E21" s="1" t="s">
        <v>112</v>
      </c>
      <c r="F21" s="1" t="n">
        <v>9</v>
      </c>
      <c r="I21" s="1" t="n">
        <v>9</v>
      </c>
    </row>
    <row r="22" customFormat="false" ht="15" hidden="false" customHeight="false" outlineLevel="0" collapsed="false">
      <c r="A22" s="1" t="n">
        <v>20</v>
      </c>
      <c r="B22" s="2" t="s">
        <v>60</v>
      </c>
      <c r="C22" s="1" t="s">
        <v>60</v>
      </c>
      <c r="D22" s="1" t="s">
        <v>113</v>
      </c>
      <c r="E22" s="1" t="s">
        <v>114</v>
      </c>
      <c r="F22" s="1" t="n">
        <v>10</v>
      </c>
      <c r="I22" s="1" t="n">
        <v>10</v>
      </c>
    </row>
    <row r="23" customFormat="false" ht="15" hidden="false" customHeight="false" outlineLevel="0" collapsed="false">
      <c r="A23" s="1" t="n">
        <v>21</v>
      </c>
      <c r="B23" s="2" t="s">
        <v>63</v>
      </c>
      <c r="C23" s="1" t="s">
        <v>63</v>
      </c>
      <c r="D23" s="1" t="s">
        <v>115</v>
      </c>
      <c r="E23" s="1" t="s">
        <v>116</v>
      </c>
      <c r="F23" s="1" t="n">
        <v>10</v>
      </c>
      <c r="G23" s="1" t="n">
        <f aca="false">AVERAGE(F23:F25)</f>
        <v>8.66666666666667</v>
      </c>
      <c r="H23" s="1" t="n">
        <v>9</v>
      </c>
      <c r="I23" s="1" t="n">
        <f aca="false">ROUND(MAX(H23,G23),0)</f>
        <v>9</v>
      </c>
    </row>
    <row r="24" customFormat="false" ht="15" hidden="false" customHeight="false" outlineLevel="0" collapsed="false">
      <c r="C24" s="1" t="s">
        <v>63</v>
      </c>
      <c r="D24" s="1" t="s">
        <v>117</v>
      </c>
      <c r="E24" s="1" t="s">
        <v>118</v>
      </c>
      <c r="F24" s="1" t="n">
        <v>9</v>
      </c>
    </row>
    <row r="25" customFormat="false" ht="15" hidden="false" customHeight="false" outlineLevel="0" collapsed="false">
      <c r="C25" s="1" t="s">
        <v>63</v>
      </c>
      <c r="D25" s="1" t="s">
        <v>94</v>
      </c>
      <c r="E25" s="1" t="s">
        <v>119</v>
      </c>
      <c r="F25" s="1" t="n">
        <v>7</v>
      </c>
    </row>
    <row r="26" customFormat="false" ht="15" hidden="false" customHeight="false" outlineLevel="0" collapsed="false">
      <c r="A26" s="1" t="n">
        <v>22</v>
      </c>
      <c r="B26" s="2" t="s">
        <v>66</v>
      </c>
      <c r="C26" s="1" t="s">
        <v>66</v>
      </c>
      <c r="D26" s="1" t="s">
        <v>120</v>
      </c>
      <c r="E26" s="1" t="s">
        <v>121</v>
      </c>
      <c r="F26" s="1" t="n">
        <v>10</v>
      </c>
      <c r="I26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8" activeCellId="0" sqref="B8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22.63"/>
    <col collapsed="false" customWidth="true" hidden="false" outlineLevel="0" max="3" min="3" style="1" width="22.2"/>
    <col collapsed="false" customWidth="true" hidden="false" outlineLevel="0" max="4" min="4" style="1" width="15.11"/>
  </cols>
  <sheetData>
    <row r="1" customFormat="false" ht="15" hidden="false" customHeight="false" outlineLevel="0" collapsed="false">
      <c r="A1" s="1" t="s">
        <v>2</v>
      </c>
      <c r="B1" s="1" t="s">
        <v>76</v>
      </c>
      <c r="C1" s="1" t="s">
        <v>77</v>
      </c>
      <c r="D1" s="1" t="s">
        <v>122</v>
      </c>
    </row>
    <row r="2" customFormat="false" ht="15" hidden="false" customHeight="false" outlineLevel="0" collapsed="false">
      <c r="A2" s="1" t="s">
        <v>18</v>
      </c>
      <c r="B2" s="1" t="s">
        <v>123</v>
      </c>
      <c r="C2" s="1" t="s">
        <v>124</v>
      </c>
      <c r="D2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" activeCellId="0" sqref="G1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4" min="4" style="1" width="13.62"/>
  </cols>
  <sheetData>
    <row r="1" customFormat="false" ht="15" hidden="false" customHeight="false" outlineLevel="0" collapsed="false">
      <c r="C1" s="1" t="s">
        <v>2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customFormat="false" ht="15" hidden="false" customHeight="false" outlineLevel="0" collapsed="false">
      <c r="A2" s="1" t="n">
        <v>1</v>
      </c>
      <c r="B2" s="2" t="s">
        <v>5</v>
      </c>
      <c r="C2" s="1" t="s">
        <v>5</v>
      </c>
      <c r="D2" s="1" t="s">
        <v>125</v>
      </c>
      <c r="E2" s="1" t="s">
        <v>126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2" t="s">
        <v>9</v>
      </c>
      <c r="C3" s="1" t="s">
        <v>9</v>
      </c>
      <c r="D3" s="1" t="s">
        <v>127</v>
      </c>
      <c r="E3" s="1" t="s">
        <v>128</v>
      </c>
      <c r="F3" s="1" t="n">
        <v>10</v>
      </c>
      <c r="I3" s="1" t="n">
        <v>10</v>
      </c>
    </row>
    <row r="4" customFormat="false" ht="15" hidden="false" customHeight="false" outlineLevel="0" collapsed="false">
      <c r="A4" s="1" t="n">
        <v>3</v>
      </c>
      <c r="B4" s="2" t="s">
        <v>12</v>
      </c>
      <c r="C4" s="1" t="s">
        <v>12</v>
      </c>
      <c r="D4" s="1" t="s">
        <v>129</v>
      </c>
      <c r="E4" s="1" t="s">
        <v>87</v>
      </c>
      <c r="F4" s="1" t="n">
        <v>8</v>
      </c>
      <c r="I4" s="1" t="n">
        <v>8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s">
        <v>130</v>
      </c>
      <c r="E5" s="1" t="s">
        <v>131</v>
      </c>
      <c r="F5" s="1" t="n">
        <v>10</v>
      </c>
      <c r="I5" s="1" t="n">
        <v>10</v>
      </c>
    </row>
    <row r="6" customFormat="false" ht="15" hidden="false" customHeight="false" outlineLevel="0" collapsed="false">
      <c r="A6" s="1" t="n">
        <v>5</v>
      </c>
      <c r="B6" s="2" t="s">
        <v>18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21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24</v>
      </c>
      <c r="C8" s="1" t="s">
        <v>24</v>
      </c>
      <c r="D8" s="1" t="s">
        <v>132</v>
      </c>
      <c r="E8" s="1" t="s">
        <v>133</v>
      </c>
      <c r="F8" s="1" t="n">
        <v>9</v>
      </c>
      <c r="I8" s="1" t="n">
        <v>9</v>
      </c>
    </row>
    <row r="9" customFormat="false" ht="15" hidden="false" customHeight="false" outlineLevel="0" collapsed="false">
      <c r="A9" s="1" t="n">
        <v>8</v>
      </c>
      <c r="B9" s="2" t="s">
        <v>27</v>
      </c>
      <c r="C9" s="1" t="s">
        <v>27</v>
      </c>
      <c r="D9" s="1" t="s">
        <v>134</v>
      </c>
      <c r="E9" s="1" t="s">
        <v>135</v>
      </c>
      <c r="F9" s="1" t="n">
        <v>10</v>
      </c>
      <c r="I9" s="1" t="n">
        <v>10</v>
      </c>
    </row>
    <row r="10" customFormat="false" ht="15" hidden="false" customHeight="false" outlineLevel="0" collapsed="false">
      <c r="A10" s="1" t="n">
        <v>9</v>
      </c>
      <c r="B10" s="2" t="s">
        <v>30</v>
      </c>
      <c r="C10" s="1" t="s">
        <v>30</v>
      </c>
      <c r="D10" s="1" t="s">
        <v>136</v>
      </c>
      <c r="E10" s="1" t="s">
        <v>135</v>
      </c>
      <c r="F10" s="1" t="n">
        <v>10</v>
      </c>
      <c r="I10" s="1" t="n">
        <v>10</v>
      </c>
    </row>
    <row r="11" customFormat="false" ht="15" hidden="false" customHeight="false" outlineLevel="0" collapsed="false">
      <c r="A11" s="1" t="n">
        <v>10</v>
      </c>
      <c r="B11" s="2" t="s">
        <v>33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11</v>
      </c>
      <c r="B12" s="2" t="s">
        <v>36</v>
      </c>
      <c r="C12" s="1" t="s">
        <v>36</v>
      </c>
      <c r="D12" s="1" t="s">
        <v>137</v>
      </c>
      <c r="E12" s="1" t="s">
        <v>138</v>
      </c>
      <c r="F12" s="1" t="n">
        <v>10</v>
      </c>
      <c r="I12" s="1" t="n">
        <v>10</v>
      </c>
    </row>
    <row r="13" customFormat="false" ht="15" hidden="false" customHeight="false" outlineLevel="0" collapsed="false">
      <c r="A13" s="1" t="n">
        <v>12</v>
      </c>
      <c r="B13" s="2" t="s">
        <v>39</v>
      </c>
      <c r="C13" s="1" t="s">
        <v>39</v>
      </c>
      <c r="D13" s="1" t="s">
        <v>139</v>
      </c>
      <c r="E13" s="1" t="s">
        <v>140</v>
      </c>
      <c r="F13" s="1" t="n">
        <v>9</v>
      </c>
      <c r="I13" s="1" t="n">
        <v>9</v>
      </c>
    </row>
    <row r="14" customFormat="false" ht="15" hidden="false" customHeight="false" outlineLevel="0" collapsed="false">
      <c r="A14" s="1" t="n">
        <v>13</v>
      </c>
      <c r="B14" s="2" t="s">
        <v>42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14</v>
      </c>
      <c r="B15" s="2" t="s">
        <v>45</v>
      </c>
      <c r="C15" s="1" t="s">
        <v>45</v>
      </c>
      <c r="D15" s="1" t="s">
        <v>141</v>
      </c>
      <c r="E15" s="1" t="s">
        <v>142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15</v>
      </c>
      <c r="B16" s="2" t="s">
        <v>48</v>
      </c>
      <c r="C16" s="1" t="s">
        <v>48</v>
      </c>
      <c r="D16" s="1" t="s">
        <v>143</v>
      </c>
      <c r="E16" s="1" t="s">
        <v>144</v>
      </c>
      <c r="F16" s="1" t="n">
        <v>10</v>
      </c>
      <c r="I16" s="1" t="n">
        <v>10</v>
      </c>
    </row>
    <row r="17" customFormat="false" ht="15" hidden="false" customHeight="false" outlineLevel="0" collapsed="false">
      <c r="A17" s="1" t="n">
        <v>16</v>
      </c>
      <c r="B17" s="2" t="s">
        <v>51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17</v>
      </c>
      <c r="B18" s="2" t="s">
        <v>54</v>
      </c>
      <c r="C18" s="1" t="s">
        <v>54</v>
      </c>
      <c r="D18" s="1" t="s">
        <v>145</v>
      </c>
      <c r="E18" s="1" t="s">
        <v>146</v>
      </c>
      <c r="F18" s="1" t="n">
        <v>10</v>
      </c>
      <c r="I18" s="1" t="n">
        <v>10</v>
      </c>
    </row>
    <row r="19" customFormat="false" ht="15" hidden="false" customHeight="false" outlineLevel="0" collapsed="false">
      <c r="A19" s="1" t="n">
        <v>18</v>
      </c>
      <c r="B19" s="2" t="s">
        <v>75</v>
      </c>
      <c r="C19" s="1" t="s">
        <v>75</v>
      </c>
      <c r="D19" s="1" t="s">
        <v>147</v>
      </c>
      <c r="E19" s="1" t="s">
        <v>148</v>
      </c>
      <c r="F19" s="1" t="n">
        <v>10</v>
      </c>
      <c r="I19" s="1" t="n">
        <v>10</v>
      </c>
    </row>
    <row r="20" customFormat="false" ht="15" hidden="false" customHeight="false" outlineLevel="0" collapsed="false">
      <c r="A20" s="1" t="n">
        <v>19</v>
      </c>
      <c r="B20" s="2" t="s">
        <v>57</v>
      </c>
      <c r="C20" s="1" t="s">
        <v>57</v>
      </c>
      <c r="D20" s="1" t="s">
        <v>149</v>
      </c>
      <c r="E20" s="1" t="s">
        <v>150</v>
      </c>
      <c r="F20" s="1" t="n">
        <v>10</v>
      </c>
      <c r="I20" s="1" t="n">
        <v>10</v>
      </c>
    </row>
    <row r="21" customFormat="false" ht="15" hidden="false" customHeight="false" outlineLevel="0" collapsed="false">
      <c r="A21" s="1" t="n">
        <v>20</v>
      </c>
      <c r="B21" s="2" t="s">
        <v>60</v>
      </c>
      <c r="C21" s="1" t="s">
        <v>60</v>
      </c>
      <c r="D21" s="1" t="s">
        <v>151</v>
      </c>
      <c r="E21" s="1" t="s">
        <v>152</v>
      </c>
      <c r="F21" s="1" t="n">
        <v>7</v>
      </c>
      <c r="I21" s="1" t="n">
        <v>7</v>
      </c>
    </row>
    <row r="22" customFormat="false" ht="15" hidden="false" customHeight="false" outlineLevel="0" collapsed="false">
      <c r="A22" s="1" t="n">
        <v>21</v>
      </c>
      <c r="B22" s="2" t="s">
        <v>63</v>
      </c>
      <c r="C22" s="1" t="s">
        <v>63</v>
      </c>
      <c r="D22" s="1" t="s">
        <v>153</v>
      </c>
      <c r="E22" s="1" t="s">
        <v>154</v>
      </c>
      <c r="F22" s="1" t="n">
        <v>10</v>
      </c>
      <c r="G22" s="1" t="n">
        <f aca="false">AVERAGE(F22:F26)</f>
        <v>7.6</v>
      </c>
      <c r="H22" s="1" t="n">
        <v>9</v>
      </c>
      <c r="I22" s="1" t="n">
        <f aca="false">ROUND(MAX(H22,G22),0)</f>
        <v>9</v>
      </c>
    </row>
    <row r="23" customFormat="false" ht="15" hidden="false" customHeight="false" outlineLevel="0" collapsed="false">
      <c r="C23" s="1" t="s">
        <v>63</v>
      </c>
      <c r="D23" s="1" t="s">
        <v>155</v>
      </c>
      <c r="E23" s="1" t="s">
        <v>156</v>
      </c>
      <c r="F23" s="1" t="n">
        <v>9</v>
      </c>
    </row>
    <row r="24" customFormat="false" ht="15" hidden="false" customHeight="false" outlineLevel="0" collapsed="false">
      <c r="C24" s="1" t="s">
        <v>63</v>
      </c>
      <c r="D24" s="1" t="s">
        <v>157</v>
      </c>
      <c r="E24" s="1" t="s">
        <v>158</v>
      </c>
      <c r="F24" s="1" t="n">
        <v>8</v>
      </c>
    </row>
    <row r="25" customFormat="false" ht="15" hidden="false" customHeight="false" outlineLevel="0" collapsed="false">
      <c r="C25" s="1" t="s">
        <v>63</v>
      </c>
      <c r="D25" s="1" t="s">
        <v>159</v>
      </c>
      <c r="E25" s="1" t="s">
        <v>160</v>
      </c>
      <c r="F25" s="1" t="n">
        <v>6</v>
      </c>
    </row>
    <row r="26" customFormat="false" ht="15" hidden="false" customHeight="false" outlineLevel="0" collapsed="false">
      <c r="C26" s="1" t="s">
        <v>63</v>
      </c>
      <c r="D26" s="1" t="s">
        <v>161</v>
      </c>
      <c r="E26" s="1" t="s">
        <v>162</v>
      </c>
      <c r="F26" s="1" t="n">
        <v>5</v>
      </c>
    </row>
    <row r="27" customFormat="false" ht="15" hidden="false" customHeight="false" outlineLevel="0" collapsed="false">
      <c r="A27" s="1" t="n">
        <v>22</v>
      </c>
      <c r="B27" s="2" t="s">
        <v>66</v>
      </c>
      <c r="C27" s="1" t="s">
        <v>66</v>
      </c>
      <c r="D27" s="1" t="s">
        <v>163</v>
      </c>
      <c r="E27" s="1" t="s">
        <v>164</v>
      </c>
      <c r="F27" s="1" t="n">
        <v>10</v>
      </c>
      <c r="I27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6" colorId="64" zoomScale="90" zoomScaleNormal="90" zoomScalePageLayoutView="100" workbookViewId="0">
      <selection pane="topLeft" activeCell="F2" activeCellId="0" sqref="F2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4" min="4" style="1" width="22.63"/>
  </cols>
  <sheetData>
    <row r="1" customFormat="false" ht="15" hidden="false" customHeight="false" outlineLevel="0" collapsed="false">
      <c r="C1" s="1" t="s">
        <v>2</v>
      </c>
      <c r="D1" s="1" t="s">
        <v>76</v>
      </c>
      <c r="E1" s="1" t="s">
        <v>77</v>
      </c>
      <c r="F1" s="1" t="s">
        <v>78</v>
      </c>
    </row>
    <row r="2" customFormat="false" ht="15" hidden="false" customHeight="false" outlineLevel="0" collapsed="false">
      <c r="A2" s="1" t="n">
        <v>1</v>
      </c>
      <c r="B2" s="2" t="s">
        <v>5</v>
      </c>
      <c r="C2" s="1" t="s">
        <v>5</v>
      </c>
      <c r="D2" s="1" t="s">
        <v>165</v>
      </c>
      <c r="E2" s="1" t="s">
        <v>166</v>
      </c>
      <c r="F2" s="1" t="n">
        <v>7</v>
      </c>
    </row>
    <row r="3" customFormat="false" ht="15" hidden="false" customHeight="false" outlineLevel="0" collapsed="false">
      <c r="A3" s="1" t="n">
        <v>2</v>
      </c>
      <c r="B3" s="2" t="s">
        <v>9</v>
      </c>
      <c r="C3" s="1" t="s">
        <v>9</v>
      </c>
      <c r="D3" s="1" t="s">
        <v>167</v>
      </c>
      <c r="E3" s="1" t="s">
        <v>168</v>
      </c>
      <c r="F3" s="1" t="n">
        <v>10</v>
      </c>
    </row>
    <row r="4" customFormat="false" ht="15" hidden="false" customHeight="false" outlineLevel="0" collapsed="false">
      <c r="A4" s="1" t="n">
        <v>3</v>
      </c>
      <c r="B4" s="2" t="s">
        <v>12</v>
      </c>
      <c r="C4" s="1" t="s">
        <v>12</v>
      </c>
      <c r="D4" s="1" t="s">
        <v>169</v>
      </c>
      <c r="E4" s="1" t="s">
        <v>170</v>
      </c>
      <c r="F4" s="1" t="n">
        <v>9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s">
        <v>171</v>
      </c>
      <c r="E5" s="1" t="s">
        <v>172</v>
      </c>
      <c r="F5" s="1" t="n">
        <v>10</v>
      </c>
    </row>
    <row r="6" customFormat="false" ht="15" hidden="false" customHeight="false" outlineLevel="0" collapsed="false">
      <c r="A6" s="1" t="n">
        <v>5</v>
      </c>
      <c r="B6" s="2" t="s">
        <v>18</v>
      </c>
      <c r="F6" s="1" t="n">
        <v>1</v>
      </c>
    </row>
    <row r="7" customFormat="false" ht="15" hidden="false" customHeight="false" outlineLevel="0" collapsed="false">
      <c r="A7" s="1" t="n">
        <v>6</v>
      </c>
      <c r="B7" s="2" t="s">
        <v>21</v>
      </c>
      <c r="F7" s="1" t="n">
        <v>1</v>
      </c>
    </row>
    <row r="8" customFormat="false" ht="15" hidden="false" customHeight="false" outlineLevel="0" collapsed="false">
      <c r="A8" s="1" t="n">
        <v>7</v>
      </c>
      <c r="B8" s="2" t="s">
        <v>24</v>
      </c>
      <c r="C8" s="1" t="s">
        <v>24</v>
      </c>
      <c r="D8" s="1" t="s">
        <v>173</v>
      </c>
      <c r="E8" s="1" t="s">
        <v>174</v>
      </c>
      <c r="F8" s="1" t="n">
        <v>10</v>
      </c>
    </row>
    <row r="9" customFormat="false" ht="15" hidden="false" customHeight="false" outlineLevel="0" collapsed="false">
      <c r="A9" s="1" t="n">
        <v>8</v>
      </c>
      <c r="B9" s="2" t="s">
        <v>27</v>
      </c>
      <c r="C9" s="1" t="s">
        <v>27</v>
      </c>
      <c r="D9" s="1" t="s">
        <v>175</v>
      </c>
      <c r="E9" s="1" t="s">
        <v>176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2" t="s">
        <v>30</v>
      </c>
      <c r="C10" s="1" t="s">
        <v>30</v>
      </c>
      <c r="D10" s="1" t="s">
        <v>177</v>
      </c>
      <c r="E10" s="1" t="s">
        <v>178</v>
      </c>
      <c r="F10" s="1" t="n">
        <v>8</v>
      </c>
    </row>
    <row r="11" customFormat="false" ht="15" hidden="false" customHeight="false" outlineLevel="0" collapsed="false">
      <c r="A11" s="1" t="n">
        <v>10</v>
      </c>
      <c r="B11" s="2" t="s">
        <v>33</v>
      </c>
      <c r="F11" s="1" t="n">
        <v>1</v>
      </c>
    </row>
    <row r="12" customFormat="false" ht="15" hidden="false" customHeight="false" outlineLevel="0" collapsed="false">
      <c r="A12" s="1" t="n">
        <v>11</v>
      </c>
      <c r="B12" s="2" t="s">
        <v>36</v>
      </c>
      <c r="C12" s="1" t="s">
        <v>36</v>
      </c>
      <c r="D12" s="1" t="s">
        <v>179</v>
      </c>
      <c r="E12" s="1" t="s">
        <v>180</v>
      </c>
      <c r="F12" s="1" t="n">
        <v>10</v>
      </c>
    </row>
    <row r="13" customFormat="false" ht="15" hidden="false" customHeight="false" outlineLevel="0" collapsed="false">
      <c r="A13" s="1" t="n">
        <v>12</v>
      </c>
      <c r="B13" s="2" t="s">
        <v>39</v>
      </c>
      <c r="C13" s="1" t="s">
        <v>39</v>
      </c>
      <c r="D13" s="1" t="s">
        <v>181</v>
      </c>
      <c r="E13" s="1" t="s">
        <v>182</v>
      </c>
      <c r="F13" s="1" t="n">
        <v>9</v>
      </c>
    </row>
    <row r="14" customFormat="false" ht="15" hidden="false" customHeight="false" outlineLevel="0" collapsed="false">
      <c r="A14" s="1" t="n">
        <v>13</v>
      </c>
      <c r="B14" s="2" t="s">
        <v>42</v>
      </c>
      <c r="C14" s="1" t="s">
        <v>42</v>
      </c>
      <c r="D14" s="1" t="s">
        <v>183</v>
      </c>
      <c r="E14" s="1" t="s">
        <v>184</v>
      </c>
      <c r="F14" s="1" t="n">
        <v>7</v>
      </c>
    </row>
    <row r="15" customFormat="false" ht="15" hidden="false" customHeight="false" outlineLevel="0" collapsed="false">
      <c r="A15" s="1" t="n">
        <v>14</v>
      </c>
      <c r="B15" s="2" t="s">
        <v>45</v>
      </c>
      <c r="C15" s="1" t="s">
        <v>45</v>
      </c>
      <c r="D15" s="1" t="s">
        <v>185</v>
      </c>
      <c r="E15" s="1" t="s">
        <v>186</v>
      </c>
      <c r="F15" s="1" t="n">
        <v>7</v>
      </c>
    </row>
    <row r="16" customFormat="false" ht="15" hidden="false" customHeight="false" outlineLevel="0" collapsed="false">
      <c r="A16" s="1" t="n">
        <v>15</v>
      </c>
      <c r="B16" s="2" t="s">
        <v>48</v>
      </c>
      <c r="C16" s="1" t="s">
        <v>48</v>
      </c>
      <c r="D16" s="1" t="s">
        <v>187</v>
      </c>
      <c r="E16" s="1" t="s">
        <v>188</v>
      </c>
      <c r="F16" s="1" t="n">
        <v>7</v>
      </c>
    </row>
    <row r="17" customFormat="false" ht="15" hidden="false" customHeight="false" outlineLevel="0" collapsed="false">
      <c r="A17" s="1" t="n">
        <v>16</v>
      </c>
      <c r="B17" s="2" t="s">
        <v>51</v>
      </c>
      <c r="F17" s="1" t="n">
        <v>1</v>
      </c>
    </row>
    <row r="18" customFormat="false" ht="15" hidden="false" customHeight="false" outlineLevel="0" collapsed="false">
      <c r="A18" s="1" t="n">
        <v>17</v>
      </c>
      <c r="B18" s="2" t="s">
        <v>54</v>
      </c>
      <c r="C18" s="1" t="s">
        <v>54</v>
      </c>
      <c r="D18" s="1" t="s">
        <v>189</v>
      </c>
      <c r="E18" s="1" t="s">
        <v>190</v>
      </c>
      <c r="F18" s="1" t="n">
        <v>8</v>
      </c>
    </row>
    <row r="19" customFormat="false" ht="15" hidden="false" customHeight="false" outlineLevel="0" collapsed="false">
      <c r="A19" s="1" t="n">
        <v>18</v>
      </c>
      <c r="B19" s="2" t="s">
        <v>75</v>
      </c>
      <c r="C19" s="1" t="s">
        <v>75</v>
      </c>
      <c r="D19" s="1" t="s">
        <v>191</v>
      </c>
      <c r="E19" s="1" t="s">
        <v>192</v>
      </c>
      <c r="F19" s="1" t="n">
        <v>7</v>
      </c>
    </row>
    <row r="20" customFormat="false" ht="15" hidden="false" customHeight="false" outlineLevel="0" collapsed="false">
      <c r="A20" s="1" t="n">
        <v>19</v>
      </c>
      <c r="B20" s="2" t="s">
        <v>57</v>
      </c>
      <c r="C20" s="1" t="s">
        <v>57</v>
      </c>
      <c r="D20" s="1" t="s">
        <v>193</v>
      </c>
      <c r="E20" s="1" t="s">
        <v>194</v>
      </c>
      <c r="F20" s="1" t="n">
        <v>9</v>
      </c>
    </row>
    <row r="21" customFormat="false" ht="15" hidden="false" customHeight="false" outlineLevel="0" collapsed="false">
      <c r="A21" s="1" t="n">
        <v>20</v>
      </c>
      <c r="B21" s="2" t="s">
        <v>60</v>
      </c>
      <c r="C21" s="1" t="s">
        <v>60</v>
      </c>
      <c r="D21" s="1" t="s">
        <v>195</v>
      </c>
      <c r="E21" s="1" t="s">
        <v>196</v>
      </c>
      <c r="F21" s="1" t="n">
        <v>7</v>
      </c>
    </row>
    <row r="22" customFormat="false" ht="15" hidden="false" customHeight="false" outlineLevel="0" collapsed="false">
      <c r="A22" s="1" t="n">
        <v>21</v>
      </c>
      <c r="B22" s="2" t="s">
        <v>63</v>
      </c>
      <c r="C22" s="1" t="s">
        <v>63</v>
      </c>
      <c r="D22" s="1" t="s">
        <v>197</v>
      </c>
      <c r="E22" s="1" t="s">
        <v>198</v>
      </c>
      <c r="F22" s="1" t="n">
        <v>9</v>
      </c>
    </row>
    <row r="23" customFormat="false" ht="15" hidden="false" customHeight="false" outlineLevel="0" collapsed="false">
      <c r="A23" s="1" t="n">
        <v>22</v>
      </c>
      <c r="B23" s="2" t="s">
        <v>66</v>
      </c>
      <c r="C23" s="1" t="s">
        <v>66</v>
      </c>
      <c r="D23" s="1" t="s">
        <v>199</v>
      </c>
      <c r="E23" s="1" t="s">
        <v>200</v>
      </c>
      <c r="F23" s="1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8" colorId="64" zoomScale="90" zoomScaleNormal="90" zoomScalePageLayoutView="100" workbookViewId="0">
      <selection pane="topLeft" activeCell="F2" activeCellId="0" sqref="F2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4" min="4" style="1" width="22.63"/>
  </cols>
  <sheetData>
    <row r="1" customFormat="false" ht="15" hidden="false" customHeight="false" outlineLevel="0" collapsed="false">
      <c r="C1" s="1" t="s">
        <v>2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customFormat="false" ht="15" hidden="false" customHeight="false" outlineLevel="0" collapsed="false">
      <c r="A2" s="1" t="n">
        <v>1</v>
      </c>
      <c r="B2" s="2" t="s">
        <v>5</v>
      </c>
      <c r="F2" s="1" t="n">
        <v>1</v>
      </c>
    </row>
    <row r="3" customFormat="false" ht="15" hidden="false" customHeight="false" outlineLevel="0" collapsed="false">
      <c r="A3" s="1" t="n">
        <v>2</v>
      </c>
      <c r="B3" s="2" t="s">
        <v>9</v>
      </c>
      <c r="C3" s="1" t="s">
        <v>9</v>
      </c>
      <c r="D3" s="1" t="s">
        <v>201</v>
      </c>
      <c r="E3" s="1" t="s">
        <v>202</v>
      </c>
      <c r="F3" s="1" t="n">
        <v>9</v>
      </c>
    </row>
    <row r="4" customFormat="false" ht="15" hidden="false" customHeight="false" outlineLevel="0" collapsed="false">
      <c r="A4" s="1" t="n">
        <v>3</v>
      </c>
      <c r="B4" s="2" t="s">
        <v>12</v>
      </c>
      <c r="F4" s="1" t="n">
        <v>1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s">
        <v>203</v>
      </c>
      <c r="E5" s="1" t="s">
        <v>204</v>
      </c>
      <c r="F5" s="1" t="n">
        <v>9</v>
      </c>
    </row>
    <row r="6" customFormat="false" ht="15" hidden="false" customHeight="false" outlineLevel="0" collapsed="false">
      <c r="A6" s="1" t="n">
        <v>5</v>
      </c>
      <c r="B6" s="2" t="s">
        <v>18</v>
      </c>
      <c r="F6" s="1" t="n">
        <v>1</v>
      </c>
    </row>
    <row r="7" customFormat="false" ht="15" hidden="false" customHeight="false" outlineLevel="0" collapsed="false">
      <c r="A7" s="1" t="n">
        <v>6</v>
      </c>
      <c r="B7" s="2" t="s">
        <v>21</v>
      </c>
      <c r="F7" s="1" t="n">
        <v>1</v>
      </c>
    </row>
    <row r="8" customFormat="false" ht="15" hidden="false" customHeight="false" outlineLevel="0" collapsed="false">
      <c r="A8" s="1" t="n">
        <v>7</v>
      </c>
      <c r="B8" s="2" t="s">
        <v>24</v>
      </c>
      <c r="C8" s="1" t="s">
        <v>24</v>
      </c>
      <c r="D8" s="1" t="s">
        <v>205</v>
      </c>
      <c r="E8" s="1" t="s">
        <v>206</v>
      </c>
      <c r="F8" s="1" t="n">
        <v>10</v>
      </c>
    </row>
    <row r="9" customFormat="false" ht="15" hidden="false" customHeight="false" outlineLevel="0" collapsed="false">
      <c r="A9" s="1" t="n">
        <v>8</v>
      </c>
      <c r="B9" s="2" t="s">
        <v>27</v>
      </c>
      <c r="C9" s="1" t="s">
        <v>27</v>
      </c>
      <c r="D9" s="1" t="s">
        <v>207</v>
      </c>
      <c r="E9" s="1" t="s">
        <v>208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2" t="s">
        <v>30</v>
      </c>
      <c r="C10" s="1" t="s">
        <v>30</v>
      </c>
      <c r="D10" s="1" t="s">
        <v>209</v>
      </c>
      <c r="E10" s="1" t="s">
        <v>210</v>
      </c>
      <c r="F10" s="1" t="n">
        <v>10</v>
      </c>
    </row>
    <row r="11" customFormat="false" ht="15" hidden="false" customHeight="false" outlineLevel="0" collapsed="false">
      <c r="A11" s="1" t="n">
        <v>10</v>
      </c>
      <c r="B11" s="2" t="s">
        <v>33</v>
      </c>
      <c r="F11" s="1" t="n">
        <v>1</v>
      </c>
    </row>
    <row r="12" customFormat="false" ht="15" hidden="false" customHeight="false" outlineLevel="0" collapsed="false">
      <c r="A12" s="1" t="n">
        <v>11</v>
      </c>
      <c r="B12" s="2" t="s">
        <v>36</v>
      </c>
      <c r="C12" s="1" t="s">
        <v>36</v>
      </c>
      <c r="D12" s="1" t="s">
        <v>211</v>
      </c>
      <c r="E12" s="1" t="s">
        <v>212</v>
      </c>
      <c r="F12" s="1" t="n">
        <v>7</v>
      </c>
    </row>
    <row r="13" customFormat="false" ht="15" hidden="false" customHeight="false" outlineLevel="0" collapsed="false">
      <c r="A13" s="1" t="n">
        <v>12</v>
      </c>
      <c r="B13" s="2" t="s">
        <v>39</v>
      </c>
      <c r="C13" s="1" t="s">
        <v>39</v>
      </c>
      <c r="D13" s="1" t="s">
        <v>213</v>
      </c>
      <c r="E13" s="1" t="s">
        <v>214</v>
      </c>
      <c r="F13" s="1" t="n">
        <v>7</v>
      </c>
    </row>
    <row r="14" customFormat="false" ht="15" hidden="false" customHeight="false" outlineLevel="0" collapsed="false">
      <c r="A14" s="1" t="n">
        <v>13</v>
      </c>
      <c r="B14" s="2" t="s">
        <v>42</v>
      </c>
      <c r="F14" s="1" t="n">
        <v>1</v>
      </c>
    </row>
    <row r="15" customFormat="false" ht="15" hidden="false" customHeight="false" outlineLevel="0" collapsed="false">
      <c r="A15" s="1" t="n">
        <v>14</v>
      </c>
      <c r="B15" s="2" t="s">
        <v>45</v>
      </c>
      <c r="C15" s="1" t="s">
        <v>45</v>
      </c>
      <c r="D15" s="1" t="s">
        <v>215</v>
      </c>
      <c r="E15" s="1" t="s">
        <v>216</v>
      </c>
      <c r="F15" s="1" t="n">
        <v>7</v>
      </c>
    </row>
    <row r="16" customFormat="false" ht="15" hidden="false" customHeight="false" outlineLevel="0" collapsed="false">
      <c r="A16" s="1" t="n">
        <v>15</v>
      </c>
      <c r="B16" s="2" t="s">
        <v>48</v>
      </c>
      <c r="C16" s="1" t="s">
        <v>48</v>
      </c>
      <c r="D16" s="1" t="s">
        <v>217</v>
      </c>
      <c r="E16" s="1" t="s">
        <v>218</v>
      </c>
      <c r="F16" s="1" t="n">
        <v>1</v>
      </c>
    </row>
    <row r="17" customFormat="false" ht="15" hidden="false" customHeight="false" outlineLevel="0" collapsed="false">
      <c r="A17" s="1" t="n">
        <v>16</v>
      </c>
      <c r="B17" s="2" t="s">
        <v>51</v>
      </c>
      <c r="F17" s="1" t="n">
        <v>1</v>
      </c>
    </row>
    <row r="18" customFormat="false" ht="15" hidden="false" customHeight="false" outlineLevel="0" collapsed="false">
      <c r="A18" s="1" t="n">
        <v>17</v>
      </c>
      <c r="B18" s="2" t="s">
        <v>54</v>
      </c>
      <c r="F18" s="1" t="n">
        <v>1</v>
      </c>
    </row>
    <row r="19" customFormat="false" ht="15" hidden="false" customHeight="false" outlineLevel="0" collapsed="false">
      <c r="A19" s="1" t="n">
        <v>18</v>
      </c>
      <c r="B19" s="2" t="s">
        <v>75</v>
      </c>
      <c r="F19" s="1" t="n">
        <v>1</v>
      </c>
    </row>
    <row r="20" customFormat="false" ht="15" hidden="false" customHeight="false" outlineLevel="0" collapsed="false">
      <c r="A20" s="1" t="n">
        <v>19</v>
      </c>
      <c r="B20" s="2" t="s">
        <v>57</v>
      </c>
      <c r="C20" s="1" t="s">
        <v>57</v>
      </c>
      <c r="D20" s="1" t="s">
        <v>219</v>
      </c>
      <c r="E20" s="1" t="s">
        <v>220</v>
      </c>
      <c r="F20" s="1" t="n">
        <v>1</v>
      </c>
    </row>
    <row r="21" customFormat="false" ht="15" hidden="false" customHeight="false" outlineLevel="0" collapsed="false">
      <c r="A21" s="1" t="n">
        <v>20</v>
      </c>
      <c r="B21" s="2" t="s">
        <v>60</v>
      </c>
      <c r="F21" s="1" t="n">
        <v>1</v>
      </c>
    </row>
    <row r="22" customFormat="false" ht="15" hidden="false" customHeight="false" outlineLevel="0" collapsed="false">
      <c r="A22" s="1" t="n">
        <v>21</v>
      </c>
      <c r="B22" s="2" t="s">
        <v>63</v>
      </c>
      <c r="C22" s="1" t="s">
        <v>63</v>
      </c>
      <c r="D22" s="1" t="s">
        <v>221</v>
      </c>
      <c r="E22" s="1" t="s">
        <v>222</v>
      </c>
      <c r="F22" s="1" t="n">
        <v>10</v>
      </c>
    </row>
    <row r="23" customFormat="false" ht="15" hidden="false" customHeight="false" outlineLevel="0" collapsed="false">
      <c r="C23" s="1" t="s">
        <v>63</v>
      </c>
      <c r="D23" s="1" t="s">
        <v>223</v>
      </c>
      <c r="E23" s="1" t="s">
        <v>224</v>
      </c>
      <c r="F23" s="1" t="n">
        <v>6</v>
      </c>
    </row>
    <row r="24" customFormat="false" ht="15" hidden="false" customHeight="false" outlineLevel="0" collapsed="false">
      <c r="A24" s="1" t="n">
        <v>22</v>
      </c>
      <c r="B24" s="2" t="s">
        <v>66</v>
      </c>
      <c r="F24" s="1" t="n">
        <v>1</v>
      </c>
    </row>
    <row r="25" customFormat="false" ht="15" hidden="false" customHeight="false" outlineLevel="0" collapsed="false">
      <c r="F25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3" activeCellId="0" sqref="G13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15.56"/>
    <col collapsed="false" customWidth="true" hidden="false" outlineLevel="0" max="2" min="2" style="1" width="22.56"/>
    <col collapsed="false" customWidth="true" hidden="false" outlineLevel="0" max="3" min="3" style="1" width="21.19"/>
  </cols>
  <sheetData>
    <row r="1" customFormat="false" ht="15" hidden="false" customHeight="false" outlineLevel="0" collapsed="false">
      <c r="A1" s="1" t="s">
        <v>2</v>
      </c>
      <c r="B1" s="1" t="s">
        <v>76</v>
      </c>
      <c r="C1" s="1" t="s">
        <v>77</v>
      </c>
      <c r="D1" s="1" t="s">
        <v>122</v>
      </c>
      <c r="E1" s="1" t="s">
        <v>79</v>
      </c>
      <c r="F1" s="1" t="s">
        <v>80</v>
      </c>
      <c r="G1" s="1" t="s">
        <v>81</v>
      </c>
    </row>
    <row r="2" customFormat="false" ht="15" hidden="false" customHeight="false" outlineLevel="0" collapsed="false">
      <c r="A2" s="1" t="s">
        <v>5</v>
      </c>
      <c r="B2" s="1" t="s">
        <v>225</v>
      </c>
      <c r="C2" s="1" t="s">
        <v>226</v>
      </c>
      <c r="D2" s="1" t="n">
        <v>7</v>
      </c>
      <c r="G2" s="1" t="n">
        <v>7</v>
      </c>
    </row>
    <row r="3" customFormat="false" ht="15" hidden="false" customHeight="false" outlineLevel="0" collapsed="false">
      <c r="A3" s="1" t="s">
        <v>12</v>
      </c>
      <c r="B3" s="1" t="s">
        <v>227</v>
      </c>
      <c r="C3" s="1" t="s">
        <v>228</v>
      </c>
      <c r="D3" s="1" t="n">
        <v>9</v>
      </c>
      <c r="G3" s="1" t="n">
        <v>9</v>
      </c>
    </row>
    <row r="4" customFormat="false" ht="15" hidden="false" customHeight="false" outlineLevel="0" collapsed="false">
      <c r="A4" s="1" t="s">
        <v>21</v>
      </c>
      <c r="B4" s="1" t="s">
        <v>229</v>
      </c>
      <c r="C4" s="1" t="s">
        <v>230</v>
      </c>
      <c r="D4" s="1" t="n">
        <v>6</v>
      </c>
      <c r="E4" s="1" t="n">
        <f aca="false">AVERAGE(D4:D10)</f>
        <v>4.71428571428571</v>
      </c>
      <c r="F4" s="1" t="n">
        <v>5</v>
      </c>
      <c r="G4" s="1" t="n">
        <f aca="false">ROUND(MAX(F4,E4),0)</f>
        <v>5</v>
      </c>
    </row>
    <row r="5" customFormat="false" ht="15" hidden="false" customHeight="false" outlineLevel="0" collapsed="false">
      <c r="A5" s="1" t="s">
        <v>21</v>
      </c>
      <c r="B5" s="1" t="s">
        <v>231</v>
      </c>
      <c r="C5" s="1" t="s">
        <v>232</v>
      </c>
      <c r="D5" s="1" t="n">
        <v>5</v>
      </c>
    </row>
    <row r="6" customFormat="false" ht="15" hidden="false" customHeight="false" outlineLevel="0" collapsed="false">
      <c r="A6" s="1" t="s">
        <v>21</v>
      </c>
      <c r="B6" s="1" t="s">
        <v>233</v>
      </c>
      <c r="C6" s="1" t="s">
        <v>234</v>
      </c>
      <c r="D6" s="1" t="n">
        <v>5</v>
      </c>
    </row>
    <row r="7" customFormat="false" ht="15" hidden="false" customHeight="false" outlineLevel="0" collapsed="false">
      <c r="A7" s="1" t="s">
        <v>21</v>
      </c>
      <c r="B7" s="1" t="s">
        <v>235</v>
      </c>
      <c r="C7" s="1" t="s">
        <v>236</v>
      </c>
      <c r="D7" s="1" t="n">
        <v>5</v>
      </c>
    </row>
    <row r="8" customFormat="false" ht="15" hidden="false" customHeight="false" outlineLevel="0" collapsed="false">
      <c r="A8" s="1" t="s">
        <v>21</v>
      </c>
      <c r="B8" s="1" t="s">
        <v>237</v>
      </c>
      <c r="C8" s="1" t="s">
        <v>238</v>
      </c>
      <c r="D8" s="1" t="n">
        <v>5</v>
      </c>
    </row>
    <row r="9" customFormat="false" ht="15" hidden="false" customHeight="false" outlineLevel="0" collapsed="false">
      <c r="A9" s="1" t="s">
        <v>21</v>
      </c>
      <c r="B9" s="1" t="s">
        <v>239</v>
      </c>
      <c r="C9" s="1" t="s">
        <v>236</v>
      </c>
      <c r="D9" s="1" t="n">
        <v>4</v>
      </c>
    </row>
    <row r="10" customFormat="false" ht="15" hidden="false" customHeight="false" outlineLevel="0" collapsed="false">
      <c r="A10" s="1" t="s">
        <v>21</v>
      </c>
      <c r="B10" s="1" t="s">
        <v>240</v>
      </c>
      <c r="C10" s="1" t="s">
        <v>241</v>
      </c>
      <c r="D10" s="1" t="n">
        <v>3</v>
      </c>
    </row>
    <row r="11" customFormat="false" ht="15" hidden="false" customHeight="false" outlineLevel="0" collapsed="false">
      <c r="A11" s="1" t="s">
        <v>48</v>
      </c>
      <c r="B11" s="1" t="s">
        <v>242</v>
      </c>
      <c r="C11" s="1" t="s">
        <v>243</v>
      </c>
      <c r="D11" s="1" t="n">
        <v>7</v>
      </c>
      <c r="G11" s="1" t="n">
        <v>7</v>
      </c>
    </row>
    <row r="12" customFormat="false" ht="15" hidden="false" customHeight="false" outlineLevel="0" collapsed="false">
      <c r="A12" s="1" t="s">
        <v>54</v>
      </c>
      <c r="B12" s="1" t="s">
        <v>233</v>
      </c>
      <c r="C12" s="1" t="s">
        <v>244</v>
      </c>
      <c r="D12" s="1" t="n">
        <v>6</v>
      </c>
      <c r="G12" s="1" t="n">
        <v>6</v>
      </c>
    </row>
    <row r="13" customFormat="false" ht="15" hidden="false" customHeight="false" outlineLevel="0" collapsed="false">
      <c r="A13" s="1" t="s">
        <v>60</v>
      </c>
      <c r="B13" s="1" t="s">
        <v>245</v>
      </c>
      <c r="C13" s="1" t="s">
        <v>124</v>
      </c>
      <c r="D13" s="1" t="n">
        <v>5</v>
      </c>
      <c r="G13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I27" activeCellId="0" sqref="I27"/>
    </sheetView>
  </sheetViews>
  <sheetFormatPr defaultColWidth="9.44921875" defaultRowHeight="12.8" zeroHeight="false" outlineLevelRow="0" outlineLevelCol="0"/>
  <cols>
    <col collapsed="false" customWidth="true" hidden="false" outlineLevel="0" max="2" min="2" style="1" width="20.07"/>
    <col collapsed="false" customWidth="true" hidden="false" outlineLevel="0" max="3" min="3" style="1" width="18.04"/>
    <col collapsed="false" customWidth="true" hidden="false" outlineLevel="0" max="4" min="4" style="1" width="16.35"/>
    <col collapsed="false" customWidth="true" hidden="false" outlineLevel="0" max="5" min="5" style="1" width="21.19"/>
  </cols>
  <sheetData>
    <row r="1" customFormat="false" ht="15" hidden="false" customHeight="false" outlineLevel="0" collapsed="false">
      <c r="C1" s="1" t="s">
        <v>2</v>
      </c>
      <c r="D1" s="1" t="s">
        <v>1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customFormat="false" ht="15" hidden="false" customHeight="false" outlineLevel="0" collapsed="false">
      <c r="A2" s="1" t="n">
        <v>1</v>
      </c>
      <c r="B2" s="2" t="s">
        <v>5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9</v>
      </c>
      <c r="C3" s="1" t="s">
        <v>9</v>
      </c>
      <c r="D3" s="1" t="s">
        <v>8</v>
      </c>
      <c r="E3" s="1" t="s">
        <v>246</v>
      </c>
      <c r="F3" s="1" t="n">
        <v>8</v>
      </c>
      <c r="I3" s="1" t="n">
        <v>8</v>
      </c>
    </row>
    <row r="4" customFormat="false" ht="15" hidden="false" customHeight="false" outlineLevel="0" collapsed="false">
      <c r="A4" s="1" t="n">
        <v>3</v>
      </c>
      <c r="B4" s="2" t="s">
        <v>12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s">
        <v>14</v>
      </c>
      <c r="E5" s="1" t="s">
        <v>247</v>
      </c>
      <c r="F5" s="1" t="n">
        <v>8</v>
      </c>
      <c r="I5" s="1" t="n">
        <v>8</v>
      </c>
    </row>
    <row r="6" customFormat="false" ht="15" hidden="false" customHeight="false" outlineLevel="0" collapsed="false">
      <c r="A6" s="1" t="n">
        <v>5</v>
      </c>
      <c r="B6" s="2" t="s">
        <v>18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21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24</v>
      </c>
      <c r="C8" s="1" t="s">
        <v>24</v>
      </c>
      <c r="D8" s="1" t="s">
        <v>23</v>
      </c>
      <c r="E8" s="1" t="s">
        <v>248</v>
      </c>
      <c r="F8" s="1" t="n">
        <v>6</v>
      </c>
      <c r="I8" s="1" t="n">
        <v>6</v>
      </c>
    </row>
    <row r="9" customFormat="false" ht="15" hidden="false" customHeight="false" outlineLevel="0" collapsed="false">
      <c r="A9" s="1" t="n">
        <v>8</v>
      </c>
      <c r="B9" s="2" t="s">
        <v>27</v>
      </c>
      <c r="C9" s="1" t="s">
        <v>27</v>
      </c>
      <c r="D9" s="1" t="s">
        <v>26</v>
      </c>
      <c r="E9" s="1" t="s">
        <v>249</v>
      </c>
      <c r="F9" s="1" t="n">
        <v>10</v>
      </c>
      <c r="G9" s="1" t="n">
        <f aca="false">AVERAGE(F9:F10)</f>
        <v>9.5</v>
      </c>
      <c r="H9" s="1" t="n">
        <v>9</v>
      </c>
      <c r="I9" s="1" t="n">
        <f aca="false">ROUND(MAX(H9,G9),0)</f>
        <v>10</v>
      </c>
    </row>
    <row r="10" customFormat="false" ht="15" hidden="false" customHeight="false" outlineLevel="0" collapsed="false">
      <c r="C10" s="1" t="s">
        <v>27</v>
      </c>
      <c r="D10" s="1" t="s">
        <v>26</v>
      </c>
      <c r="E10" s="1" t="s">
        <v>208</v>
      </c>
      <c r="F10" s="1" t="n">
        <v>9</v>
      </c>
    </row>
    <row r="11" customFormat="false" ht="15" hidden="false" customHeight="false" outlineLevel="0" collapsed="false">
      <c r="A11" s="1" t="n">
        <v>9</v>
      </c>
      <c r="B11" s="2" t="s">
        <v>30</v>
      </c>
      <c r="C11" s="1" t="s">
        <v>30</v>
      </c>
      <c r="D11" s="1" t="s">
        <v>29</v>
      </c>
      <c r="E11" s="1" t="s">
        <v>250</v>
      </c>
      <c r="F11" s="1" t="n">
        <v>7</v>
      </c>
      <c r="G11" s="1" t="n">
        <f aca="false">AVERAGE(F11:F12)</f>
        <v>6.5</v>
      </c>
      <c r="H11" s="1" t="n">
        <v>6</v>
      </c>
      <c r="I11" s="1" t="n">
        <f aca="false">ROUND(MAX(H11,G11),0)</f>
        <v>7</v>
      </c>
    </row>
    <row r="12" customFormat="false" ht="15" hidden="false" customHeight="false" outlineLevel="0" collapsed="false">
      <c r="C12" s="1" t="s">
        <v>30</v>
      </c>
      <c r="D12" s="1" t="s">
        <v>29</v>
      </c>
      <c r="E12" s="1" t="s">
        <v>251</v>
      </c>
      <c r="F12" s="1" t="n">
        <v>6</v>
      </c>
    </row>
    <row r="13" customFormat="false" ht="15" hidden="false" customHeight="false" outlineLevel="0" collapsed="false">
      <c r="A13" s="1" t="n">
        <v>10</v>
      </c>
      <c r="B13" s="2" t="s">
        <v>33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11</v>
      </c>
      <c r="B14" s="2" t="s">
        <v>36</v>
      </c>
      <c r="C14" s="1" t="s">
        <v>36</v>
      </c>
      <c r="D14" s="1" t="s">
        <v>35</v>
      </c>
      <c r="E14" s="1" t="s">
        <v>252</v>
      </c>
      <c r="F14" s="1" t="n">
        <v>10</v>
      </c>
      <c r="I14" s="1" t="n">
        <v>10</v>
      </c>
    </row>
    <row r="15" customFormat="false" ht="15" hidden="false" customHeight="false" outlineLevel="0" collapsed="false">
      <c r="A15" s="1" t="n">
        <v>12</v>
      </c>
      <c r="B15" s="2" t="s">
        <v>39</v>
      </c>
      <c r="C15" s="1" t="s">
        <v>39</v>
      </c>
      <c r="D15" s="1" t="s">
        <v>38</v>
      </c>
      <c r="E15" s="1" t="s">
        <v>253</v>
      </c>
      <c r="F15" s="1" t="n">
        <v>9</v>
      </c>
      <c r="I15" s="1" t="n">
        <v>9</v>
      </c>
    </row>
    <row r="16" customFormat="false" ht="15" hidden="false" customHeight="false" outlineLevel="0" collapsed="false">
      <c r="A16" s="1" t="n">
        <v>13</v>
      </c>
      <c r="B16" s="2" t="s">
        <v>42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14</v>
      </c>
      <c r="B17" s="2" t="s">
        <v>45</v>
      </c>
      <c r="C17" s="1" t="s">
        <v>45</v>
      </c>
      <c r="D17" s="1" t="s">
        <v>44</v>
      </c>
      <c r="E17" s="1" t="s">
        <v>254</v>
      </c>
      <c r="F17" s="1" t="n">
        <v>6</v>
      </c>
      <c r="I17" s="1" t="n">
        <v>6</v>
      </c>
    </row>
    <row r="18" customFormat="false" ht="15" hidden="false" customHeight="false" outlineLevel="0" collapsed="false">
      <c r="A18" s="1" t="n">
        <v>15</v>
      </c>
      <c r="B18" s="2" t="s">
        <v>48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16</v>
      </c>
      <c r="B19" s="2" t="s">
        <v>51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17</v>
      </c>
      <c r="B20" s="2" t="s">
        <v>54</v>
      </c>
      <c r="F20" s="1" t="n">
        <v>1</v>
      </c>
      <c r="I20" s="1" t="n">
        <v>1</v>
      </c>
    </row>
    <row r="21" customFormat="false" ht="15" hidden="false" customHeight="false" outlineLevel="0" collapsed="false">
      <c r="A21" s="1" t="n">
        <v>18</v>
      </c>
      <c r="B21" s="2" t="s">
        <v>75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19</v>
      </c>
      <c r="B22" s="2" t="s">
        <v>57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20</v>
      </c>
      <c r="B23" s="2" t="s">
        <v>60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21</v>
      </c>
      <c r="B24" s="2" t="s">
        <v>63</v>
      </c>
      <c r="C24" s="1" t="s">
        <v>63</v>
      </c>
      <c r="D24" s="1" t="s">
        <v>62</v>
      </c>
      <c r="E24" s="1" t="s">
        <v>255</v>
      </c>
      <c r="F24" s="1" t="n">
        <v>7</v>
      </c>
      <c r="G24" s="1" t="n">
        <f aca="false">AVERAGE(F24:F26)</f>
        <v>5.66666666666667</v>
      </c>
      <c r="H24" s="1" t="n">
        <v>5</v>
      </c>
      <c r="I24" s="1" t="n">
        <f aca="false">ROUND(MAX(H24,G24),0)</f>
        <v>6</v>
      </c>
    </row>
    <row r="25" customFormat="false" ht="15" hidden="false" customHeight="false" outlineLevel="0" collapsed="false">
      <c r="C25" s="1" t="s">
        <v>63</v>
      </c>
      <c r="D25" s="1" t="s">
        <v>62</v>
      </c>
      <c r="E25" s="1" t="s">
        <v>256</v>
      </c>
      <c r="F25" s="1" t="n">
        <v>5</v>
      </c>
    </row>
    <row r="26" customFormat="false" ht="15" hidden="false" customHeight="false" outlineLevel="0" collapsed="false">
      <c r="C26" s="1" t="s">
        <v>63</v>
      </c>
      <c r="D26" s="1" t="s">
        <v>62</v>
      </c>
      <c r="E26" s="1" t="s">
        <v>257</v>
      </c>
      <c r="F26" s="1" t="n">
        <v>5</v>
      </c>
    </row>
    <row r="27" customFormat="false" ht="15" hidden="false" customHeight="false" outlineLevel="0" collapsed="false">
      <c r="A27" s="1" t="n">
        <v>22</v>
      </c>
      <c r="B27" s="2" t="s">
        <v>66</v>
      </c>
      <c r="F27" s="1" t="n">
        <v>1</v>
      </c>
      <c r="I27" s="1" t="n">
        <v>1</v>
      </c>
    </row>
    <row r="28" customFormat="false" ht="15" hidden="false" customHeight="false" outlineLevel="0" collapsed="false">
      <c r="G28" s="1" t="s">
        <v>258</v>
      </c>
      <c r="I28" s="1" t="n">
        <f aca="false">COUNTIF(I2:I27,"&gt;0")</f>
        <v>22</v>
      </c>
    </row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" activeCellId="0" sqref="F2"/>
    </sheetView>
  </sheetViews>
  <sheetFormatPr defaultColWidth="9.44921875" defaultRowHeight="12.8" zeroHeight="false" outlineLevelRow="0" outlineLevelCol="0"/>
  <cols>
    <col collapsed="false" customWidth="true" hidden="false" outlineLevel="0" max="1" min="1" style="1" width="3.32"/>
    <col collapsed="false" customWidth="true" hidden="false" outlineLevel="0" max="4" min="2" style="1" width="20.2"/>
    <col collapsed="false" customWidth="true" hidden="false" outlineLevel="0" max="5" min="5" style="1" width="21.95"/>
  </cols>
  <sheetData>
    <row r="1" customFormat="false" ht="15" hidden="false" customHeight="false" outlineLevel="0" collapsed="false">
      <c r="C1" s="1" t="s">
        <v>2</v>
      </c>
      <c r="D1" s="1" t="s">
        <v>1</v>
      </c>
      <c r="E1" s="1" t="s">
        <v>77</v>
      </c>
      <c r="F1" s="1" t="s">
        <v>78</v>
      </c>
    </row>
    <row r="2" customFormat="false" ht="15" hidden="false" customHeight="false" outlineLevel="0" collapsed="false">
      <c r="A2" s="1" t="n">
        <v>1</v>
      </c>
      <c r="B2" s="2" t="s">
        <v>5</v>
      </c>
      <c r="C2" s="1" t="s">
        <v>5</v>
      </c>
      <c r="D2" s="1" t="s">
        <v>4</v>
      </c>
      <c r="E2" s="1" t="s">
        <v>259</v>
      </c>
      <c r="F2" s="1" t="n">
        <v>8.5</v>
      </c>
    </row>
    <row r="3" customFormat="false" ht="15" hidden="false" customHeight="false" outlineLevel="0" collapsed="false">
      <c r="A3" s="1" t="n">
        <v>2</v>
      </c>
      <c r="B3" s="2" t="s">
        <v>9</v>
      </c>
      <c r="C3" s="1" t="s">
        <v>9</v>
      </c>
      <c r="D3" s="1" t="s">
        <v>8</v>
      </c>
      <c r="E3" s="1" t="s">
        <v>260</v>
      </c>
      <c r="F3" s="1" t="n">
        <v>7</v>
      </c>
    </row>
    <row r="4" customFormat="false" ht="15" hidden="false" customHeight="false" outlineLevel="0" collapsed="false">
      <c r="A4" s="1" t="n">
        <v>3</v>
      </c>
      <c r="B4" s="2" t="s">
        <v>12</v>
      </c>
      <c r="C4" s="1" t="s">
        <v>12</v>
      </c>
      <c r="D4" s="1" t="s">
        <v>11</v>
      </c>
      <c r="E4" s="1" t="s">
        <v>261</v>
      </c>
      <c r="F4" s="1" t="n">
        <v>9</v>
      </c>
    </row>
    <row r="5" customFormat="false" ht="15" hidden="false" customHeight="false" outlineLevel="0" collapsed="false">
      <c r="A5" s="1" t="n">
        <v>4</v>
      </c>
      <c r="B5" s="2" t="s">
        <v>15</v>
      </c>
      <c r="C5" s="1" t="s">
        <v>15</v>
      </c>
      <c r="D5" s="1" t="s">
        <v>14</v>
      </c>
      <c r="E5" s="1" t="s">
        <v>262</v>
      </c>
      <c r="F5" s="1" t="n">
        <v>9</v>
      </c>
    </row>
    <row r="6" customFormat="false" ht="15" hidden="false" customHeight="false" outlineLevel="0" collapsed="false">
      <c r="A6" s="1" t="n">
        <v>5</v>
      </c>
      <c r="B6" s="2" t="s">
        <v>18</v>
      </c>
      <c r="F6" s="1" t="n">
        <v>1</v>
      </c>
    </row>
    <row r="7" customFormat="false" ht="15" hidden="false" customHeight="false" outlineLevel="0" collapsed="false">
      <c r="A7" s="1" t="n">
        <v>6</v>
      </c>
      <c r="B7" s="2" t="s">
        <v>21</v>
      </c>
      <c r="C7" s="1" t="s">
        <v>21</v>
      </c>
      <c r="D7" s="1" t="s">
        <v>20</v>
      </c>
      <c r="E7" s="1" t="s">
        <v>263</v>
      </c>
      <c r="F7" s="1" t="n">
        <v>10</v>
      </c>
    </row>
    <row r="8" customFormat="false" ht="15" hidden="false" customHeight="false" outlineLevel="0" collapsed="false">
      <c r="A8" s="1" t="n">
        <v>7</v>
      </c>
      <c r="B8" s="2" t="s">
        <v>24</v>
      </c>
      <c r="C8" s="1" t="s">
        <v>24</v>
      </c>
      <c r="D8" s="1" t="s">
        <v>23</v>
      </c>
      <c r="E8" s="1" t="s">
        <v>264</v>
      </c>
      <c r="F8" s="1" t="n">
        <v>8.75</v>
      </c>
    </row>
    <row r="9" customFormat="false" ht="15" hidden="false" customHeight="false" outlineLevel="0" collapsed="false">
      <c r="A9" s="1" t="n">
        <v>8</v>
      </c>
      <c r="B9" s="2" t="s">
        <v>27</v>
      </c>
      <c r="C9" s="1" t="s">
        <v>27</v>
      </c>
      <c r="D9" s="1" t="s">
        <v>26</v>
      </c>
      <c r="E9" s="1" t="s">
        <v>265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2" t="s">
        <v>30</v>
      </c>
      <c r="C10" s="1" t="s">
        <v>30</v>
      </c>
      <c r="D10" s="1" t="s">
        <v>29</v>
      </c>
      <c r="E10" s="1" t="s">
        <v>266</v>
      </c>
      <c r="F10" s="1" t="n">
        <v>8.75</v>
      </c>
    </row>
    <row r="11" customFormat="false" ht="15" hidden="false" customHeight="false" outlineLevel="0" collapsed="false">
      <c r="A11" s="1" t="n">
        <v>10</v>
      </c>
      <c r="B11" s="2" t="s">
        <v>33</v>
      </c>
      <c r="C11" s="1" t="s">
        <v>33</v>
      </c>
      <c r="D11" s="1" t="s">
        <v>32</v>
      </c>
      <c r="E11" s="1" t="s">
        <v>267</v>
      </c>
      <c r="F11" s="1" t="n">
        <v>8.25</v>
      </c>
    </row>
    <row r="12" customFormat="false" ht="15" hidden="false" customHeight="false" outlineLevel="0" collapsed="false">
      <c r="A12" s="1" t="n">
        <v>11</v>
      </c>
      <c r="B12" s="2" t="s">
        <v>36</v>
      </c>
      <c r="C12" s="1" t="s">
        <v>36</v>
      </c>
      <c r="D12" s="1" t="s">
        <v>35</v>
      </c>
      <c r="E12" s="1" t="s">
        <v>268</v>
      </c>
      <c r="F12" s="1" t="n">
        <v>8.75</v>
      </c>
    </row>
    <row r="13" customFormat="false" ht="15" hidden="false" customHeight="false" outlineLevel="0" collapsed="false">
      <c r="A13" s="1" t="n">
        <v>12</v>
      </c>
      <c r="B13" s="2" t="s">
        <v>39</v>
      </c>
      <c r="C13" s="1" t="s">
        <v>39</v>
      </c>
      <c r="D13" s="1" t="s">
        <v>38</v>
      </c>
      <c r="E13" s="1" t="s">
        <v>269</v>
      </c>
      <c r="F13" s="1" t="n">
        <v>9.5</v>
      </c>
    </row>
    <row r="14" customFormat="false" ht="15" hidden="false" customHeight="false" outlineLevel="0" collapsed="false">
      <c r="A14" s="1" t="n">
        <v>13</v>
      </c>
      <c r="B14" s="2" t="s">
        <v>42</v>
      </c>
      <c r="C14" s="1" t="s">
        <v>42</v>
      </c>
      <c r="D14" s="1" t="s">
        <v>41</v>
      </c>
      <c r="E14" s="1" t="s">
        <v>270</v>
      </c>
      <c r="F14" s="1" t="n">
        <v>7.25</v>
      </c>
    </row>
    <row r="15" customFormat="false" ht="15" hidden="false" customHeight="false" outlineLevel="0" collapsed="false">
      <c r="A15" s="1" t="n">
        <v>14</v>
      </c>
      <c r="B15" s="2" t="s">
        <v>45</v>
      </c>
      <c r="C15" s="1" t="s">
        <v>45</v>
      </c>
      <c r="D15" s="1" t="s">
        <v>44</v>
      </c>
      <c r="E15" s="1" t="s">
        <v>271</v>
      </c>
      <c r="F15" s="1" t="n">
        <v>9.25</v>
      </c>
    </row>
    <row r="16" customFormat="false" ht="15" hidden="false" customHeight="false" outlineLevel="0" collapsed="false">
      <c r="A16" s="1" t="n">
        <v>15</v>
      </c>
      <c r="B16" s="2" t="s">
        <v>48</v>
      </c>
      <c r="C16" s="1" t="s">
        <v>48</v>
      </c>
      <c r="D16" s="1" t="s">
        <v>47</v>
      </c>
      <c r="E16" s="1" t="s">
        <v>272</v>
      </c>
      <c r="F16" s="1" t="n">
        <v>7.25</v>
      </c>
    </row>
    <row r="17" customFormat="false" ht="15" hidden="false" customHeight="false" outlineLevel="0" collapsed="false">
      <c r="A17" s="1" t="n">
        <v>16</v>
      </c>
      <c r="B17" s="2" t="s">
        <v>51</v>
      </c>
      <c r="F17" s="1" t="n">
        <v>1</v>
      </c>
    </row>
    <row r="18" customFormat="false" ht="15" hidden="false" customHeight="false" outlineLevel="0" collapsed="false">
      <c r="A18" s="1" t="n">
        <v>17</v>
      </c>
      <c r="B18" s="2" t="s">
        <v>54</v>
      </c>
      <c r="C18" s="1" t="s">
        <v>54</v>
      </c>
      <c r="D18" s="1" t="s">
        <v>53</v>
      </c>
      <c r="E18" s="1" t="s">
        <v>273</v>
      </c>
      <c r="F18" s="1" t="n">
        <v>9</v>
      </c>
    </row>
    <row r="19" customFormat="false" ht="15" hidden="false" customHeight="false" outlineLevel="0" collapsed="false">
      <c r="A19" s="1" t="n">
        <v>18</v>
      </c>
      <c r="B19" s="2" t="s">
        <v>75</v>
      </c>
      <c r="C19" s="1" t="s">
        <v>75</v>
      </c>
      <c r="D19" s="1" t="s">
        <v>274</v>
      </c>
      <c r="E19" s="1" t="s">
        <v>275</v>
      </c>
      <c r="F19" s="1" t="n">
        <v>8.5</v>
      </c>
    </row>
    <row r="20" customFormat="false" ht="15" hidden="false" customHeight="false" outlineLevel="0" collapsed="false">
      <c r="A20" s="1" t="n">
        <v>19</v>
      </c>
      <c r="B20" s="2" t="s">
        <v>57</v>
      </c>
      <c r="C20" s="1" t="s">
        <v>57</v>
      </c>
      <c r="D20" s="1" t="s">
        <v>56</v>
      </c>
      <c r="E20" s="1" t="s">
        <v>276</v>
      </c>
      <c r="F20" s="1" t="n">
        <v>8.5</v>
      </c>
    </row>
    <row r="21" customFormat="false" ht="15" hidden="false" customHeight="false" outlineLevel="0" collapsed="false">
      <c r="A21" s="1" t="n">
        <v>20</v>
      </c>
      <c r="B21" s="2" t="s">
        <v>60</v>
      </c>
      <c r="C21" s="1" t="s">
        <v>60</v>
      </c>
      <c r="D21" s="1" t="s">
        <v>59</v>
      </c>
      <c r="E21" s="1" t="s">
        <v>277</v>
      </c>
      <c r="F21" s="1" t="n">
        <v>9</v>
      </c>
    </row>
    <row r="22" customFormat="false" ht="15" hidden="false" customHeight="false" outlineLevel="0" collapsed="false">
      <c r="A22" s="1" t="n">
        <v>21</v>
      </c>
      <c r="B22" s="2" t="s">
        <v>63</v>
      </c>
      <c r="C22" s="1" t="s">
        <v>63</v>
      </c>
      <c r="D22" s="1" t="s">
        <v>62</v>
      </c>
      <c r="E22" s="1" t="s">
        <v>278</v>
      </c>
      <c r="F22" s="1" t="n">
        <v>9.25</v>
      </c>
    </row>
    <row r="23" customFormat="false" ht="15" hidden="false" customHeight="false" outlineLevel="0" collapsed="false">
      <c r="A23" s="1" t="n">
        <v>22</v>
      </c>
      <c r="B23" s="2" t="s">
        <v>66</v>
      </c>
      <c r="C23" s="1" t="s">
        <v>66</v>
      </c>
      <c r="D23" s="1" t="s">
        <v>65</v>
      </c>
      <c r="E23" s="1" t="s">
        <v>279</v>
      </c>
      <c r="F23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2026-03-10T16:11:47Z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