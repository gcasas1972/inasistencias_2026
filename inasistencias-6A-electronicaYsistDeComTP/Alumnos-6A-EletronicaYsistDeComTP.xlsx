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tp0-cues" sheetId="4" state="visible" r:id="rId6"/>
    <sheet name="tp1-cuestionario" sheetId="5" state="visible" r:id="rId7"/>
    <sheet name="tp2-cuestionario" sheetId="6" state="visible" r:id="rId8"/>
    <sheet name="Resistencia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<sst xmlns="http://schemas.openxmlformats.org/spreadsheetml/2006/main" count="629" uniqueCount="124">
  <si>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</si>
  <si>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</si>
  <si>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</si>
  <si>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</si>
  <si>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</si>
  <si>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</si>
  <si>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</si>
  <si>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</si>
  <si>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</si>
  <si>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</si>
  <si>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</si>
  <si>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</si>
  <si>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</si>
  <si>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</si>
  <si>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</si>
  <si>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Intensifica Matematica 16:40</t>
  </si>
  <si>
    <t xml:space="preserve">A</t>
  </si>
  <si>
    <t xml:space="preserve">T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</si>
  <si>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</si>
  <si>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</si>
  <si>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</si>
  <si>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</si>
  <si>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</si>
  <si>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</si>
  <si>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x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</si>
  <si>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</si>
  <si>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</si>
  <si>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</si>
  <si>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</si>
  <si>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</si>
  <si>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</si>
  <si>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</si>
  <si>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</si>
  <si>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</si>
  <si>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gastroenteritis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</si>
  <si>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</si>
  <si>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</si>
  <si>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</si>
  <si>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</si>
  <si>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</si>
  <si>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</si>
  <si>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</si>
  <si>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</si>
  <si>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</si>
  <si>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</si>
  <si>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</si>
  <si>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</si>
  <si>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Recursa 15:40</t>
  </si>
  <si>
    <t xml:space="preserve">Recursan 15:40</t>
  </si>
  <si>
    <t xml:space="preserve">recursando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</si>
  <si>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</si>
  <si>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</si>
  <si>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</si>
  <si>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</si>
  <si>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</si>
  <si>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</si>
  <si>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</si>
  <si>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</si>
  <si>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</si>
  <si>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Recursando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</si>
  <si>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</si>
  <si>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</si>
  <si>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</si>
  <si>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</si>
  <si>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</si>
  <si>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</si>
  <si>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</si>
  <si>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</si>
  <si>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</si>
  <si>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</si>
  <si>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</si>
  <si>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</si>
  <si>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</si>
  <si>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</si>
  <si>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</si>
  <si>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</si>
  <si>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</si>
  <si>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</si>
  <si>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</si>
  <si>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</si>
  <si>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</si>
  <si>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</si>
  <si>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</si>
  <si>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</si>
  <si>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</si>
  <si>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resta</t>
  </si>
  <si>
    <t xml:space="preserve">Resta</t>
  </si>
  <si>
    <t xml:space="preserve">Grupos </t>
  </si>
  <si>
    <t xml:space="preserve">Pregunta 2</t>
  </si>
  <si>
    <t xml:space="preserve">Preg 3</t>
  </si>
  <si>
    <t xml:space="preserve">parte2- preg 1</t>
  </si>
  <si>
    <t xml:space="preserve">Parte 2- preg 2</t>
  </si>
  <si>
    <t xml:space="preserve">Parte 3</t>
  </si>
  <si>
    <t xml:space="preserve">Asistencia</t>
  </si>
  <si>
    <t xml:space="preserve">0-Tp alarmas</t>
  </si>
  <si>
    <t xml:space="preserve">tp0-cuetionario</t>
  </si>
  <si>
    <t xml:space="preserve">tp0-nota</t>
  </si>
  <si>
    <t xml:space="preserve">1-tp Seguridad en inst</t>
  </si>
  <si>
    <t xml:space="preserve">tp1-cuetionario</t>
  </si>
  <si>
    <t xml:space="preserve">Tp1-nota</t>
  </si>
  <si>
    <t xml:space="preserve">2-tp Variacion de R con T</t>
  </si>
  <si>
    <t xml:space="preserve">Tp2-cestionarios</t>
  </si>
  <si>
    <t xml:space="preserve">Tp2-nota</t>
  </si>
  <si>
    <t xml:space="preserve">Resistencia</t>
  </si>
  <si>
    <t xml:space="preserve">Valoracion media</t>
  </si>
  <si>
    <t xml:space="preserve">3-tp- termocuplas</t>
  </si>
  <si>
    <t xml:space="preserve">Proy 1- Cto Resonante</t>
  </si>
  <si>
    <t xml:space="preserve">Preg 1</t>
  </si>
  <si>
    <t xml:space="preserve">Preg 2</t>
  </si>
  <si>
    <t xml:space="preserve">tp4-operacionales</t>
  </si>
  <si>
    <t xml:space="preserve">mal</t>
  </si>
  <si>
    <t xml:space="preserve">no</t>
  </si>
  <si>
    <t xml:space="preserve">distraida</t>
  </si>
  <si>
    <t xml:space="preserve">bien</t>
  </si>
  <si>
    <t xml:space="preserve">frecuencia de resonancia</t>
  </si>
  <si>
    <t xml:space="preserve">procedimiento Fcia de rsonancia</t>
  </si>
  <si>
    <t xml:space="preserve">Dimeo (recursante)</t>
  </si>
  <si>
    <t xml:space="preserve">no sba</t>
  </si>
  <si>
    <t xml:space="preserve">no sabe</t>
  </si>
  <si>
    <t xml:space="preserve">positivos</t>
  </si>
  <si>
    <t xml:space="preserve">RODRIGUEZ MIÑO</t>
  </si>
  <si>
    <t xml:space="preserve">Calificación/10,00</t>
  </si>
  <si>
    <t xml:space="preserve">restar</t>
  </si>
  <si>
    <t xml:space="preserve">Calificación/5,00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</si>
</sst>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T1048576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H25" activeCellId="0" sqref="AH25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2.84"/>
    <col collapsed="false" customWidth="false" hidden="true" outlineLevel="0" max="9" min="8" style="1" width="8.75"/>
    <col collapsed="false" customWidth="true" hidden="true" outlineLevel="0" max="10" min="10" style="1" width="25.03"/>
    <col collapsed="false" customWidth="false" hidden="true" outlineLevel="0" max="11" min="11" style="1" width="8.75"/>
    <col collapsed="false" customWidth="true" hidden="true" outlineLevel="0" max="12" min="12" style="1" width="10.43"/>
    <col collapsed="false" customWidth="false" hidden="true" outlineLevel="0" max="13" min="13" style="1" width="8.75"/>
    <col collapsed="false" customWidth="true" hidden="true" outlineLevel="0" max="14" min="14" style="1" width="10.43"/>
    <col collapsed="false" customWidth="false" hidden="true" outlineLevel="0" max="25" min="15" style="1" width="8.75"/>
    <col collapsed="false" customWidth="true" hidden="false" outlineLevel="0" max="16384" min="16211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46098</v>
      </c>
      <c r="G2" s="3" t="s">
        <v>4</v>
      </c>
      <c r="H2" s="3" t="n">
        <v>46105</v>
      </c>
      <c r="I2" s="3" t="n">
        <v>46112</v>
      </c>
      <c r="J2" s="3" t="s">
        <v>4</v>
      </c>
      <c r="K2" s="3" t="n">
        <v>46119</v>
      </c>
      <c r="L2" s="3" t="s">
        <v>4</v>
      </c>
      <c r="M2" s="3" t="n">
        <v>46126</v>
      </c>
      <c r="N2" s="3" t="s">
        <v>4</v>
      </c>
      <c r="O2" s="3" t="n">
        <v>46133</v>
      </c>
      <c r="P2" s="3" t="s">
        <v>4</v>
      </c>
      <c r="Q2" s="3" t="n">
        <v>46140</v>
      </c>
      <c r="R2" s="3" t="s">
        <v>4</v>
      </c>
      <c r="S2" s="3" t="n">
        <v>46147</v>
      </c>
      <c r="T2" s="3" t="s">
        <v>4</v>
      </c>
      <c r="U2" s="3" t="n">
        <v>46154</v>
      </c>
      <c r="V2" s="3" t="n">
        <v>46175</v>
      </c>
      <c r="W2" s="3" t="s">
        <v>5</v>
      </c>
      <c r="X2" s="3" t="s">
        <v>6</v>
      </c>
      <c r="Y2" s="3" t="s">
        <v>7</v>
      </c>
      <c r="Z2" s="3" t="s">
        <v>8</v>
      </c>
      <c r="AA2" s="3" t="s">
        <v>9</v>
      </c>
      <c r="AB2" s="3" t="s">
        <v>10</v>
      </c>
      <c r="AC2" s="3" t="s">
        <v>4</v>
      </c>
      <c r="AD2" s="3" t="n">
        <v>46168</v>
      </c>
      <c r="AE2" s="3" t="s">
        <v>4</v>
      </c>
      <c r="AF2" s="3" t="n">
        <v>46175</v>
      </c>
      <c r="AG2" s="3" t="s">
        <v>4</v>
      </c>
      <c r="AH2" s="3" t="n">
        <v>46189</v>
      </c>
      <c r="AI2" s="3" t="n">
        <v>46203</v>
      </c>
      <c r="AJ2" s="3" t="n">
        <v>46210</v>
      </c>
      <c r="AK2" s="3" t="n">
        <v>46217</v>
      </c>
      <c r="AL2" s="3" t="n">
        <v>46224</v>
      </c>
      <c r="AM2" s="3" t="n">
        <v>46231</v>
      </c>
      <c r="AN2" s="3" t="n">
        <v>46238</v>
      </c>
      <c r="AO2" s="3" t="n">
        <v>46245</v>
      </c>
      <c r="AP2" s="3" t="n">
        <v>46252</v>
      </c>
      <c r="AQ2" s="3" t="n">
        <v>46259</v>
      </c>
      <c r="AR2" s="3" t="n">
        <v>46266</v>
      </c>
      <c r="AS2" s="3" t="n">
        <v>46273</v>
      </c>
      <c r="AT2" s="3" t="n">
        <v>46280</v>
      </c>
      <c r="AU2" s="3" t="n">
        <v>46287</v>
      </c>
      <c r="AV2" s="3" t="n">
        <v>46294</v>
      </c>
      <c r="AW2" s="3" t="n">
        <v>46301</v>
      </c>
      <c r="AX2" s="3" t="n">
        <v>46308</v>
      </c>
      <c r="AY2" s="3" t="n">
        <v>46315</v>
      </c>
      <c r="AZ2" s="3" t="n">
        <v>46322</v>
      </c>
      <c r="BA2" s="3" t="n">
        <v>46329</v>
      </c>
      <c r="BB2" s="3" t="n">
        <v>46336</v>
      </c>
      <c r="BC2" s="3" t="n">
        <v>46343</v>
      </c>
      <c r="BD2" s="3" t="n">
        <v>46350</v>
      </c>
      <c r="BE2" s="3" t="n">
        <v>46357</v>
      </c>
      <c r="BF2" s="3" t="n">
        <v>46364</v>
      </c>
      <c r="BG2" s="3" t="n">
        <v>46371</v>
      </c>
      <c r="BH2" s="3" t="n">
        <v>46378</v>
      </c>
      <c r="BI2" s="3" t="n">
        <v>46385</v>
      </c>
    </row>
    <row r="3" customFormat="false" ht="15" hidden="false" customHeight="false" outlineLevel="0" collapsed="false">
      <c r="A3" s="1" t="n">
        <v>1</v>
      </c>
      <c r="B3" s="2" t="s">
        <v>11</v>
      </c>
      <c r="C3" s="2" t="s">
        <v>12</v>
      </c>
      <c r="D3" s="2" t="s">
        <v>13</v>
      </c>
      <c r="E3" s="1" t="s">
        <v>14</v>
      </c>
      <c r="F3" s="2" t="s">
        <v>14</v>
      </c>
      <c r="I3" s="2" t="s">
        <v>14</v>
      </c>
      <c r="J3" s="2" t="s">
        <v>15</v>
      </c>
      <c r="K3" s="2" t="s">
        <v>16</v>
      </c>
      <c r="M3" s="2" t="s">
        <v>14</v>
      </c>
      <c r="O3" s="2" t="s">
        <v>14</v>
      </c>
      <c r="Q3" s="2" t="s">
        <v>14</v>
      </c>
      <c r="R3" s="2"/>
      <c r="S3" s="2" t="s">
        <v>14</v>
      </c>
      <c r="U3" s="2" t="s">
        <v>14</v>
      </c>
      <c r="V3" s="2" t="s">
        <v>14</v>
      </c>
      <c r="W3" s="2" t="n">
        <f aca="false">COUNTIF(E3:V3,"P")</f>
        <v>9</v>
      </c>
      <c r="X3" s="2" t="n">
        <f aca="false">COUNTIF(E3:V3,"M")</f>
        <v>0</v>
      </c>
      <c r="Y3" s="2" t="n">
        <f aca="false">COUNTIF(E3:W3,"T")</f>
        <v>0</v>
      </c>
      <c r="Z3" s="2" t="n">
        <f aca="false">COUNTIF(E3:V3,"A")</f>
        <v>1</v>
      </c>
      <c r="AA3" s="2" t="n">
        <f aca="false">SUM(W3:Z3)</f>
        <v>10</v>
      </c>
      <c r="AB3" s="4" t="n">
        <f aca="false">(W3+X3/2+Y3/4)*10/AA3</f>
        <v>9</v>
      </c>
      <c r="AD3" s="2" t="s">
        <v>14</v>
      </c>
      <c r="AF3" s="2" t="s">
        <v>17</v>
      </c>
      <c r="AG3" s="5" t="n">
        <v>0.680555555555556</v>
      </c>
      <c r="AH3" s="2" t="s">
        <v>14</v>
      </c>
    </row>
    <row r="4" customFormat="false" ht="15" hidden="false" customHeight="false" outlineLevel="0" collapsed="false">
      <c r="A4" s="1" t="n">
        <v>2</v>
      </c>
      <c r="B4" s="2" t="s">
        <v>18</v>
      </c>
      <c r="C4" s="2" t="s">
        <v>19</v>
      </c>
      <c r="D4" s="2" t="s">
        <v>20</v>
      </c>
      <c r="E4" s="1" t="s">
        <v>14</v>
      </c>
      <c r="F4" s="2" t="s">
        <v>16</v>
      </c>
      <c r="I4" s="2" t="s">
        <v>14</v>
      </c>
      <c r="J4" s="2" t="s">
        <v>15</v>
      </c>
      <c r="K4" s="2" t="s">
        <v>14</v>
      </c>
      <c r="M4" s="2" t="s">
        <v>14</v>
      </c>
      <c r="O4" s="2" t="s">
        <v>14</v>
      </c>
      <c r="Q4" s="2" t="s">
        <v>14</v>
      </c>
      <c r="R4" s="2"/>
      <c r="S4" s="2" t="s">
        <v>14</v>
      </c>
      <c r="U4" s="2" t="s">
        <v>14</v>
      </c>
      <c r="V4" s="2" t="s">
        <v>14</v>
      </c>
      <c r="W4" s="2" t="n">
        <f aca="false">COUNTIF(E4:V4,"P")</f>
        <v>9</v>
      </c>
      <c r="X4" s="2" t="n">
        <f aca="false">COUNTIF(E4:V4,"M")</f>
        <v>0</v>
      </c>
      <c r="Y4" s="2" t="n">
        <f aca="false">COUNTIF(E4:W4,"T")</f>
        <v>0</v>
      </c>
      <c r="Z4" s="2" t="n">
        <f aca="false">COUNTIF(E4:V4,"A")</f>
        <v>1</v>
      </c>
      <c r="AA4" s="2" t="n">
        <f aca="false">SUM(W4:Z4)</f>
        <v>10</v>
      </c>
      <c r="AB4" s="4" t="n">
        <f aca="false">(W4+X4/2+Y4/4)*10/AA4</f>
        <v>9</v>
      </c>
      <c r="AD4" s="2" t="s">
        <v>14</v>
      </c>
      <c r="AF4" s="2" t="s">
        <v>14</v>
      </c>
      <c r="AH4" s="2" t="s">
        <v>14</v>
      </c>
    </row>
    <row r="5" customFormat="false" ht="1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14</v>
      </c>
      <c r="F5" s="2" t="s">
        <v>14</v>
      </c>
      <c r="I5" s="2" t="s">
        <v>14</v>
      </c>
      <c r="K5" s="2" t="s">
        <v>14</v>
      </c>
      <c r="M5" s="2" t="s">
        <v>14</v>
      </c>
      <c r="O5" s="2" t="s">
        <v>14</v>
      </c>
      <c r="Q5" s="2" t="s">
        <v>14</v>
      </c>
      <c r="R5" s="2"/>
      <c r="S5" s="2" t="s">
        <v>14</v>
      </c>
      <c r="U5" s="2" t="s">
        <v>14</v>
      </c>
      <c r="V5" s="2" t="s">
        <v>14</v>
      </c>
      <c r="W5" s="2" t="n">
        <f aca="false">COUNTIF(E5:V5,"P")</f>
        <v>10</v>
      </c>
      <c r="X5" s="2" t="n">
        <f aca="false">COUNTIF(E5:V5,"M")</f>
        <v>0</v>
      </c>
      <c r="Y5" s="2" t="n">
        <f aca="false">COUNTIF(E5:W5,"T")</f>
        <v>0</v>
      </c>
      <c r="Z5" s="2" t="n">
        <f aca="false">COUNTIF(E5:V5,"A")</f>
        <v>0</v>
      </c>
      <c r="AA5" s="2" t="n">
        <f aca="false">SUM(W5:Z5)</f>
        <v>10</v>
      </c>
      <c r="AB5" s="4" t="n">
        <f aca="false">(W5+X5/2+Y5/4)*10/AA5</f>
        <v>10</v>
      </c>
      <c r="AC5" s="2" t="s">
        <v>24</v>
      </c>
      <c r="AD5" s="2" t="s">
        <v>14</v>
      </c>
      <c r="AF5" s="2" t="s">
        <v>14</v>
      </c>
      <c r="AH5" s="2" t="s">
        <v>14</v>
      </c>
    </row>
    <row r="6" customFormat="false" ht="15" hidden="false" customHeight="false" outlineLevel="0" collapsed="false">
      <c r="A6" s="1" t="n">
        <v>4</v>
      </c>
      <c r="B6" s="2" t="s">
        <v>25</v>
      </c>
      <c r="C6" s="2" t="s">
        <v>26</v>
      </c>
      <c r="D6" s="2" t="s">
        <v>27</v>
      </c>
      <c r="E6" s="1" t="s">
        <v>14</v>
      </c>
      <c r="F6" s="2" t="s">
        <v>14</v>
      </c>
      <c r="I6" s="2" t="s">
        <v>14</v>
      </c>
      <c r="K6" s="2" t="s">
        <v>14</v>
      </c>
      <c r="M6" s="2" t="s">
        <v>14</v>
      </c>
      <c r="O6" s="2" t="s">
        <v>14</v>
      </c>
      <c r="Q6" s="2" t="s">
        <v>14</v>
      </c>
      <c r="R6" s="2"/>
      <c r="S6" s="2" t="s">
        <v>14</v>
      </c>
      <c r="U6" s="2" t="s">
        <v>14</v>
      </c>
      <c r="V6" s="2" t="s">
        <v>14</v>
      </c>
      <c r="W6" s="2" t="n">
        <f aca="false">COUNTIF(E6:V6,"P")</f>
        <v>10</v>
      </c>
      <c r="X6" s="2" t="n">
        <f aca="false">COUNTIF(E6:V6,"M")</f>
        <v>0</v>
      </c>
      <c r="Y6" s="2" t="n">
        <f aca="false">COUNTIF(E6:W6,"T")</f>
        <v>0</v>
      </c>
      <c r="Z6" s="2" t="n">
        <f aca="false">COUNTIF(E6:V6,"A")</f>
        <v>0</v>
      </c>
      <c r="AA6" s="2" t="n">
        <f aca="false">SUM(W6:Z6)</f>
        <v>10</v>
      </c>
      <c r="AB6" s="4" t="n">
        <f aca="false">(W6+X6/2+Y6/4)*10/AA6</f>
        <v>10</v>
      </c>
      <c r="AD6" s="2" t="s">
        <v>14</v>
      </c>
      <c r="AF6" s="2" t="s">
        <v>14</v>
      </c>
      <c r="AH6" s="2" t="s">
        <v>14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14</v>
      </c>
      <c r="F7" s="2" t="s">
        <v>14</v>
      </c>
      <c r="I7" s="2" t="s">
        <v>14</v>
      </c>
      <c r="K7" s="2" t="s">
        <v>16</v>
      </c>
      <c r="M7" s="2" t="s">
        <v>14</v>
      </c>
      <c r="O7" s="2" t="s">
        <v>14</v>
      </c>
      <c r="Q7" s="2" t="s">
        <v>14</v>
      </c>
      <c r="R7" s="2"/>
      <c r="S7" s="2" t="s">
        <v>17</v>
      </c>
      <c r="T7" s="5" t="n">
        <v>0.680555555555556</v>
      </c>
      <c r="U7" s="2" t="s">
        <v>14</v>
      </c>
      <c r="V7" s="2" t="s">
        <v>17</v>
      </c>
      <c r="W7" s="2" t="n">
        <f aca="false">COUNTIF(E7:V7,"P")</f>
        <v>7</v>
      </c>
      <c r="X7" s="2" t="n">
        <f aca="false">COUNTIF(E7:V7,"M")</f>
        <v>0</v>
      </c>
      <c r="Y7" s="2" t="n">
        <f aca="false">COUNTIF(E7:W7,"T")</f>
        <v>2</v>
      </c>
      <c r="Z7" s="2" t="n">
        <f aca="false">COUNTIF(E7:V7,"A")</f>
        <v>1</v>
      </c>
      <c r="AA7" s="2" t="n">
        <f aca="false">SUM(W7:Z7)</f>
        <v>10</v>
      </c>
      <c r="AB7" s="4" t="n">
        <f aca="false">(W7+X7/2+Y7/4)*10/AA7</f>
        <v>7.5</v>
      </c>
      <c r="AC7" s="5" t="n">
        <v>0.708333333333333</v>
      </c>
      <c r="AD7" s="2" t="s">
        <v>14</v>
      </c>
      <c r="AF7" s="2" t="s">
        <v>16</v>
      </c>
      <c r="AH7" s="2" t="s">
        <v>16</v>
      </c>
    </row>
    <row r="8" s="2" customFormat="true" ht="15" hidden="false" customHeight="false" outlineLevel="0" collapsed="false">
      <c r="A8" s="1" t="n">
        <v>6</v>
      </c>
      <c r="B8" s="2" t="s">
        <v>31</v>
      </c>
      <c r="C8" s="2" t="s">
        <v>32</v>
      </c>
      <c r="D8" s="2" t="s">
        <v>33</v>
      </c>
      <c r="E8" s="1" t="s">
        <v>14</v>
      </c>
      <c r="F8" s="1" t="s">
        <v>14</v>
      </c>
      <c r="G8" s="1"/>
      <c r="H8" s="1"/>
      <c r="I8" s="1" t="s">
        <v>14</v>
      </c>
      <c r="J8" s="1"/>
      <c r="K8" s="1" t="s">
        <v>14</v>
      </c>
      <c r="L8" s="1"/>
      <c r="M8" s="1" t="s">
        <v>14</v>
      </c>
      <c r="N8" s="1"/>
      <c r="O8" s="1" t="s">
        <v>14</v>
      </c>
      <c r="P8" s="1"/>
      <c r="Q8" s="1" t="s">
        <v>14</v>
      </c>
      <c r="R8" s="1" t="s">
        <v>34</v>
      </c>
      <c r="S8" s="2" t="s">
        <v>14</v>
      </c>
      <c r="T8" s="1"/>
      <c r="U8" s="1" t="s">
        <v>14</v>
      </c>
      <c r="V8" s="1" t="s">
        <v>14</v>
      </c>
      <c r="W8" s="2" t="n">
        <f aca="false">COUNTIF(E8:V8,"P")</f>
        <v>10</v>
      </c>
      <c r="X8" s="2" t="n">
        <f aca="false">COUNTIF(E8:V8,"M")</f>
        <v>0</v>
      </c>
      <c r="Y8" s="2" t="n">
        <f aca="false">COUNTIF(E8:W8,"T")</f>
        <v>0</v>
      </c>
      <c r="Z8" s="2" t="n">
        <f aca="false">COUNTIF(E8:V8,"A")</f>
        <v>0</v>
      </c>
      <c r="AA8" s="2" t="n">
        <f aca="false">SUM(W8:Z8)</f>
        <v>10</v>
      </c>
      <c r="AB8" s="4" t="n">
        <f aca="false">(W8+X8/2+Y8/4)*10/AA8</f>
        <v>10</v>
      </c>
      <c r="AC8" s="1"/>
      <c r="AD8" s="1" t="s">
        <v>14</v>
      </c>
      <c r="AE8" s="1"/>
      <c r="AF8" s="1" t="s">
        <v>14</v>
      </c>
      <c r="AG8" s="1"/>
      <c r="AH8" s="1" t="s">
        <v>14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</row>
    <row r="9" customFormat="false" ht="15" hidden="false" customHeight="false" outlineLevel="0" collapsed="false">
      <c r="A9" s="1" t="n">
        <v>7</v>
      </c>
      <c r="B9" s="2" t="s">
        <v>35</v>
      </c>
      <c r="C9" s="2" t="s">
        <v>36</v>
      </c>
      <c r="D9" s="2" t="s">
        <v>37</v>
      </c>
      <c r="E9" s="1" t="s">
        <v>14</v>
      </c>
      <c r="F9" s="2" t="s">
        <v>14</v>
      </c>
      <c r="I9" s="2" t="s">
        <v>14</v>
      </c>
      <c r="K9" s="2" t="s">
        <v>14</v>
      </c>
      <c r="M9" s="2" t="s">
        <v>14</v>
      </c>
      <c r="O9" s="2" t="s">
        <v>14</v>
      </c>
      <c r="Q9" s="2" t="s">
        <v>14</v>
      </c>
      <c r="R9" s="2"/>
      <c r="S9" s="2" t="s">
        <v>14</v>
      </c>
      <c r="U9" s="2" t="s">
        <v>14</v>
      </c>
      <c r="V9" s="2" t="s">
        <v>14</v>
      </c>
      <c r="W9" s="2" t="n">
        <f aca="false">COUNTIF(E9:V9,"P")</f>
        <v>10</v>
      </c>
      <c r="X9" s="2" t="n">
        <f aca="false">COUNTIF(E9:V9,"M")</f>
        <v>0</v>
      </c>
      <c r="Y9" s="2" t="n">
        <f aca="false">COUNTIF(E9:W9,"T")</f>
        <v>0</v>
      </c>
      <c r="Z9" s="2" t="n">
        <f aca="false">COUNTIF(E9:V9,"A")</f>
        <v>0</v>
      </c>
      <c r="AA9" s="2" t="n">
        <f aca="false">SUM(W9:Z9)</f>
        <v>10</v>
      </c>
      <c r="AB9" s="4" t="n">
        <f aca="false">(W9+X9/2+Y9/4)*10/AA9</f>
        <v>10</v>
      </c>
      <c r="AD9" s="2" t="s">
        <v>14</v>
      </c>
      <c r="AF9" s="2" t="s">
        <v>14</v>
      </c>
      <c r="AH9" s="2" t="s">
        <v>14</v>
      </c>
    </row>
    <row r="10" customFormat="false" ht="15" hidden="false" customHeight="false" outlineLevel="0" collapsed="false">
      <c r="A10" s="1" t="n">
        <v>8</v>
      </c>
      <c r="B10" s="2" t="s">
        <v>38</v>
      </c>
      <c r="C10" s="2" t="s">
        <v>39</v>
      </c>
      <c r="D10" s="2" t="s">
        <v>40</v>
      </c>
      <c r="E10" s="1" t="s">
        <v>14</v>
      </c>
      <c r="F10" s="2" t="s">
        <v>14</v>
      </c>
      <c r="I10" s="2" t="s">
        <v>14</v>
      </c>
      <c r="K10" s="2" t="s">
        <v>14</v>
      </c>
      <c r="M10" s="2" t="s">
        <v>14</v>
      </c>
      <c r="O10" s="2" t="s">
        <v>14</v>
      </c>
      <c r="Q10" s="2" t="s">
        <v>14</v>
      </c>
      <c r="R10" s="2"/>
      <c r="S10" s="2" t="s">
        <v>14</v>
      </c>
      <c r="U10" s="2" t="s">
        <v>14</v>
      </c>
      <c r="V10" s="2" t="s">
        <v>14</v>
      </c>
      <c r="W10" s="2" t="n">
        <f aca="false">COUNTIF(E10:V10,"P")</f>
        <v>10</v>
      </c>
      <c r="X10" s="2" t="n">
        <f aca="false">COUNTIF(E10:V10,"M")</f>
        <v>0</v>
      </c>
      <c r="Y10" s="2" t="n">
        <f aca="false">COUNTIF(E10:W10,"T")</f>
        <v>0</v>
      </c>
      <c r="Z10" s="2" t="n">
        <f aca="false">COUNTIF(E10:V10,"A")</f>
        <v>0</v>
      </c>
      <c r="AA10" s="2" t="n">
        <f aca="false">SUM(W10:Z10)</f>
        <v>10</v>
      </c>
      <c r="AB10" s="4" t="n">
        <f aca="false">(W10+X10/2+Y10/4)*10/AA10</f>
        <v>10</v>
      </c>
      <c r="AD10" s="2" t="s">
        <v>14</v>
      </c>
      <c r="AF10" s="2" t="s">
        <v>14</v>
      </c>
      <c r="AH10" s="2" t="s">
        <v>14</v>
      </c>
    </row>
    <row r="11" customFormat="false" ht="15" hidden="false" customHeight="false" outlineLevel="0" collapsed="false">
      <c r="A11" s="1" t="n">
        <v>9</v>
      </c>
      <c r="B11" s="2" t="s">
        <v>41</v>
      </c>
      <c r="C11" s="2" t="s">
        <v>42</v>
      </c>
      <c r="D11" s="2" t="s">
        <v>43</v>
      </c>
      <c r="E11" s="1" t="s">
        <v>14</v>
      </c>
      <c r="F11" s="2" t="s">
        <v>14</v>
      </c>
      <c r="I11" s="2" t="s">
        <v>14</v>
      </c>
      <c r="K11" s="2" t="s">
        <v>14</v>
      </c>
      <c r="M11" s="2" t="s">
        <v>16</v>
      </c>
      <c r="O11" s="2" t="s">
        <v>14</v>
      </c>
      <c r="Q11" s="2" t="s">
        <v>14</v>
      </c>
      <c r="R11" s="2"/>
      <c r="S11" s="2" t="s">
        <v>14</v>
      </c>
      <c r="U11" s="2" t="s">
        <v>14</v>
      </c>
      <c r="V11" s="2" t="s">
        <v>14</v>
      </c>
      <c r="W11" s="2" t="n">
        <f aca="false">COUNTIF(E11:V11,"P")</f>
        <v>9</v>
      </c>
      <c r="X11" s="2" t="n">
        <f aca="false">COUNTIF(E11:V11,"M")</f>
        <v>0</v>
      </c>
      <c r="Y11" s="2" t="n">
        <f aca="false">COUNTIF(E11:W11,"T")</f>
        <v>0</v>
      </c>
      <c r="Z11" s="2" t="n">
        <f aca="false">COUNTIF(E11:V11,"A")</f>
        <v>1</v>
      </c>
      <c r="AA11" s="2" t="n">
        <f aca="false">SUM(W11:Z11)</f>
        <v>10</v>
      </c>
      <c r="AB11" s="4" t="n">
        <f aca="false">(W11+X11/2+Y11/4)*10/AA11</f>
        <v>9</v>
      </c>
      <c r="AD11" s="2" t="s">
        <v>14</v>
      </c>
      <c r="AF11" s="2" t="s">
        <v>14</v>
      </c>
      <c r="AH11" s="2" t="s">
        <v>14</v>
      </c>
    </row>
    <row r="12" s="7" customFormat="true" ht="15" hidden="false" customHeight="false" outlineLevel="0" collapsed="false">
      <c r="A12" s="6" t="n">
        <v>10</v>
      </c>
      <c r="B12" s="7" t="s">
        <v>44</v>
      </c>
      <c r="C12" s="7" t="s">
        <v>45</v>
      </c>
      <c r="D12" s="7" t="s">
        <v>46</v>
      </c>
      <c r="E12" s="6" t="s">
        <v>14</v>
      </c>
      <c r="F12" s="6" t="s">
        <v>16</v>
      </c>
      <c r="G12" s="6" t="s">
        <v>47</v>
      </c>
      <c r="H12" s="6"/>
      <c r="I12" s="6" t="s">
        <v>16</v>
      </c>
      <c r="J12" s="6" t="s">
        <v>48</v>
      </c>
      <c r="K12" s="6" t="s">
        <v>16</v>
      </c>
      <c r="L12" s="6" t="s">
        <v>49</v>
      </c>
      <c r="M12" s="6" t="s">
        <v>16</v>
      </c>
      <c r="N12" s="6" t="s">
        <v>49</v>
      </c>
      <c r="O12" s="6" t="s">
        <v>16</v>
      </c>
      <c r="P12" s="6"/>
      <c r="Q12" s="6" t="s">
        <v>16</v>
      </c>
      <c r="R12" s="6"/>
      <c r="S12" s="7" t="s">
        <v>16</v>
      </c>
      <c r="T12" s="6"/>
      <c r="U12" s="6" t="s">
        <v>14</v>
      </c>
      <c r="V12" s="6" t="s">
        <v>14</v>
      </c>
      <c r="W12" s="7" t="n">
        <f aca="false">COUNTIF(E12:V12,"P")</f>
        <v>3</v>
      </c>
      <c r="X12" s="7" t="n">
        <f aca="false">COUNTIF(E12:V12,"M")</f>
        <v>0</v>
      </c>
      <c r="Y12" s="7" t="n">
        <f aca="false">COUNTIF(E12:W12,"T")</f>
        <v>0</v>
      </c>
      <c r="Z12" s="7" t="n">
        <f aca="false">COUNTIF(E12:V12,"A")</f>
        <v>7</v>
      </c>
      <c r="AA12" s="7" t="n">
        <f aca="false">SUM(W12:Z12)</f>
        <v>10</v>
      </c>
      <c r="AB12" s="8" t="n">
        <f aca="false">(W12+X12/2+Y12/4)*10/AA12</f>
        <v>3</v>
      </c>
      <c r="AC12" s="1"/>
      <c r="AD12" s="1" t="s">
        <v>14</v>
      </c>
      <c r="AE12" s="1"/>
      <c r="AF12" s="1" t="s">
        <v>14</v>
      </c>
      <c r="AG12" s="1"/>
      <c r="AH12" s="1" t="s">
        <v>14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</row>
    <row r="13" s="1" customFormat="true" ht="15" hidden="false" customHeight="false" outlineLevel="0" collapsed="false">
      <c r="A13" s="1" t="n">
        <v>11</v>
      </c>
      <c r="B13" s="2" t="s">
        <v>50</v>
      </c>
      <c r="C13" s="2" t="s">
        <v>51</v>
      </c>
      <c r="D13" s="2" t="s">
        <v>52</v>
      </c>
      <c r="E13" s="1" t="s">
        <v>14</v>
      </c>
      <c r="F13" s="1" t="s">
        <v>14</v>
      </c>
      <c r="I13" s="1" t="s">
        <v>14</v>
      </c>
      <c r="K13" s="1" t="s">
        <v>14</v>
      </c>
      <c r="M13" s="1" t="s">
        <v>14</v>
      </c>
      <c r="O13" s="1" t="s">
        <v>14</v>
      </c>
      <c r="Q13" s="1" t="s">
        <v>14</v>
      </c>
      <c r="S13" s="2" t="s">
        <v>14</v>
      </c>
      <c r="U13" s="1" t="s">
        <v>14</v>
      </c>
      <c r="V13" s="1" t="s">
        <v>14</v>
      </c>
      <c r="W13" s="2" t="n">
        <f aca="false">COUNTIF(E13:V13,"P")</f>
        <v>10</v>
      </c>
      <c r="X13" s="2" t="n">
        <f aca="false">COUNTIF(E13:V13,"M")</f>
        <v>0</v>
      </c>
      <c r="Y13" s="2" t="n">
        <f aca="false">COUNTIF(E13:W13,"T")</f>
        <v>0</v>
      </c>
      <c r="Z13" s="2" t="n">
        <f aca="false">COUNTIF(E13:V13,"A")</f>
        <v>0</v>
      </c>
      <c r="AA13" s="2" t="n">
        <f aca="false">SUM(W13:Z13)</f>
        <v>10</v>
      </c>
      <c r="AB13" s="4" t="n">
        <f aca="false">(W13+X13/2+Y13/4)*10/AA13</f>
        <v>10</v>
      </c>
      <c r="AD13" s="1" t="s">
        <v>14</v>
      </c>
      <c r="AF13" s="1" t="s">
        <v>14</v>
      </c>
      <c r="AH13" s="1" t="s">
        <v>14</v>
      </c>
    </row>
    <row r="14" s="1" customFormat="true" ht="15" hidden="false" customHeight="false" outlineLevel="0" collapsed="false">
      <c r="A14" s="1" t="n">
        <v>12</v>
      </c>
      <c r="B14" s="2" t="s">
        <v>53</v>
      </c>
      <c r="C14" s="2" t="s">
        <v>54</v>
      </c>
      <c r="D14" s="2" t="s">
        <v>55</v>
      </c>
      <c r="E14" s="1" t="s">
        <v>14</v>
      </c>
      <c r="F14" s="1" t="s">
        <v>14</v>
      </c>
      <c r="I14" s="1" t="s">
        <v>14</v>
      </c>
      <c r="K14" s="1" t="s">
        <v>14</v>
      </c>
      <c r="M14" s="1" t="s">
        <v>14</v>
      </c>
      <c r="O14" s="1" t="s">
        <v>14</v>
      </c>
      <c r="Q14" s="1" t="s">
        <v>16</v>
      </c>
      <c r="S14" s="2" t="s">
        <v>14</v>
      </c>
      <c r="U14" s="1" t="s">
        <v>14</v>
      </c>
      <c r="V14" s="1" t="s">
        <v>14</v>
      </c>
      <c r="W14" s="2" t="n">
        <f aca="false">COUNTIF(E14:V14,"P")</f>
        <v>9</v>
      </c>
      <c r="X14" s="2" t="n">
        <f aca="false">COUNTIF(E14:V14,"M")</f>
        <v>0</v>
      </c>
      <c r="Y14" s="2" t="n">
        <f aca="false">COUNTIF(E14:W14,"T")</f>
        <v>0</v>
      </c>
      <c r="Z14" s="2" t="n">
        <f aca="false">COUNTIF(E14:V14,"A")</f>
        <v>1</v>
      </c>
      <c r="AA14" s="2" t="n">
        <f aca="false">SUM(W14:Z14)</f>
        <v>10</v>
      </c>
      <c r="AB14" s="4" t="n">
        <f aca="false">(W14+X14/2+Y14/4)*10/AA14</f>
        <v>9</v>
      </c>
      <c r="AD14" s="1" t="s">
        <v>14</v>
      </c>
      <c r="AF14" s="1" t="s">
        <v>14</v>
      </c>
      <c r="AH14" s="1" t="s">
        <v>14</v>
      </c>
    </row>
    <row r="15" s="7" customFormat="true" ht="15" hidden="false" customHeight="false" outlineLevel="0" collapsed="false">
      <c r="A15" s="6" t="n">
        <v>13</v>
      </c>
      <c r="B15" s="7" t="s">
        <v>56</v>
      </c>
      <c r="C15" s="7" t="s">
        <v>57</v>
      </c>
      <c r="D15" s="7" t="s">
        <v>58</v>
      </c>
      <c r="E15" s="6" t="s">
        <v>14</v>
      </c>
      <c r="F15" s="6" t="s">
        <v>16</v>
      </c>
      <c r="G15" s="6" t="s">
        <v>59</v>
      </c>
      <c r="H15" s="6"/>
      <c r="I15" s="6" t="s">
        <v>16</v>
      </c>
      <c r="J15" s="6" t="s">
        <v>59</v>
      </c>
      <c r="K15" s="6" t="s">
        <v>16</v>
      </c>
      <c r="L15" s="6" t="s">
        <v>49</v>
      </c>
      <c r="M15" s="6" t="s">
        <v>16</v>
      </c>
      <c r="N15" s="6" t="s">
        <v>49</v>
      </c>
      <c r="O15" s="6" t="s">
        <v>16</v>
      </c>
      <c r="P15" s="6"/>
      <c r="Q15" s="6" t="s">
        <v>16</v>
      </c>
      <c r="R15" s="6"/>
      <c r="S15" s="7" t="s">
        <v>16</v>
      </c>
      <c r="T15" s="6"/>
      <c r="U15" s="6" t="s">
        <v>16</v>
      </c>
      <c r="V15" s="6" t="s">
        <v>16</v>
      </c>
      <c r="W15" s="7" t="n">
        <f aca="false">COUNTIF(E15:V15,"P")</f>
        <v>1</v>
      </c>
      <c r="X15" s="7" t="n">
        <f aca="false">COUNTIF(E15:V15,"M")</f>
        <v>0</v>
      </c>
      <c r="Y15" s="7" t="n">
        <f aca="false">COUNTIF(E15:W15,"T")</f>
        <v>0</v>
      </c>
      <c r="Z15" s="7" t="n">
        <f aca="false">COUNTIF(E15:V15,"A")</f>
        <v>9</v>
      </c>
      <c r="AA15" s="7" t="n">
        <f aca="false">SUM(W15:Z15)</f>
        <v>10</v>
      </c>
      <c r="AB15" s="8" t="n">
        <f aca="false">(W15+X15/2+Y15/4)*10/AA15</f>
        <v>1</v>
      </c>
      <c r="AC15" s="6"/>
      <c r="AD15" s="6" t="s">
        <v>16</v>
      </c>
      <c r="AE15" s="6"/>
      <c r="AF15" s="6" t="s">
        <v>16</v>
      </c>
      <c r="AG15" s="6"/>
      <c r="AH15" s="6" t="s">
        <v>16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</row>
    <row r="16" s="1" customFormat="true" ht="15" hidden="false" customHeight="false" outlineLevel="0" collapsed="false">
      <c r="A16" s="1" t="n">
        <v>14</v>
      </c>
      <c r="B16" s="2" t="s">
        <v>60</v>
      </c>
      <c r="C16" s="2" t="s">
        <v>61</v>
      </c>
      <c r="D16" s="2" t="s">
        <v>62</v>
      </c>
      <c r="E16" s="1" t="s">
        <v>14</v>
      </c>
      <c r="F16" s="1" t="s">
        <v>14</v>
      </c>
      <c r="I16" s="1" t="s">
        <v>14</v>
      </c>
      <c r="K16" s="1" t="s">
        <v>14</v>
      </c>
      <c r="M16" s="1" t="s">
        <v>14</v>
      </c>
      <c r="O16" s="1" t="s">
        <v>14</v>
      </c>
      <c r="Q16" s="1" t="s">
        <v>14</v>
      </c>
      <c r="S16" s="2" t="s">
        <v>14</v>
      </c>
      <c r="U16" s="1" t="s">
        <v>14</v>
      </c>
      <c r="V16" s="1" t="s">
        <v>14</v>
      </c>
      <c r="W16" s="2" t="n">
        <f aca="false">COUNTIF(E16:V16,"P")</f>
        <v>10</v>
      </c>
      <c r="X16" s="2" t="n">
        <f aca="false">COUNTIF(E16:V16,"M")</f>
        <v>0</v>
      </c>
      <c r="Y16" s="2" t="n">
        <f aca="false">COUNTIF(E16:W16,"T")</f>
        <v>0</v>
      </c>
      <c r="Z16" s="2" t="n">
        <f aca="false">COUNTIF(E16:V16,"A")</f>
        <v>0</v>
      </c>
      <c r="AA16" s="2" t="n">
        <f aca="false">SUM(W16:Z16)</f>
        <v>10</v>
      </c>
      <c r="AB16" s="4" t="n">
        <f aca="false">(W16+X16/2+Y16/4)*10/AA16</f>
        <v>10</v>
      </c>
      <c r="AD16" s="1" t="s">
        <v>16</v>
      </c>
      <c r="AF16" s="1" t="s">
        <v>14</v>
      </c>
      <c r="AH16" s="1" t="s">
        <v>14</v>
      </c>
    </row>
    <row r="17" s="1" customFormat="true" ht="15" hidden="false" customHeight="false" outlineLevel="0" collapsed="false">
      <c r="A17" s="1" t="n">
        <v>15</v>
      </c>
      <c r="B17" s="2" t="s">
        <v>63</v>
      </c>
      <c r="C17" s="2" t="s">
        <v>64</v>
      </c>
      <c r="D17" s="2" t="s">
        <v>65</v>
      </c>
      <c r="E17" s="1" t="s">
        <v>14</v>
      </c>
      <c r="F17" s="1" t="s">
        <v>14</v>
      </c>
      <c r="I17" s="1" t="s">
        <v>14</v>
      </c>
      <c r="K17" s="1" t="s">
        <v>14</v>
      </c>
      <c r="M17" s="1" t="s">
        <v>14</v>
      </c>
      <c r="O17" s="1" t="s">
        <v>14</v>
      </c>
      <c r="Q17" s="1" t="s">
        <v>14</v>
      </c>
      <c r="S17" s="2" t="s">
        <v>14</v>
      </c>
      <c r="U17" s="1" t="s">
        <v>14</v>
      </c>
      <c r="V17" s="1" t="s">
        <v>14</v>
      </c>
      <c r="W17" s="2" t="n">
        <f aca="false">COUNTIF(E17:V17,"P")</f>
        <v>10</v>
      </c>
      <c r="X17" s="2" t="n">
        <f aca="false">COUNTIF(E17:V17,"M")</f>
        <v>0</v>
      </c>
      <c r="Y17" s="2" t="n">
        <f aca="false">COUNTIF(E17:W17,"T")</f>
        <v>0</v>
      </c>
      <c r="Z17" s="2" t="n">
        <f aca="false">COUNTIF(E17:V17,"A")</f>
        <v>0</v>
      </c>
      <c r="AA17" s="2" t="n">
        <f aca="false">SUM(W17:Z17)</f>
        <v>10</v>
      </c>
      <c r="AB17" s="4" t="n">
        <f aca="false">(W17+X17/2+Y17/4)*10/AA17</f>
        <v>10</v>
      </c>
      <c r="AD17" s="1" t="s">
        <v>14</v>
      </c>
      <c r="AF17" s="1" t="s">
        <v>14</v>
      </c>
      <c r="AH17" s="1" t="s">
        <v>14</v>
      </c>
    </row>
    <row r="18" s="7" customFormat="true" ht="15" hidden="false" customHeight="false" outlineLevel="0" collapsed="false">
      <c r="A18" s="6" t="n">
        <v>16</v>
      </c>
      <c r="B18" s="7" t="s">
        <v>66</v>
      </c>
      <c r="C18" s="7" t="s">
        <v>67</v>
      </c>
      <c r="D18" s="7" t="s">
        <v>68</v>
      </c>
      <c r="E18" s="6" t="s">
        <v>14</v>
      </c>
      <c r="F18" s="6" t="s">
        <v>16</v>
      </c>
      <c r="G18" s="6" t="s">
        <v>59</v>
      </c>
      <c r="H18" s="6"/>
      <c r="I18" s="6" t="s">
        <v>16</v>
      </c>
      <c r="J18" s="6" t="s">
        <v>59</v>
      </c>
      <c r="K18" s="6" t="s">
        <v>16</v>
      </c>
      <c r="L18" s="6"/>
      <c r="M18" s="6" t="s">
        <v>16</v>
      </c>
      <c r="N18" s="6" t="s">
        <v>49</v>
      </c>
      <c r="O18" s="6" t="s">
        <v>16</v>
      </c>
      <c r="P18" s="6"/>
      <c r="Q18" s="6" t="s">
        <v>16</v>
      </c>
      <c r="R18" s="6"/>
      <c r="S18" s="7" t="s">
        <v>16</v>
      </c>
      <c r="T18" s="6"/>
      <c r="U18" s="6" t="s">
        <v>16</v>
      </c>
      <c r="V18" s="6" t="s">
        <v>16</v>
      </c>
      <c r="W18" s="7" t="n">
        <f aca="false">COUNTIF(E18:V18,"P")</f>
        <v>1</v>
      </c>
      <c r="X18" s="7" t="n">
        <f aca="false">COUNTIF(E18:V18,"M")</f>
        <v>0</v>
      </c>
      <c r="Y18" s="7" t="n">
        <f aca="false">COUNTIF(E18:W18,"T")</f>
        <v>0</v>
      </c>
      <c r="Z18" s="7" t="n">
        <f aca="false">COUNTIF(E18:V18,"A")</f>
        <v>9</v>
      </c>
      <c r="AA18" s="7" t="n">
        <f aca="false">SUM(W18:Z18)</f>
        <v>10</v>
      </c>
      <c r="AB18" s="8" t="n">
        <f aca="false">(W18+X18/2+Y18/4)*10/AA18</f>
        <v>1</v>
      </c>
      <c r="AC18" s="6"/>
      <c r="AD18" s="6" t="s">
        <v>16</v>
      </c>
      <c r="AE18" s="6"/>
      <c r="AF18" s="6" t="s">
        <v>16</v>
      </c>
      <c r="AG18" s="6"/>
      <c r="AH18" s="6" t="s">
        <v>16</v>
      </c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</row>
    <row r="19" s="7" customFormat="true" ht="15" hidden="false" customHeight="false" outlineLevel="0" collapsed="false">
      <c r="A19" s="6" t="n">
        <v>17</v>
      </c>
      <c r="B19" s="7" t="s">
        <v>69</v>
      </c>
      <c r="C19" s="7" t="s">
        <v>70</v>
      </c>
      <c r="D19" s="7" t="s">
        <v>71</v>
      </c>
      <c r="E19" s="6" t="s">
        <v>14</v>
      </c>
      <c r="F19" s="6" t="s">
        <v>16</v>
      </c>
      <c r="G19" s="6"/>
      <c r="H19" s="6"/>
      <c r="I19" s="6" t="s">
        <v>16</v>
      </c>
      <c r="J19" s="6"/>
      <c r="K19" s="6" t="s">
        <v>16</v>
      </c>
      <c r="L19" s="6"/>
      <c r="M19" s="6" t="s">
        <v>16</v>
      </c>
      <c r="N19" s="6" t="s">
        <v>49</v>
      </c>
      <c r="O19" s="6" t="s">
        <v>16</v>
      </c>
      <c r="P19" s="6"/>
      <c r="Q19" s="6" t="s">
        <v>16</v>
      </c>
      <c r="R19" s="6"/>
      <c r="S19" s="7" t="s">
        <v>16</v>
      </c>
      <c r="T19" s="6"/>
      <c r="U19" s="6" t="s">
        <v>16</v>
      </c>
      <c r="V19" s="6" t="s">
        <v>16</v>
      </c>
      <c r="W19" s="7" t="n">
        <f aca="false">COUNTIF(E19:V19,"P")</f>
        <v>1</v>
      </c>
      <c r="X19" s="7" t="n">
        <f aca="false">COUNTIF(E19:V19,"M")</f>
        <v>0</v>
      </c>
      <c r="Y19" s="7" t="n">
        <f aca="false">COUNTIF(E19:W19,"T")</f>
        <v>0</v>
      </c>
      <c r="Z19" s="7" t="n">
        <f aca="false">COUNTIF(E19:V19,"A")</f>
        <v>9</v>
      </c>
      <c r="AA19" s="7" t="n">
        <f aca="false">SUM(W19:Z19)</f>
        <v>10</v>
      </c>
      <c r="AB19" s="8" t="n">
        <f aca="false">(W19+X19/2+Y19/4)*10/AA19</f>
        <v>1</v>
      </c>
      <c r="AC19" s="6"/>
      <c r="AD19" s="6" t="s">
        <v>16</v>
      </c>
      <c r="AE19" s="6"/>
      <c r="AF19" s="6" t="s">
        <v>16</v>
      </c>
      <c r="AG19" s="6"/>
      <c r="AH19" s="6" t="s">
        <v>16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</row>
    <row r="20" s="6" customFormat="true" ht="15" hidden="false" customHeight="false" outlineLevel="0" collapsed="false">
      <c r="A20" s="6" t="n">
        <v>19</v>
      </c>
      <c r="B20" s="7" t="s">
        <v>72</v>
      </c>
      <c r="C20" s="7" t="s">
        <v>73</v>
      </c>
      <c r="D20" s="7" t="s">
        <v>74</v>
      </c>
      <c r="E20" s="6" t="s">
        <v>14</v>
      </c>
      <c r="F20" s="6" t="s">
        <v>14</v>
      </c>
      <c r="I20" s="6" t="s">
        <v>14</v>
      </c>
      <c r="K20" s="6" t="s">
        <v>16</v>
      </c>
      <c r="M20" s="6" t="s">
        <v>16</v>
      </c>
      <c r="N20" s="6" t="s">
        <v>49</v>
      </c>
      <c r="O20" s="6" t="s">
        <v>16</v>
      </c>
      <c r="Q20" s="6" t="s">
        <v>16</v>
      </c>
      <c r="S20" s="7" t="s">
        <v>16</v>
      </c>
      <c r="U20" s="6" t="s">
        <v>16</v>
      </c>
      <c r="V20" s="6" t="s">
        <v>16</v>
      </c>
      <c r="W20" s="7" t="n">
        <f aca="false">COUNTIF(E20:V20,"P")</f>
        <v>3</v>
      </c>
      <c r="X20" s="7" t="n">
        <f aca="false">COUNTIF(E20:V20,"M")</f>
        <v>0</v>
      </c>
      <c r="Y20" s="7" t="n">
        <f aca="false">COUNTIF(E20:W20,"T")</f>
        <v>0</v>
      </c>
      <c r="Z20" s="7" t="n">
        <f aca="false">COUNTIF(E20:V20,"A")</f>
        <v>7</v>
      </c>
      <c r="AA20" s="7" t="n">
        <f aca="false">SUM(W20:Z20)</f>
        <v>10</v>
      </c>
      <c r="AB20" s="8" t="n">
        <f aca="false">(W20+X20/2+Y20/4)*10/AA20</f>
        <v>3</v>
      </c>
      <c r="AD20" s="6" t="s">
        <v>16</v>
      </c>
      <c r="AF20" s="6" t="s">
        <v>16</v>
      </c>
      <c r="AH20" s="6" t="s">
        <v>16</v>
      </c>
    </row>
    <row r="21" s="1" customFormat="true" ht="15" hidden="false" customHeight="false" outlineLevel="0" collapsed="false">
      <c r="A21" s="1" t="n">
        <v>20</v>
      </c>
      <c r="B21" s="2" t="s">
        <v>75</v>
      </c>
      <c r="C21" s="2" t="s">
        <v>76</v>
      </c>
      <c r="D21" s="2" t="s">
        <v>77</v>
      </c>
      <c r="E21" s="1" t="s">
        <v>14</v>
      </c>
      <c r="F21" s="1" t="s">
        <v>14</v>
      </c>
      <c r="I21" s="1" t="s">
        <v>14</v>
      </c>
      <c r="J21" s="1" t="s">
        <v>15</v>
      </c>
      <c r="K21" s="1" t="s">
        <v>16</v>
      </c>
      <c r="M21" s="1" t="s">
        <v>14</v>
      </c>
      <c r="O21" s="1" t="s">
        <v>17</v>
      </c>
      <c r="P21" s="5" t="n">
        <v>0.666666666666667</v>
      </c>
      <c r="Q21" s="1" t="s">
        <v>14</v>
      </c>
      <c r="S21" s="2" t="s">
        <v>14</v>
      </c>
      <c r="U21" s="1" t="s">
        <v>14</v>
      </c>
      <c r="V21" s="1" t="s">
        <v>14</v>
      </c>
      <c r="W21" s="2" t="n">
        <f aca="false">COUNTIF(E21:V21,"P")</f>
        <v>8</v>
      </c>
      <c r="X21" s="2" t="n">
        <f aca="false">COUNTIF(E21:V21,"M")</f>
        <v>0</v>
      </c>
      <c r="Y21" s="2" t="n">
        <f aca="false">COUNTIF(E21:W21,"T")</f>
        <v>1</v>
      </c>
      <c r="Z21" s="2" t="n">
        <f aca="false">COUNTIF(E21:V21,"A")</f>
        <v>1</v>
      </c>
      <c r="AA21" s="2" t="n">
        <f aca="false">SUM(W21:Z21)</f>
        <v>10</v>
      </c>
      <c r="AB21" s="4" t="n">
        <f aca="false">(W21+X21/2+Y21/4)*10/AA21</f>
        <v>8.25</v>
      </c>
      <c r="AD21" s="1" t="s">
        <v>14</v>
      </c>
      <c r="AF21" s="1" t="s">
        <v>17</v>
      </c>
      <c r="AG21" s="5" t="n">
        <v>0.680555555555556</v>
      </c>
      <c r="AH21" s="1" t="s">
        <v>14</v>
      </c>
    </row>
    <row r="22" s="1" customFormat="true" ht="15" hidden="false" customHeight="false" outlineLevel="0" collapsed="false">
      <c r="A22" s="1" t="n">
        <v>21</v>
      </c>
      <c r="B22" s="2" t="s">
        <v>78</v>
      </c>
      <c r="C22" s="2" t="s">
        <v>79</v>
      </c>
      <c r="D22" s="2" t="s">
        <v>80</v>
      </c>
      <c r="E22" s="1" t="s">
        <v>14</v>
      </c>
      <c r="F22" s="1" t="s">
        <v>14</v>
      </c>
      <c r="I22" s="1" t="s">
        <v>14</v>
      </c>
      <c r="K22" s="1" t="s">
        <v>14</v>
      </c>
      <c r="M22" s="1" t="s">
        <v>14</v>
      </c>
      <c r="O22" s="1" t="s">
        <v>14</v>
      </c>
      <c r="Q22" s="1" t="s">
        <v>14</v>
      </c>
      <c r="S22" s="2" t="s">
        <v>14</v>
      </c>
      <c r="U22" s="1" t="s">
        <v>14</v>
      </c>
      <c r="V22" s="1" t="s">
        <v>14</v>
      </c>
      <c r="W22" s="2" t="n">
        <f aca="false">COUNTIF(E22:V22,"P")</f>
        <v>10</v>
      </c>
      <c r="X22" s="2" t="n">
        <f aca="false">COUNTIF(E22:V22,"M")</f>
        <v>0</v>
      </c>
      <c r="Y22" s="2" t="n">
        <f aca="false">COUNTIF(E22:W22,"T")</f>
        <v>0</v>
      </c>
      <c r="Z22" s="2" t="n">
        <f aca="false">COUNTIF(E22:V22,"A")</f>
        <v>0</v>
      </c>
      <c r="AA22" s="2" t="n">
        <f aca="false">SUM(W22:Z22)</f>
        <v>10</v>
      </c>
      <c r="AB22" s="4" t="n">
        <f aca="false">(W22+X22/2+Y22/4)*10/AA22</f>
        <v>10</v>
      </c>
      <c r="AD22" s="1" t="s">
        <v>14</v>
      </c>
      <c r="AF22" s="1" t="s">
        <v>14</v>
      </c>
      <c r="AH22" s="1" t="s">
        <v>14</v>
      </c>
    </row>
    <row r="23" s="7" customFormat="true" ht="15" hidden="false" customHeight="false" outlineLevel="0" collapsed="false">
      <c r="A23" s="6" t="n">
        <v>22</v>
      </c>
      <c r="B23" s="7" t="s">
        <v>81</v>
      </c>
      <c r="C23" s="7" t="s">
        <v>82</v>
      </c>
      <c r="D23" s="7" t="s">
        <v>83</v>
      </c>
      <c r="E23" s="6" t="s">
        <v>14</v>
      </c>
      <c r="F23" s="6" t="s">
        <v>16</v>
      </c>
      <c r="G23" s="6" t="s">
        <v>49</v>
      </c>
      <c r="H23" s="6"/>
      <c r="I23" s="6" t="s">
        <v>14</v>
      </c>
      <c r="J23" s="6"/>
      <c r="K23" s="6" t="s">
        <v>16</v>
      </c>
      <c r="L23" s="6" t="s">
        <v>49</v>
      </c>
      <c r="M23" s="6" t="s">
        <v>16</v>
      </c>
      <c r="N23" s="6" t="s">
        <v>49</v>
      </c>
      <c r="O23" s="6" t="s">
        <v>16</v>
      </c>
      <c r="P23" s="6"/>
      <c r="Q23" s="6" t="s">
        <v>16</v>
      </c>
      <c r="R23" s="6"/>
      <c r="S23" s="7" t="s">
        <v>16</v>
      </c>
      <c r="T23" s="6"/>
      <c r="U23" s="6" t="s">
        <v>16</v>
      </c>
      <c r="V23" s="6" t="s">
        <v>16</v>
      </c>
      <c r="W23" s="2" t="n">
        <f aca="false">COUNTIF(E23:V23,"P")</f>
        <v>2</v>
      </c>
      <c r="X23" s="2" t="n">
        <f aca="false">COUNTIF(E23:V23,"M")</f>
        <v>0</v>
      </c>
      <c r="Y23" s="2" t="n">
        <f aca="false">COUNTIF(E23:W23,"T")</f>
        <v>0</v>
      </c>
      <c r="Z23" s="2" t="n">
        <f aca="false">COUNTIF(E23:V23,"A")</f>
        <v>8</v>
      </c>
      <c r="AA23" s="2" t="n">
        <f aca="false">SUM(W23:Z23)</f>
        <v>10</v>
      </c>
      <c r="AB23" s="4" t="n">
        <f aca="false">(W23+X23/2+Y23/4)*10/AA23</f>
        <v>2</v>
      </c>
      <c r="AC23" s="6"/>
      <c r="AD23" s="6" t="s">
        <v>16</v>
      </c>
      <c r="AE23" s="6"/>
      <c r="AF23" s="6" t="s">
        <v>16</v>
      </c>
      <c r="AG23" s="6"/>
      <c r="AH23" s="6" t="s">
        <v>16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21</v>
      </c>
      <c r="F24" s="1" t="n">
        <f aca="false">COUNTIF(F3:F23,"P")</f>
        <v>15</v>
      </c>
      <c r="I24" s="1" t="n">
        <f aca="false">COUNTIF(I3:I23,"P")</f>
        <v>17</v>
      </c>
      <c r="K24" s="1" t="n">
        <f aca="false">COUNTIF(K3:K23,"P")</f>
        <v>12</v>
      </c>
      <c r="M24" s="1" t="n">
        <f aca="false">COUNTIF(M3:M23,"P")</f>
        <v>14</v>
      </c>
      <c r="O24" s="1" t="n">
        <f aca="false">COUNTIF(O3:O23,"P")</f>
        <v>14</v>
      </c>
      <c r="Q24" s="1" t="n">
        <f aca="false">COUNTIF(Q3:Q23,"P")</f>
        <v>14</v>
      </c>
      <c r="S24" s="1" t="n">
        <f aca="false">COUNTIF(S3:S23,"P")</f>
        <v>14</v>
      </c>
      <c r="U24" s="1" t="n">
        <f aca="false">COUNTIF(U3:U23,"P")</f>
        <v>16</v>
      </c>
      <c r="V24" s="1" t="n">
        <f aca="false">COUNTIF(V3:V23,"P")</f>
        <v>15</v>
      </c>
      <c r="Z24" s="1"/>
      <c r="AA24" s="1"/>
      <c r="AB24" s="1"/>
      <c r="AC24" s="1"/>
      <c r="AD24" s="2" t="n">
        <f aca="false">COUNTIF(AD3:AD23,"P")</f>
        <v>15</v>
      </c>
      <c r="AF24" s="2" t="n">
        <f aca="false">COUNTIF(AF3:AF23,"P")</f>
        <v>13</v>
      </c>
      <c r="AG24" s="2"/>
      <c r="AH24" s="2" t="n">
        <f aca="false">COUNTIF(AH3:AH23,"P")</f>
        <v>15</v>
      </c>
    </row>
    <row r="25" customFormat="false" ht="15" hidden="false" customHeight="false" outlineLevel="0" collapsed="false">
      <c r="C25" s="1" t="s">
        <v>84</v>
      </c>
      <c r="E25" s="1" t="n">
        <f aca="false">COUNTIF(E3:E23,"M")</f>
        <v>0</v>
      </c>
      <c r="F25" s="1" t="n">
        <f aca="false">COUNTIF(F3:F23,"M")</f>
        <v>0</v>
      </c>
      <c r="I25" s="1" t="n">
        <f aca="false">COUNTIF(I3:I23,"M")</f>
        <v>0</v>
      </c>
      <c r="K25" s="1" t="n">
        <f aca="false">COUNTIF(K3:K23,"M")</f>
        <v>0</v>
      </c>
      <c r="M25" s="1" t="n">
        <f aca="false">COUNTIF(M3:M23,"M")</f>
        <v>0</v>
      </c>
      <c r="O25" s="1" t="n">
        <f aca="false">COUNTIF(O3:O23,"M")</f>
        <v>0</v>
      </c>
      <c r="Q25" s="1" t="n">
        <f aca="false">COUNTIF(Q3:Q23,"M")</f>
        <v>0</v>
      </c>
      <c r="S25" s="1" t="n">
        <f aca="false">COUNTIF(S3:S23,"M")</f>
        <v>0</v>
      </c>
      <c r="U25" s="1" t="n">
        <f aca="false">COUNTIF(U3:U23,"M")</f>
        <v>0</v>
      </c>
      <c r="V25" s="1" t="n">
        <f aca="false">COUNTIF(V3:V23,"M")</f>
        <v>0</v>
      </c>
      <c r="Z25" s="1"/>
      <c r="AA25" s="1"/>
      <c r="AB25" s="1"/>
      <c r="AC25" s="1"/>
      <c r="AF25" s="2" t="n">
        <f aca="false">COUNTIF(AF3:AF23,"M")</f>
        <v>0</v>
      </c>
      <c r="AH25" s="2" t="n">
        <f aca="false">COUNTIF(AH3:AH23,"M")</f>
        <v>0</v>
      </c>
    </row>
    <row r="26" customFormat="false" ht="15" hidden="false" customHeight="false" outlineLevel="0" collapsed="false">
      <c r="C26" s="1" t="s">
        <v>7</v>
      </c>
      <c r="E26" s="1" t="n">
        <f aca="false">COUNTIF(E3:E23,"T")</f>
        <v>0</v>
      </c>
      <c r="F26" s="1" t="n">
        <f aca="false">COUNTIF(F3:F23,"T")</f>
        <v>0</v>
      </c>
      <c r="I26" s="1" t="n">
        <f aca="false">COUNTIF(I3:I23,"T")</f>
        <v>0</v>
      </c>
      <c r="K26" s="1" t="n">
        <f aca="false">COUNTIF(K3:K23,"T")</f>
        <v>0</v>
      </c>
      <c r="M26" s="1" t="n">
        <f aca="false">COUNTIF(M3:M23,"T")</f>
        <v>0</v>
      </c>
      <c r="O26" s="1" t="n">
        <f aca="false">COUNTIF(O3:O23,"T")</f>
        <v>1</v>
      </c>
      <c r="Q26" s="1" t="n">
        <f aca="false">COUNTIF(Q3:Q23,"T")</f>
        <v>0</v>
      </c>
      <c r="S26" s="1" t="n">
        <f aca="false">COUNTIF(S3:S23,"T")</f>
        <v>1</v>
      </c>
      <c r="U26" s="1" t="n">
        <f aca="false">COUNTIF(U3:U23,"T")</f>
        <v>0</v>
      </c>
      <c r="V26" s="1" t="n">
        <f aca="false">COUNTIF(V3:V23,"T")</f>
        <v>1</v>
      </c>
      <c r="Z26" s="1"/>
      <c r="AA26" s="1"/>
      <c r="AB26" s="1"/>
      <c r="AC26" s="1"/>
      <c r="AF26" s="2" t="n">
        <f aca="false">COUNTIF(AF3:AF23,"T")</f>
        <v>2</v>
      </c>
      <c r="AH26" s="2" t="n">
        <f aca="false">COUNTIF(AH3:AH23,"T")</f>
        <v>0</v>
      </c>
    </row>
    <row r="27" customFormat="false" ht="15" hidden="false" customHeight="false" outlineLevel="0" collapsed="false">
      <c r="C27" s="1" t="s">
        <v>9</v>
      </c>
      <c r="E27" s="1" t="n">
        <f aca="false">SUM(E24:E26)</f>
        <v>21</v>
      </c>
      <c r="F27" s="1" t="n">
        <f aca="false">SUM(F24:F26)</f>
        <v>15</v>
      </c>
      <c r="I27" s="1" t="n">
        <f aca="false">SUM(I24:I26)</f>
        <v>17</v>
      </c>
      <c r="K27" s="1" t="n">
        <f aca="false">SUM(K24:K26)</f>
        <v>12</v>
      </c>
      <c r="M27" s="1" t="n">
        <f aca="false">SUM(M24:M26)</f>
        <v>14</v>
      </c>
      <c r="O27" s="1" t="n">
        <f aca="false">SUM(O24:O26)</f>
        <v>15</v>
      </c>
      <c r="Q27" s="1" t="n">
        <f aca="false">SUM(Q24:Q26)</f>
        <v>14</v>
      </c>
      <c r="S27" s="1" t="n">
        <f aca="false">SUM(S24:S26)</f>
        <v>15</v>
      </c>
      <c r="U27" s="1" t="n">
        <f aca="false">SUM(U24:U26)</f>
        <v>16</v>
      </c>
      <c r="V27" s="1" t="n">
        <f aca="false">SUM(V24:V26)</f>
        <v>16</v>
      </c>
      <c r="Z27" s="1"/>
      <c r="AA27" s="1"/>
      <c r="AB27" s="1"/>
      <c r="AC27" s="1"/>
      <c r="AF27" s="2" t="n">
        <f aca="false">SUM(AF24:AF26)</f>
        <v>15</v>
      </c>
      <c r="AH27" s="2" t="n">
        <f aca="false">SUM(AH24:AH26)</f>
        <v>15</v>
      </c>
    </row>
    <row r="1048576" customFormat="false" ht="12.8" hidden="false" customHeight="false" outlineLevel="0" collapsed="false"/>
  </sheetData>
  <conditionalFormatting sqref="AB3:AB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A23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V17" activeCellId="0" sqref="V17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5" min="3" style="1" width="9.6"/>
    <col collapsed="false" customWidth="true" hidden="false" outlineLevel="0" max="6" min="6" style="1" width="12.98"/>
    <col collapsed="false" customWidth="false" hidden="false" outlineLevel="0" max="8" min="7" style="1" width="9.6"/>
    <col collapsed="false" customWidth="true" hidden="false" outlineLevel="0" max="9" min="9" style="1" width="9.53"/>
    <col collapsed="false" customWidth="true" hidden="false" outlineLevel="0" max="10" min="10" style="1" width="11.94"/>
    <col collapsed="false" customWidth="true" hidden="false" outlineLevel="0" max="11" min="11" style="1" width="14.2"/>
    <col collapsed="false" customWidth="true" hidden="false" outlineLevel="0" max="12" min="12" style="1" width="8.46"/>
    <col collapsed="false" customWidth="true" hidden="false" outlineLevel="0" max="13" min="13" style="1" width="19.08"/>
    <col collapsed="false" customWidth="true" hidden="false" outlineLevel="0" max="14" min="14" style="1" width="14.2"/>
    <col collapsed="false" customWidth="true" hidden="false" outlineLevel="0" max="15" min="15" style="1" width="8.84"/>
    <col collapsed="false" customWidth="true" hidden="false" outlineLevel="0" max="16" min="16" style="1" width="21.49"/>
    <col collapsed="false" customWidth="true" hidden="false" outlineLevel="0" max="17" min="17" style="1" width="15.1"/>
    <col collapsed="false" customWidth="true" hidden="false" outlineLevel="0" max="18" min="18" style="1" width="8.84"/>
    <col collapsed="false" customWidth="true" hidden="false" outlineLevel="0" max="19" min="19" style="1" width="10.76"/>
    <col collapsed="false" customWidth="true" hidden="false" outlineLevel="0" max="22" min="20" style="1" width="19.08"/>
    <col collapsed="false" customWidth="true" hidden="true" outlineLevel="0" max="23" min="23" style="1" width="19.08"/>
    <col collapsed="false" customWidth="false" hidden="true" outlineLevel="0" max="24" min="24" style="0" width="9.6"/>
    <col collapsed="false" customWidth="true" hidden="true" outlineLevel="0" max="25" min="25" style="1" width="21.35"/>
    <col collapsed="false" customWidth="true" hidden="true" outlineLevel="0" max="26" min="26" style="1" width="27.18"/>
    <col collapsed="false" customWidth="true" hidden="false" outlineLevel="0" max="997" min="997" style="1" width="9.33"/>
    <col collapsed="false" customWidth="true" hidden="false" outlineLevel="0" max="16384" min="16355" style="1" width="10.58"/>
  </cols>
  <sheetData>
    <row r="1" customFormat="false" ht="15" hidden="false" customHeight="false" outlineLevel="0" collapsed="false">
      <c r="B1" s="2"/>
      <c r="K1" s="1" t="s">
        <v>85</v>
      </c>
      <c r="N1" s="1" t="s">
        <v>85</v>
      </c>
      <c r="Q1" s="1" t="s">
        <v>86</v>
      </c>
      <c r="AA1" s="9" t="n">
        <v>46189</v>
      </c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87</v>
      </c>
      <c r="D2" s="2" t="s">
        <v>88</v>
      </c>
      <c r="E2" s="2" t="s">
        <v>89</v>
      </c>
      <c r="F2" s="2" t="s">
        <v>90</v>
      </c>
      <c r="G2" s="2" t="s">
        <v>91</v>
      </c>
      <c r="H2" s="2" t="s">
        <v>92</v>
      </c>
      <c r="I2" s="2" t="s">
        <v>93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98</v>
      </c>
      <c r="O2" s="2" t="s">
        <v>99</v>
      </c>
      <c r="P2" s="2" t="s">
        <v>100</v>
      </c>
      <c r="Q2" s="2" t="s">
        <v>101</v>
      </c>
      <c r="R2" s="2" t="s">
        <v>102</v>
      </c>
      <c r="S2" s="2" t="s">
        <v>103</v>
      </c>
      <c r="T2" s="4" t="s">
        <v>10</v>
      </c>
      <c r="U2" s="4" t="s">
        <v>104</v>
      </c>
      <c r="V2" s="2" t="s">
        <v>105</v>
      </c>
      <c r="W2" s="2" t="s">
        <v>106</v>
      </c>
      <c r="Y2" s="2" t="s">
        <v>107</v>
      </c>
      <c r="Z2" s="2" t="s">
        <v>108</v>
      </c>
      <c r="AA2" s="10" t="s">
        <v>109</v>
      </c>
    </row>
    <row r="3" s="1" customFormat="true" ht="15" hidden="false" customHeight="false" outlineLevel="0" collapsed="false">
      <c r="A3" s="1" t="n">
        <v>7</v>
      </c>
      <c r="B3" s="2" t="s">
        <v>36</v>
      </c>
      <c r="C3" s="1" t="n">
        <v>1</v>
      </c>
      <c r="I3" s="1" t="n">
        <v>10</v>
      </c>
      <c r="J3" s="1" t="n">
        <v>9</v>
      </c>
      <c r="K3" s="1" t="n">
        <v>0</v>
      </c>
      <c r="L3" s="1" t="n">
        <f aca="false">J3-K3</f>
        <v>9</v>
      </c>
      <c r="M3" s="1" t="n">
        <v>8</v>
      </c>
      <c r="N3" s="1" t="n">
        <v>0</v>
      </c>
      <c r="O3" s="1" t="n">
        <f aca="false">M3-N3</f>
        <v>8</v>
      </c>
      <c r="P3" s="1" t="n">
        <v>7</v>
      </c>
      <c r="Q3" s="1" t="n">
        <v>0</v>
      </c>
      <c r="R3" s="1" t="n">
        <f aca="false">P3-Q3</f>
        <v>7</v>
      </c>
      <c r="S3" s="1" t="n">
        <v>10</v>
      </c>
      <c r="T3" s="11" t="n">
        <f aca="false">ROUND(AVERAGE(I3,L3,O3,R3,S3),0)</f>
        <v>9</v>
      </c>
      <c r="U3" s="11" t="str">
        <f aca="false">IF(T3&gt;6,"TEA",IF(T3&gt;3,"TEP","TED"))</f>
        <v>TEA</v>
      </c>
      <c r="W3" s="1" t="n">
        <v>10</v>
      </c>
      <c r="AA3" s="1" t="n">
        <v>7</v>
      </c>
    </row>
    <row r="4" s="6" customFormat="true" ht="15" hidden="false" customHeight="false" outlineLevel="0" collapsed="false">
      <c r="A4" s="1" t="n">
        <v>11</v>
      </c>
      <c r="B4" s="2" t="s">
        <v>51</v>
      </c>
      <c r="C4" s="1" t="n">
        <v>1</v>
      </c>
      <c r="D4" s="1"/>
      <c r="E4" s="1"/>
      <c r="F4" s="1"/>
      <c r="G4" s="1"/>
      <c r="H4" s="1"/>
      <c r="I4" s="1" t="n">
        <v>10</v>
      </c>
      <c r="J4" s="1" t="n">
        <v>9</v>
      </c>
      <c r="K4" s="1" t="n">
        <v>0</v>
      </c>
      <c r="L4" s="1" t="n">
        <f aca="false">J4-K4</f>
        <v>9</v>
      </c>
      <c r="M4" s="1" t="n">
        <v>8</v>
      </c>
      <c r="N4" s="1" t="n">
        <v>1</v>
      </c>
      <c r="O4" s="1" t="n">
        <f aca="false">M4-N4</f>
        <v>7</v>
      </c>
      <c r="P4" s="1" t="n">
        <v>7</v>
      </c>
      <c r="Q4" s="1" t="n">
        <v>0</v>
      </c>
      <c r="R4" s="1" t="n">
        <f aca="false">P4-Q4</f>
        <v>7</v>
      </c>
      <c r="S4" s="1" t="n">
        <v>9</v>
      </c>
      <c r="T4" s="11" t="n">
        <f aca="false">ROUND(AVERAGE(I4,L4,O4,R4,S4),0)</f>
        <v>8</v>
      </c>
      <c r="U4" s="11" t="str">
        <f aca="false">IF(T4&gt;6,"TEA",IF(T4&gt;3,"TEP","TED"))</f>
        <v>TEA</v>
      </c>
      <c r="V4" s="1"/>
      <c r="W4" s="1" t="n">
        <v>7</v>
      </c>
      <c r="X4" s="2"/>
      <c r="Y4" s="2"/>
      <c r="Z4" s="2"/>
      <c r="AA4" s="1" t="n">
        <v>7</v>
      </c>
    </row>
    <row r="5" s="1" customFormat="true" ht="15" hidden="false" customHeight="false" outlineLevel="0" collapsed="false">
      <c r="A5" s="1" t="n">
        <v>21</v>
      </c>
      <c r="B5" s="2" t="s">
        <v>79</v>
      </c>
      <c r="C5" s="1" t="n">
        <v>1</v>
      </c>
      <c r="I5" s="1" t="n">
        <v>10</v>
      </c>
      <c r="J5" s="1" t="n">
        <v>7</v>
      </c>
      <c r="K5" s="1" t="n">
        <v>2</v>
      </c>
      <c r="L5" s="1" t="n">
        <f aca="false">J5-K5</f>
        <v>5</v>
      </c>
      <c r="M5" s="1" t="n">
        <v>8</v>
      </c>
      <c r="N5" s="1" t="n">
        <v>0</v>
      </c>
      <c r="O5" s="1" t="n">
        <f aca="false">M5-N5</f>
        <v>8</v>
      </c>
      <c r="P5" s="1" t="n">
        <v>7</v>
      </c>
      <c r="Q5" s="6" t="n">
        <v>1</v>
      </c>
      <c r="R5" s="1" t="n">
        <f aca="false">P5-Q5</f>
        <v>6</v>
      </c>
      <c r="S5" s="1" t="n">
        <v>10</v>
      </c>
      <c r="T5" s="11" t="n">
        <f aca="false">ROUND(AVERAGE(I5,L5,O5,R5,S5),0)</f>
        <v>8</v>
      </c>
      <c r="U5" s="11" t="str">
        <f aca="false">IF(T5&gt;6,"TEA",IF(T5&gt;3,"TEP","TED"))</f>
        <v>TEA</v>
      </c>
      <c r="V5" s="6"/>
      <c r="W5" s="6" t="n">
        <v>8</v>
      </c>
      <c r="X5" s="6"/>
      <c r="Y5" s="6"/>
      <c r="Z5" s="6"/>
      <c r="AA5" s="6" t="n">
        <v>7</v>
      </c>
    </row>
    <row r="6" s="1" customFormat="true" ht="15" hidden="false" customHeight="false" outlineLevel="0" collapsed="false">
      <c r="A6" s="1" t="n">
        <v>2</v>
      </c>
      <c r="B6" s="2" t="s">
        <v>19</v>
      </c>
      <c r="C6" s="1" t="n">
        <v>2</v>
      </c>
      <c r="I6" s="1" t="n">
        <v>9</v>
      </c>
      <c r="J6" s="1" t="n">
        <v>7</v>
      </c>
      <c r="K6" s="1" t="n">
        <v>2</v>
      </c>
      <c r="L6" s="1" t="n">
        <f aca="false">J6-K6</f>
        <v>5</v>
      </c>
      <c r="M6" s="1" t="n">
        <v>9</v>
      </c>
      <c r="N6" s="1" t="n">
        <v>0</v>
      </c>
      <c r="O6" s="1" t="n">
        <f aca="false">M6-N6</f>
        <v>9</v>
      </c>
      <c r="P6" s="1" t="n">
        <v>8</v>
      </c>
      <c r="Q6" s="1" t="n">
        <v>0</v>
      </c>
      <c r="R6" s="1" t="n">
        <f aca="false">P6-Q6</f>
        <v>8</v>
      </c>
      <c r="S6" s="1" t="n">
        <v>10</v>
      </c>
      <c r="T6" s="11" t="n">
        <f aca="false">ROUND(AVERAGE(I6,L6,O6,R6,S6),0)</f>
        <v>8</v>
      </c>
      <c r="U6" s="11" t="str">
        <f aca="false">IF(T6&gt;6,"TEA",IF(T6&gt;3,"TEP","TED"))</f>
        <v>TEA</v>
      </c>
      <c r="W6" s="1" t="n">
        <v>9</v>
      </c>
      <c r="AA6" s="6" t="n">
        <v>4</v>
      </c>
    </row>
    <row r="7" s="1" customFormat="true" ht="15" hidden="false" customHeight="false" outlineLevel="0" collapsed="false">
      <c r="A7" s="1" t="n">
        <v>5</v>
      </c>
      <c r="B7" s="2" t="s">
        <v>29</v>
      </c>
      <c r="C7" s="1" t="n">
        <v>2</v>
      </c>
      <c r="D7" s="2"/>
      <c r="E7" s="2"/>
      <c r="F7" s="2"/>
      <c r="G7" s="2"/>
      <c r="H7" s="2"/>
      <c r="I7" s="2" t="n">
        <v>7.5</v>
      </c>
      <c r="J7" s="2" t="n">
        <v>9</v>
      </c>
      <c r="K7" s="2" t="n">
        <v>0</v>
      </c>
      <c r="L7" s="1" t="n">
        <f aca="false">J7-K7</f>
        <v>9</v>
      </c>
      <c r="M7" s="2" t="n">
        <v>9</v>
      </c>
      <c r="N7" s="1" t="n">
        <v>5</v>
      </c>
      <c r="O7" s="1" t="n">
        <f aca="false">M7-N7</f>
        <v>4</v>
      </c>
      <c r="P7" s="2" t="n">
        <v>8</v>
      </c>
      <c r="Q7" s="2" t="n">
        <v>0</v>
      </c>
      <c r="R7" s="1" t="n">
        <f aca="false">P7-Q7</f>
        <v>8</v>
      </c>
      <c r="S7" s="1" t="n">
        <v>10</v>
      </c>
      <c r="T7" s="11" t="n">
        <f aca="false">ROUND(AVERAGE(I7,L7,O7,R7,S7),0)</f>
        <v>8</v>
      </c>
      <c r="U7" s="11" t="str">
        <f aca="false">IF(T7&gt;6,"TEA",IF(T7&gt;3,"TEP","TED"))</f>
        <v>TEA</v>
      </c>
      <c r="V7" s="2"/>
      <c r="W7" s="2" t="n">
        <v>8</v>
      </c>
      <c r="X7" s="2"/>
      <c r="Y7" s="2"/>
      <c r="Z7" s="2"/>
      <c r="AA7" s="1" t="n">
        <v>4</v>
      </c>
    </row>
    <row r="8" s="2" customFormat="true" ht="15" hidden="false" customHeight="false" outlineLevel="0" collapsed="false">
      <c r="A8" s="1" t="n">
        <v>6</v>
      </c>
      <c r="B8" s="2" t="s">
        <v>32</v>
      </c>
      <c r="C8" s="2" t="n">
        <v>2</v>
      </c>
      <c r="D8" s="1"/>
      <c r="E8" s="1"/>
      <c r="F8" s="1"/>
      <c r="G8" s="1"/>
      <c r="H8" s="1"/>
      <c r="I8" s="1" t="n">
        <v>10</v>
      </c>
      <c r="J8" s="1" t="n">
        <v>8</v>
      </c>
      <c r="K8" s="1" t="n">
        <v>1</v>
      </c>
      <c r="L8" s="1" t="n">
        <f aca="false">J8-K8</f>
        <v>7</v>
      </c>
      <c r="M8" s="1" t="n">
        <v>9</v>
      </c>
      <c r="N8" s="1" t="n">
        <v>0</v>
      </c>
      <c r="O8" s="1" t="n">
        <f aca="false">M8-N8</f>
        <v>9</v>
      </c>
      <c r="P8" s="1" t="n">
        <v>8</v>
      </c>
      <c r="Q8" s="1" t="n">
        <v>0</v>
      </c>
      <c r="R8" s="1" t="n">
        <f aca="false">P8-Q8</f>
        <v>8</v>
      </c>
      <c r="S8" s="1" t="n">
        <v>10</v>
      </c>
      <c r="T8" s="11" t="n">
        <f aca="false">ROUND(AVERAGE(I8,L8,O8,R8,S8),0)</f>
        <v>9</v>
      </c>
      <c r="U8" s="11" t="str">
        <f aca="false">IF(T8&gt;6,"TEA",IF(T8&gt;3,"TEP","TED"))</f>
        <v>TEA</v>
      </c>
      <c r="V8" s="1"/>
      <c r="W8" s="1" t="n">
        <v>8</v>
      </c>
      <c r="X8" s="1"/>
      <c r="Y8" s="1"/>
      <c r="Z8" s="1"/>
      <c r="AA8" s="2" t="n">
        <v>4</v>
      </c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</row>
    <row r="9" s="1" customFormat="true" ht="15" hidden="false" customHeight="false" outlineLevel="0" collapsed="false">
      <c r="A9" s="1" t="n">
        <v>1</v>
      </c>
      <c r="B9" s="2" t="s">
        <v>12</v>
      </c>
      <c r="C9" s="1" t="n">
        <v>4</v>
      </c>
      <c r="D9" s="1" t="s">
        <v>110</v>
      </c>
      <c r="I9" s="1" t="n">
        <v>9</v>
      </c>
      <c r="J9" s="1" t="n">
        <v>7</v>
      </c>
      <c r="K9" s="1" t="n">
        <v>2</v>
      </c>
      <c r="L9" s="1" t="n">
        <f aca="false">J9-K9</f>
        <v>5</v>
      </c>
      <c r="M9" s="1" t="n">
        <v>9</v>
      </c>
      <c r="N9" s="1" t="n">
        <v>0</v>
      </c>
      <c r="O9" s="1" t="n">
        <f aca="false">M9-N9</f>
        <v>9</v>
      </c>
      <c r="P9" s="1" t="n">
        <v>9</v>
      </c>
      <c r="Q9" s="1" t="n">
        <v>1</v>
      </c>
      <c r="R9" s="1" t="n">
        <f aca="false">P9-Q9</f>
        <v>8</v>
      </c>
      <c r="S9" s="1" t="n">
        <v>10</v>
      </c>
      <c r="T9" s="11" t="n">
        <f aca="false">ROUND(AVERAGE(I9,L9,O9,R9,S9),0)</f>
        <v>8</v>
      </c>
      <c r="U9" s="11" t="str">
        <f aca="false">IF(T9&gt;6,"TEA",IF(T9&gt;3,"TEP","TED"))</f>
        <v>TEA</v>
      </c>
      <c r="W9" s="1" t="n">
        <v>9</v>
      </c>
      <c r="AA9" s="1" t="n">
        <v>5</v>
      </c>
    </row>
    <row r="10" s="6" customFormat="true" ht="15" hidden="false" customHeight="false" outlineLevel="0" collapsed="false">
      <c r="A10" s="1" t="n">
        <v>3</v>
      </c>
      <c r="B10" s="2" t="s">
        <v>22</v>
      </c>
      <c r="C10" s="1" t="n">
        <v>4</v>
      </c>
      <c r="D10" s="1"/>
      <c r="E10" s="1"/>
      <c r="F10" s="1" t="s">
        <v>111</v>
      </c>
      <c r="G10" s="1"/>
      <c r="H10" s="1"/>
      <c r="I10" s="1" t="n">
        <v>10</v>
      </c>
      <c r="J10" s="1" t="n">
        <v>8</v>
      </c>
      <c r="K10" s="1" t="n">
        <v>1</v>
      </c>
      <c r="L10" s="1" t="n">
        <f aca="false">J10-K10</f>
        <v>7</v>
      </c>
      <c r="M10" s="1" t="n">
        <v>9</v>
      </c>
      <c r="N10" s="1" t="n">
        <v>0</v>
      </c>
      <c r="O10" s="1" t="n">
        <f aca="false">M10-N10</f>
        <v>9</v>
      </c>
      <c r="P10" s="1" t="n">
        <v>9</v>
      </c>
      <c r="Q10" s="1" t="n">
        <v>0</v>
      </c>
      <c r="R10" s="1" t="n">
        <f aca="false">P10-Q10</f>
        <v>9</v>
      </c>
      <c r="S10" s="1" t="n">
        <v>10</v>
      </c>
      <c r="T10" s="11" t="n">
        <f aca="false">ROUND(AVERAGE(I10,L10,O10,R10,S10),0)</f>
        <v>9</v>
      </c>
      <c r="U10" s="11" t="str">
        <f aca="false">IF(T10&gt;6,"TEA",IF(T10&gt;3,"TEP","TED"))</f>
        <v>TEA</v>
      </c>
      <c r="V10" s="1"/>
      <c r="W10" s="1" t="n">
        <v>9</v>
      </c>
      <c r="X10" s="1"/>
      <c r="Y10" s="1"/>
      <c r="Z10" s="1"/>
      <c r="AA10" s="1" t="n">
        <v>5</v>
      </c>
    </row>
    <row r="11" s="1" customFormat="true" ht="15" hidden="false" customHeight="false" outlineLevel="0" collapsed="false">
      <c r="A11" s="1" t="n">
        <v>15</v>
      </c>
      <c r="B11" s="2" t="s">
        <v>64</v>
      </c>
      <c r="C11" s="1" t="n">
        <v>4</v>
      </c>
      <c r="D11" s="2"/>
      <c r="E11" s="2" t="s">
        <v>112</v>
      </c>
      <c r="F11" s="2"/>
      <c r="G11" s="2"/>
      <c r="H11" s="2"/>
      <c r="I11" s="2" t="n">
        <v>10</v>
      </c>
      <c r="J11" s="2" t="n">
        <v>8</v>
      </c>
      <c r="K11" s="2" t="n">
        <v>1</v>
      </c>
      <c r="L11" s="1" t="n">
        <f aca="false">J11-K11</f>
        <v>7</v>
      </c>
      <c r="M11" s="2" t="n">
        <v>9</v>
      </c>
      <c r="N11" s="1" t="n">
        <v>0</v>
      </c>
      <c r="O11" s="1" t="n">
        <f aca="false">M11-N11</f>
        <v>9</v>
      </c>
      <c r="P11" s="2" t="n">
        <v>9</v>
      </c>
      <c r="Q11" s="2" t="n">
        <v>2</v>
      </c>
      <c r="R11" s="1" t="n">
        <f aca="false">P11-Q11</f>
        <v>7</v>
      </c>
      <c r="S11" s="1" t="n">
        <v>10</v>
      </c>
      <c r="T11" s="11" t="n">
        <f aca="false">ROUND(AVERAGE(I11,L11,O11,R11,S11),0)</f>
        <v>9</v>
      </c>
      <c r="U11" s="11" t="str">
        <f aca="false">IF(T11&gt;6,"TEA",IF(T11&gt;3,"TEP","TED"))</f>
        <v>TEA</v>
      </c>
      <c r="V11" s="2"/>
      <c r="W11" s="2" t="n">
        <v>7</v>
      </c>
      <c r="X11" s="2"/>
      <c r="Y11" s="2"/>
      <c r="Z11" s="2"/>
      <c r="AA11" s="1" t="n">
        <v>5</v>
      </c>
    </row>
    <row r="12" s="7" customFormat="true" ht="15" hidden="false" customHeight="false" outlineLevel="0" collapsed="false">
      <c r="A12" s="1" t="n">
        <v>20</v>
      </c>
      <c r="B12" s="2" t="s">
        <v>76</v>
      </c>
      <c r="C12" s="1" t="n">
        <v>4</v>
      </c>
      <c r="D12" s="2" t="s">
        <v>113</v>
      </c>
      <c r="E12" s="2"/>
      <c r="F12" s="2"/>
      <c r="G12" s="2"/>
      <c r="H12" s="2"/>
      <c r="I12" s="2" t="n">
        <v>8.25</v>
      </c>
      <c r="J12" s="2" t="n">
        <v>9</v>
      </c>
      <c r="K12" s="2" t="n">
        <v>0</v>
      </c>
      <c r="L12" s="1" t="n">
        <f aca="false">J12-K12</f>
        <v>9</v>
      </c>
      <c r="M12" s="2" t="n">
        <v>9</v>
      </c>
      <c r="N12" s="1" t="n">
        <v>0</v>
      </c>
      <c r="O12" s="1" t="n">
        <f aca="false">M12-N12</f>
        <v>9</v>
      </c>
      <c r="P12" s="2" t="n">
        <v>9</v>
      </c>
      <c r="Q12" s="6" t="n">
        <v>1</v>
      </c>
      <c r="R12" s="1" t="n">
        <f aca="false">P12-Q12</f>
        <v>8</v>
      </c>
      <c r="S12" s="1" t="n">
        <v>10</v>
      </c>
      <c r="T12" s="11" t="n">
        <f aca="false">ROUND(AVERAGE(I12,L12,O12,R12,S12),0)</f>
        <v>9</v>
      </c>
      <c r="U12" s="11" t="str">
        <f aca="false">IF(T12&gt;6,"TEA",IF(T12&gt;3,"TEP","TED"))</f>
        <v>TEA</v>
      </c>
      <c r="V12" s="6"/>
      <c r="W12" s="6"/>
      <c r="X12" s="6"/>
      <c r="Y12" s="6"/>
      <c r="Z12" s="6"/>
      <c r="AA12" s="6" t="n">
        <v>5</v>
      </c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</row>
    <row r="13" s="1" customFormat="true" ht="15" hidden="false" customHeight="false" outlineLevel="0" collapsed="false">
      <c r="A13" s="1" t="n">
        <v>4</v>
      </c>
      <c r="B13" s="2" t="s">
        <v>26</v>
      </c>
      <c r="C13" s="1" t="n">
        <v>5</v>
      </c>
      <c r="I13" s="1" t="n">
        <v>10</v>
      </c>
      <c r="J13" s="1" t="n">
        <v>8</v>
      </c>
      <c r="K13" s="1" t="n">
        <v>1</v>
      </c>
      <c r="L13" s="1" t="n">
        <f aca="false">J13-K13</f>
        <v>7</v>
      </c>
      <c r="M13" s="1" t="n">
        <v>9</v>
      </c>
      <c r="N13" s="1" t="n">
        <v>0</v>
      </c>
      <c r="O13" s="1" t="n">
        <f aca="false">M13-N13</f>
        <v>9</v>
      </c>
      <c r="P13" s="1" t="n">
        <v>9</v>
      </c>
      <c r="Q13" s="1" t="n">
        <v>0</v>
      </c>
      <c r="R13" s="1" t="n">
        <f aca="false">P13-Q13</f>
        <v>9</v>
      </c>
      <c r="S13" s="1" t="n">
        <v>10</v>
      </c>
      <c r="T13" s="11" t="n">
        <f aca="false">ROUND(AVERAGE(I13,L13,O13,R13,S13),0)</f>
        <v>9</v>
      </c>
      <c r="U13" s="11" t="str">
        <f aca="false">IF(T13&gt;6,"TEA",IF(T13&gt;3,"TEP","TED"))</f>
        <v>TEA</v>
      </c>
      <c r="W13" s="1" t="n">
        <v>8</v>
      </c>
      <c r="AA13" s="1" t="n">
        <v>7</v>
      </c>
    </row>
    <row r="14" s="1" customFormat="true" ht="15" hidden="false" customHeight="false" outlineLevel="0" collapsed="false">
      <c r="A14" s="1" t="n">
        <v>8</v>
      </c>
      <c r="B14" s="2" t="s">
        <v>39</v>
      </c>
      <c r="C14" s="1" t="n">
        <v>5</v>
      </c>
      <c r="E14" s="1" t="s">
        <v>113</v>
      </c>
      <c r="I14" s="1" t="n">
        <v>10</v>
      </c>
      <c r="J14" s="1" t="n">
        <v>9</v>
      </c>
      <c r="K14" s="1" t="n">
        <v>0</v>
      </c>
      <c r="L14" s="1" t="n">
        <f aca="false">J14-K14</f>
        <v>9</v>
      </c>
      <c r="M14" s="1" t="n">
        <v>9</v>
      </c>
      <c r="N14" s="1" t="n">
        <v>0</v>
      </c>
      <c r="O14" s="1" t="n">
        <f aca="false">M14-N14</f>
        <v>9</v>
      </c>
      <c r="P14" s="1" t="n">
        <v>9</v>
      </c>
      <c r="Q14" s="1" t="n">
        <v>0</v>
      </c>
      <c r="R14" s="1" t="n">
        <f aca="false">P14-Q14</f>
        <v>9</v>
      </c>
      <c r="S14" s="1" t="n">
        <v>9</v>
      </c>
      <c r="T14" s="11" t="n">
        <f aca="false">ROUND(AVERAGE(I14,L14,O14,R14,S14),0)</f>
        <v>9</v>
      </c>
      <c r="U14" s="11" t="str">
        <f aca="false">IF(T14&gt;6,"TEA",IF(T14&gt;3,"TEP","TED"))</f>
        <v>TEA</v>
      </c>
      <c r="W14" s="1" t="n">
        <v>10</v>
      </c>
      <c r="X14" s="2"/>
      <c r="Y14" s="2" t="s">
        <v>114</v>
      </c>
      <c r="Z14" s="2" t="s">
        <v>115</v>
      </c>
      <c r="AA14" s="6" t="n">
        <v>7</v>
      </c>
    </row>
    <row r="15" s="7" customFormat="true" ht="15" hidden="false" customHeight="false" outlineLevel="0" collapsed="false">
      <c r="A15" s="1" t="n">
        <v>9</v>
      </c>
      <c r="B15" s="2" t="s">
        <v>42</v>
      </c>
      <c r="C15" s="1" t="n">
        <v>5</v>
      </c>
      <c r="D15" s="1"/>
      <c r="E15" s="1"/>
      <c r="F15" s="1"/>
      <c r="G15" s="1"/>
      <c r="H15" s="1"/>
      <c r="I15" s="1" t="n">
        <v>9</v>
      </c>
      <c r="J15" s="1" t="n">
        <v>8</v>
      </c>
      <c r="K15" s="1" t="n">
        <v>1</v>
      </c>
      <c r="L15" s="1" t="n">
        <f aca="false">J15-K15</f>
        <v>7</v>
      </c>
      <c r="M15" s="1" t="n">
        <v>9</v>
      </c>
      <c r="N15" s="1" t="n">
        <v>0</v>
      </c>
      <c r="O15" s="1" t="n">
        <f aca="false">M15-N15</f>
        <v>9</v>
      </c>
      <c r="P15" s="1" t="n">
        <v>9</v>
      </c>
      <c r="Q15" s="2" t="n">
        <v>0</v>
      </c>
      <c r="R15" s="1" t="n">
        <f aca="false">P15-Q15</f>
        <v>9</v>
      </c>
      <c r="S15" s="1" t="n">
        <v>10</v>
      </c>
      <c r="T15" s="11" t="n">
        <f aca="false">ROUND(AVERAGE(I15,L15,O15,R15,S15),0)</f>
        <v>9</v>
      </c>
      <c r="U15" s="11" t="str">
        <f aca="false">IF(T15&gt;6,"TEA",IF(T15&gt;3,"TEP","TED"))</f>
        <v>TEA</v>
      </c>
      <c r="V15" s="2"/>
      <c r="W15" s="1" t="n">
        <v>10</v>
      </c>
      <c r="X15" s="1"/>
      <c r="Y15" s="1"/>
      <c r="Z15" s="1"/>
      <c r="AA15" s="1" t="n">
        <v>7</v>
      </c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</row>
    <row r="16" s="1" customFormat="true" ht="15" hidden="false" customHeight="false" outlineLevel="0" collapsed="false">
      <c r="A16" s="1" t="n">
        <v>12</v>
      </c>
      <c r="B16" s="2" t="s">
        <v>54</v>
      </c>
      <c r="C16" s="1" t="n">
        <v>5</v>
      </c>
      <c r="D16" s="2"/>
      <c r="E16" s="2"/>
      <c r="F16" s="2"/>
      <c r="G16" s="2"/>
      <c r="H16" s="2"/>
      <c r="I16" s="2" t="n">
        <v>9</v>
      </c>
      <c r="J16" s="2" t="n">
        <v>8</v>
      </c>
      <c r="K16" s="2" t="n">
        <v>1</v>
      </c>
      <c r="L16" s="1" t="n">
        <f aca="false">J16-K16</f>
        <v>7</v>
      </c>
      <c r="M16" s="2" t="n">
        <v>9</v>
      </c>
      <c r="N16" s="1" t="n">
        <v>0</v>
      </c>
      <c r="O16" s="1" t="n">
        <f aca="false">M16-N16</f>
        <v>9</v>
      </c>
      <c r="P16" s="2" t="n">
        <v>9</v>
      </c>
      <c r="Q16" s="1" t="n">
        <v>0</v>
      </c>
      <c r="R16" s="1" t="n">
        <f aca="false">P16-Q16</f>
        <v>9</v>
      </c>
      <c r="S16" s="1" t="n">
        <v>10</v>
      </c>
      <c r="T16" s="11" t="n">
        <f aca="false">ROUND(AVERAGE(I16,L16,O16,R16,S16),0)</f>
        <v>9</v>
      </c>
      <c r="U16" s="11" t="str">
        <f aca="false">IF(T16&gt;6,"TEA",IF(T16&gt;3,"TEP","TED"))</f>
        <v>TEA</v>
      </c>
      <c r="W16" s="1" t="n">
        <v>8</v>
      </c>
      <c r="AA16" s="1" t="n">
        <v>7</v>
      </c>
    </row>
    <row r="17" s="1" customFormat="true" ht="15" hidden="false" customHeight="false" outlineLevel="0" collapsed="false">
      <c r="A17" s="1" t="n">
        <v>14</v>
      </c>
      <c r="B17" s="2" t="s">
        <v>61</v>
      </c>
      <c r="C17" s="1" t="n">
        <v>5</v>
      </c>
      <c r="D17" s="2"/>
      <c r="E17" s="2"/>
      <c r="F17" s="2"/>
      <c r="G17" s="2"/>
      <c r="H17" s="2"/>
      <c r="I17" s="2" t="n">
        <v>10</v>
      </c>
      <c r="J17" s="2" t="n">
        <v>9</v>
      </c>
      <c r="K17" s="2" t="n">
        <v>0</v>
      </c>
      <c r="L17" s="1" t="n">
        <f aca="false">J17-K17</f>
        <v>9</v>
      </c>
      <c r="M17" s="2" t="n">
        <v>9</v>
      </c>
      <c r="N17" s="1" t="n">
        <v>0</v>
      </c>
      <c r="O17" s="1" t="n">
        <f aca="false">M17-N17</f>
        <v>9</v>
      </c>
      <c r="P17" s="2" t="n">
        <v>9</v>
      </c>
      <c r="Q17" s="2" t="n">
        <v>0</v>
      </c>
      <c r="R17" s="1" t="n">
        <f aca="false">P17-Q17</f>
        <v>9</v>
      </c>
      <c r="S17" s="1" t="n">
        <v>10</v>
      </c>
      <c r="T17" s="11" t="n">
        <f aca="false">ROUND(AVERAGE(I17,L17,O17,R17,S17),0)</f>
        <v>9</v>
      </c>
      <c r="U17" s="11" t="str">
        <f aca="false">IF(T17&gt;6,"TEA",IF(T17&gt;3,"TEP","TED"))</f>
        <v>TEA</v>
      </c>
      <c r="V17" s="2"/>
      <c r="W17" s="2" t="n">
        <v>7</v>
      </c>
      <c r="X17" s="2"/>
      <c r="Y17" s="2"/>
      <c r="Z17" s="2"/>
      <c r="AA17" s="1" t="n">
        <v>7</v>
      </c>
    </row>
    <row r="18" s="7" customFormat="true" ht="15" hidden="false" customHeight="false" outlineLevel="0" collapsed="false">
      <c r="A18" s="6" t="n">
        <v>10</v>
      </c>
      <c r="B18" s="7" t="s">
        <v>116</v>
      </c>
      <c r="C18" s="7" t="n">
        <v>100</v>
      </c>
      <c r="D18" s="6"/>
      <c r="E18" s="6" t="s">
        <v>113</v>
      </c>
      <c r="F18" s="6" t="s">
        <v>113</v>
      </c>
      <c r="G18" s="6"/>
      <c r="H18" s="6"/>
      <c r="I18" s="6" t="n">
        <v>3</v>
      </c>
      <c r="J18" s="6" t="n">
        <v>1</v>
      </c>
      <c r="K18" s="6" t="n">
        <v>5</v>
      </c>
      <c r="L18" s="6" t="n">
        <f aca="false">J18-K18</f>
        <v>-4</v>
      </c>
      <c r="M18" s="6" t="n">
        <v>1</v>
      </c>
      <c r="N18" s="6" t="n">
        <v>0</v>
      </c>
      <c r="O18" s="6" t="n">
        <f aca="false">M18-N18</f>
        <v>1</v>
      </c>
      <c r="P18" s="6" t="n">
        <v>1</v>
      </c>
      <c r="Q18" s="7" t="n">
        <v>1</v>
      </c>
      <c r="R18" s="6" t="n">
        <f aca="false">P18-Q18</f>
        <v>0</v>
      </c>
      <c r="S18" s="6" t="n">
        <v>10</v>
      </c>
      <c r="T18" s="12" t="n">
        <f aca="false">ROUND(AVERAGE(I18,L18,O18,R18,S18),0)</f>
        <v>2</v>
      </c>
      <c r="U18" s="12" t="str">
        <f aca="false">IF(T18&gt;6,"TEA",IF(T18&gt;3,"TEP","TED"))</f>
        <v>TED</v>
      </c>
      <c r="W18" s="6" t="n">
        <v>10</v>
      </c>
      <c r="X18" s="6"/>
      <c r="Y18" s="6"/>
      <c r="Z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AMU18" s="6"/>
      <c r="AMV18" s="6"/>
      <c r="AMW18" s="6"/>
      <c r="AMX18" s="6"/>
      <c r="AMY18" s="6"/>
      <c r="AMZ18" s="6"/>
      <c r="ANA18" s="6"/>
    </row>
    <row r="19" s="7" customFormat="true" ht="15" hidden="false" customHeight="false" outlineLevel="0" collapsed="false">
      <c r="A19" s="6" t="n">
        <v>13</v>
      </c>
      <c r="B19" s="7" t="s">
        <v>57</v>
      </c>
      <c r="C19" s="7" t="n">
        <v>100</v>
      </c>
      <c r="D19" s="6" t="s">
        <v>117</v>
      </c>
      <c r="E19" s="6"/>
      <c r="F19" s="6"/>
      <c r="G19" s="6"/>
      <c r="H19" s="6"/>
      <c r="I19" s="6" t="n">
        <v>1</v>
      </c>
      <c r="J19" s="6" t="n">
        <v>1</v>
      </c>
      <c r="K19" s="6" t="n">
        <v>5</v>
      </c>
      <c r="L19" s="6" t="n">
        <f aca="false">J19-K19</f>
        <v>-4</v>
      </c>
      <c r="M19" s="6" t="n">
        <v>1</v>
      </c>
      <c r="N19" s="6" t="n">
        <v>5</v>
      </c>
      <c r="O19" s="6" t="n">
        <f aca="false">M19-N19</f>
        <v>-4</v>
      </c>
      <c r="P19" s="6" t="n">
        <v>1</v>
      </c>
      <c r="Q19" s="6" t="n">
        <v>5</v>
      </c>
      <c r="R19" s="6" t="n">
        <f aca="false">P19-Q19</f>
        <v>-4</v>
      </c>
      <c r="S19" s="6" t="n">
        <v>1</v>
      </c>
      <c r="T19" s="12" t="n">
        <f aca="false">ROUND(AVERAGE(I19,L19,O19,R19,S19),0)</f>
        <v>-2</v>
      </c>
      <c r="U19" s="12" t="str">
        <f aca="false">IF(T19&gt;6,"TEA",IF(T19&gt;3,"TEP","TED"))</f>
        <v>TED</v>
      </c>
      <c r="V19" s="6"/>
      <c r="W19" s="6" t="n">
        <v>7</v>
      </c>
      <c r="X19" s="6"/>
      <c r="Y19" s="6"/>
      <c r="Z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AMU19" s="6"/>
      <c r="AMV19" s="6"/>
      <c r="AMW19" s="6"/>
      <c r="AMX19" s="6"/>
      <c r="AMY19" s="6"/>
      <c r="AMZ19" s="6"/>
      <c r="ANA19" s="6"/>
    </row>
    <row r="20" s="6" customFormat="true" ht="15" hidden="false" customHeight="false" outlineLevel="0" collapsed="false">
      <c r="A20" s="6" t="n">
        <v>16</v>
      </c>
      <c r="B20" s="7" t="s">
        <v>67</v>
      </c>
      <c r="C20" s="7" t="n">
        <v>100</v>
      </c>
      <c r="D20" s="6" t="s">
        <v>118</v>
      </c>
      <c r="I20" s="6" t="n">
        <v>1</v>
      </c>
      <c r="J20" s="6" t="n">
        <v>1</v>
      </c>
      <c r="K20" s="6" t="n">
        <v>5</v>
      </c>
      <c r="L20" s="6" t="n">
        <f aca="false">J20-K20</f>
        <v>-4</v>
      </c>
      <c r="M20" s="6" t="n">
        <v>1</v>
      </c>
      <c r="N20" s="6" t="n">
        <v>5</v>
      </c>
      <c r="O20" s="6" t="n">
        <f aca="false">M20-N20</f>
        <v>-4</v>
      </c>
      <c r="P20" s="6" t="n">
        <v>1</v>
      </c>
      <c r="Q20" s="6" t="n">
        <v>5</v>
      </c>
      <c r="R20" s="6" t="n">
        <f aca="false">P20-Q20</f>
        <v>-4</v>
      </c>
      <c r="S20" s="6" t="n">
        <v>1</v>
      </c>
      <c r="T20" s="12" t="n">
        <f aca="false">ROUND(AVERAGE(I20,L20,O20,R20,S20),0)</f>
        <v>-2</v>
      </c>
      <c r="U20" s="12" t="str">
        <f aca="false">IF(T20&gt;6,"TEA",IF(T20&gt;3,"TEP","TED"))</f>
        <v>TED</v>
      </c>
      <c r="W20" s="6" t="n">
        <v>1</v>
      </c>
      <c r="AA20" s="7"/>
    </row>
    <row r="21" s="6" customFormat="true" ht="15" hidden="false" customHeight="false" outlineLevel="0" collapsed="false">
      <c r="A21" s="6" t="n">
        <v>17</v>
      </c>
      <c r="B21" s="7" t="s">
        <v>70</v>
      </c>
      <c r="C21" s="7" t="n">
        <v>100</v>
      </c>
      <c r="I21" s="6" t="n">
        <v>1</v>
      </c>
      <c r="J21" s="6" t="n">
        <v>1</v>
      </c>
      <c r="K21" s="6" t="n">
        <v>5</v>
      </c>
      <c r="L21" s="6" t="n">
        <f aca="false">J21-K21</f>
        <v>-4</v>
      </c>
      <c r="M21" s="6" t="n">
        <v>1</v>
      </c>
      <c r="N21" s="6" t="n">
        <v>5</v>
      </c>
      <c r="O21" s="6" t="n">
        <f aca="false">M21-N21</f>
        <v>-4</v>
      </c>
      <c r="P21" s="6" t="n">
        <v>1</v>
      </c>
      <c r="Q21" s="6" t="n">
        <v>5</v>
      </c>
      <c r="R21" s="6" t="n">
        <f aca="false">P21-Q21</f>
        <v>-4</v>
      </c>
      <c r="S21" s="6" t="n">
        <v>1</v>
      </c>
      <c r="T21" s="12" t="n">
        <f aca="false">ROUND(AVERAGE(I21,L21,O21,R21,S21),0)</f>
        <v>-2</v>
      </c>
      <c r="U21" s="12" t="str">
        <f aca="false">IF(T21&gt;6,"TEA",IF(T21&gt;3,"TEP","TED"))</f>
        <v>TED</v>
      </c>
      <c r="AA21" s="7"/>
    </row>
    <row r="22" s="7" customFormat="true" ht="15" hidden="false" customHeight="false" outlineLevel="0" collapsed="false">
      <c r="A22" s="6" t="n">
        <v>19</v>
      </c>
      <c r="B22" s="7" t="s">
        <v>73</v>
      </c>
      <c r="C22" s="6" t="n">
        <v>100</v>
      </c>
      <c r="D22" s="6"/>
      <c r="E22" s="6"/>
      <c r="F22" s="6"/>
      <c r="G22" s="6"/>
      <c r="H22" s="6"/>
      <c r="I22" s="6" t="n">
        <v>3</v>
      </c>
      <c r="J22" s="6" t="n">
        <v>1</v>
      </c>
      <c r="K22" s="6" t="n">
        <v>5</v>
      </c>
      <c r="L22" s="6" t="n">
        <f aca="false">J22-K22</f>
        <v>-4</v>
      </c>
      <c r="M22" s="6" t="n">
        <v>1</v>
      </c>
      <c r="N22" s="6" t="n">
        <v>5</v>
      </c>
      <c r="O22" s="6" t="n">
        <f aca="false">M22-N22</f>
        <v>-4</v>
      </c>
      <c r="P22" s="6" t="n">
        <v>1</v>
      </c>
      <c r="Q22" s="6" t="n">
        <v>5</v>
      </c>
      <c r="R22" s="6" t="n">
        <f aca="false">P22-Q22</f>
        <v>-4</v>
      </c>
      <c r="S22" s="6" t="n">
        <v>1</v>
      </c>
      <c r="T22" s="12" t="n">
        <f aca="false">ROUND(AVERAGE(I22,L22,O22,R22,S22),0)</f>
        <v>-2</v>
      </c>
      <c r="U22" s="12" t="str">
        <f aca="false">IF(T22&gt;6,"TEA",IF(T22&gt;3,"TEP","TED"))</f>
        <v>TED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  <c r="IZ22" s="6"/>
      <c r="JA22" s="6"/>
      <c r="JB22" s="6"/>
      <c r="JC22" s="6"/>
      <c r="JD22" s="6"/>
      <c r="JE22" s="6"/>
      <c r="JF22" s="6"/>
      <c r="JG22" s="6"/>
      <c r="JH22" s="6"/>
      <c r="JI22" s="6"/>
      <c r="JJ22" s="6"/>
      <c r="JK22" s="6"/>
      <c r="JL22" s="6"/>
      <c r="JM22" s="6"/>
      <c r="JN22" s="6"/>
      <c r="JO22" s="6"/>
      <c r="JP22" s="6"/>
      <c r="JQ22" s="6"/>
      <c r="JR22" s="6"/>
      <c r="JS22" s="6"/>
      <c r="JT22" s="6"/>
      <c r="JU22" s="6"/>
      <c r="JV22" s="6"/>
      <c r="JW22" s="6"/>
      <c r="JX22" s="6"/>
      <c r="JY22" s="6"/>
      <c r="JZ22" s="6"/>
      <c r="KA22" s="6"/>
      <c r="KB22" s="6"/>
      <c r="KC22" s="6"/>
      <c r="KD22" s="6"/>
      <c r="KE22" s="6"/>
      <c r="KF22" s="6"/>
      <c r="KG22" s="6"/>
      <c r="KH22" s="6"/>
      <c r="KI22" s="6"/>
      <c r="KJ22" s="6"/>
      <c r="KK22" s="6"/>
      <c r="KL22" s="6"/>
      <c r="KM22" s="6"/>
      <c r="KN22" s="6"/>
      <c r="KO22" s="6"/>
      <c r="KP22" s="6"/>
      <c r="KQ22" s="6"/>
      <c r="KR22" s="6"/>
      <c r="KS22" s="6"/>
      <c r="KT22" s="6"/>
      <c r="KU22" s="6"/>
      <c r="KV22" s="6"/>
      <c r="KW22" s="6"/>
      <c r="KX22" s="6"/>
      <c r="KY22" s="6"/>
      <c r="KZ22" s="6"/>
      <c r="LA22" s="6"/>
      <c r="LB22" s="6"/>
      <c r="LC22" s="6"/>
      <c r="LD22" s="6"/>
      <c r="LE22" s="6"/>
      <c r="LF22" s="6"/>
      <c r="LG22" s="6"/>
      <c r="LH22" s="6"/>
      <c r="LI22" s="6"/>
      <c r="LJ22" s="6"/>
      <c r="LK22" s="6"/>
      <c r="LL22" s="6"/>
      <c r="LM22" s="6"/>
      <c r="LN22" s="6"/>
      <c r="LO22" s="6"/>
      <c r="LP22" s="6"/>
      <c r="LQ22" s="6"/>
      <c r="LR22" s="6"/>
      <c r="LS22" s="6"/>
      <c r="LT22" s="6"/>
      <c r="LU22" s="6"/>
      <c r="LV22" s="6"/>
      <c r="LW22" s="6"/>
      <c r="LX22" s="6"/>
      <c r="LY22" s="6"/>
      <c r="LZ22" s="6"/>
      <c r="MA22" s="6"/>
      <c r="MB22" s="6"/>
      <c r="MC22" s="6"/>
      <c r="MD22" s="6"/>
      <c r="ME22" s="6"/>
      <c r="MF22" s="6"/>
      <c r="MG22" s="6"/>
      <c r="MH22" s="6"/>
      <c r="MI22" s="6"/>
      <c r="MJ22" s="6"/>
      <c r="MK22" s="6"/>
      <c r="ML22" s="6"/>
      <c r="MM22" s="6"/>
      <c r="MN22" s="6"/>
      <c r="MO22" s="6"/>
      <c r="MP22" s="6"/>
      <c r="MQ22" s="6"/>
      <c r="MR22" s="6"/>
      <c r="MS22" s="6"/>
      <c r="MT22" s="6"/>
      <c r="MU22" s="6"/>
      <c r="MV22" s="6"/>
      <c r="MW22" s="6"/>
      <c r="MX22" s="6"/>
      <c r="MY22" s="6"/>
      <c r="MZ22" s="6"/>
      <c r="NA22" s="6"/>
      <c r="NB22" s="6"/>
      <c r="NC22" s="6"/>
      <c r="ND22" s="6"/>
      <c r="NE22" s="6"/>
      <c r="NF22" s="6"/>
      <c r="NG22" s="6"/>
      <c r="NH22" s="6"/>
      <c r="NI22" s="6"/>
      <c r="NJ22" s="6"/>
      <c r="NK22" s="6"/>
      <c r="NL22" s="6"/>
      <c r="NM22" s="6"/>
      <c r="NN22" s="6"/>
      <c r="NO22" s="6"/>
      <c r="NP22" s="6"/>
      <c r="NQ22" s="6"/>
      <c r="NR22" s="6"/>
      <c r="NS22" s="6"/>
      <c r="NT22" s="6"/>
      <c r="NU22" s="6"/>
      <c r="NV22" s="6"/>
      <c r="NW22" s="6"/>
      <c r="NX22" s="6"/>
      <c r="NY22" s="6"/>
      <c r="NZ22" s="6"/>
      <c r="OA22" s="6"/>
      <c r="OB22" s="6"/>
      <c r="OC22" s="6"/>
      <c r="OD22" s="6"/>
      <c r="OE22" s="6"/>
      <c r="OF22" s="6"/>
      <c r="OG22" s="6"/>
      <c r="OH22" s="6"/>
      <c r="OI22" s="6"/>
      <c r="OJ22" s="6"/>
      <c r="OK22" s="6"/>
      <c r="OL22" s="6"/>
      <c r="OM22" s="6"/>
      <c r="ON22" s="6"/>
      <c r="OO22" s="6"/>
      <c r="OP22" s="6"/>
      <c r="OQ22" s="6"/>
      <c r="OR22" s="6"/>
      <c r="OS22" s="6"/>
      <c r="OT22" s="6"/>
      <c r="OU22" s="6"/>
      <c r="OV22" s="6"/>
      <c r="OW22" s="6"/>
      <c r="OX22" s="6"/>
      <c r="OY22" s="6"/>
      <c r="OZ22" s="6"/>
      <c r="PA22" s="6"/>
      <c r="PB22" s="6"/>
      <c r="PC22" s="6"/>
      <c r="PD22" s="6"/>
      <c r="PE22" s="6"/>
      <c r="PF22" s="6"/>
      <c r="PG22" s="6"/>
      <c r="PH22" s="6"/>
      <c r="PI22" s="6"/>
      <c r="PJ22" s="6"/>
      <c r="PK22" s="6"/>
      <c r="PL22" s="6"/>
      <c r="PM22" s="6"/>
      <c r="PN22" s="6"/>
      <c r="PO22" s="6"/>
      <c r="PP22" s="6"/>
      <c r="PQ22" s="6"/>
      <c r="PR22" s="6"/>
      <c r="PS22" s="6"/>
      <c r="PT22" s="6"/>
      <c r="PU22" s="6"/>
      <c r="PV22" s="6"/>
      <c r="PW22" s="6"/>
      <c r="PX22" s="6"/>
      <c r="PY22" s="6"/>
      <c r="PZ22" s="6"/>
      <c r="QA22" s="6"/>
      <c r="QB22" s="6"/>
      <c r="QC22" s="6"/>
      <c r="QD22" s="6"/>
      <c r="QE22" s="6"/>
      <c r="QF22" s="6"/>
      <c r="QG22" s="6"/>
      <c r="QH22" s="6"/>
      <c r="QI22" s="6"/>
      <c r="QJ22" s="6"/>
      <c r="QK22" s="6"/>
      <c r="QL22" s="6"/>
      <c r="QM22" s="6"/>
      <c r="QN22" s="6"/>
      <c r="QO22" s="6"/>
      <c r="QP22" s="6"/>
      <c r="QQ22" s="6"/>
      <c r="QR22" s="6"/>
      <c r="QS22" s="6"/>
      <c r="QT22" s="6"/>
      <c r="QU22" s="6"/>
      <c r="QV22" s="6"/>
      <c r="QW22" s="6"/>
      <c r="QX22" s="6"/>
      <c r="QY22" s="6"/>
      <c r="QZ22" s="6"/>
      <c r="RA22" s="6"/>
      <c r="RB22" s="6"/>
      <c r="RC22" s="6"/>
      <c r="RD22" s="6"/>
      <c r="RE22" s="6"/>
      <c r="RF22" s="6"/>
      <c r="RG22" s="6"/>
      <c r="RH22" s="6"/>
      <c r="RI22" s="6"/>
      <c r="RJ22" s="6"/>
      <c r="RK22" s="6"/>
      <c r="RL22" s="6"/>
      <c r="RM22" s="6"/>
      <c r="RN22" s="6"/>
      <c r="RO22" s="6"/>
      <c r="RP22" s="6"/>
      <c r="RQ22" s="6"/>
      <c r="RR22" s="6"/>
      <c r="RS22" s="6"/>
      <c r="RT22" s="6"/>
      <c r="RU22" s="6"/>
      <c r="RV22" s="6"/>
      <c r="RW22" s="6"/>
      <c r="RX22" s="6"/>
      <c r="RY22" s="6"/>
      <c r="RZ22" s="6"/>
      <c r="SA22" s="6"/>
      <c r="SB22" s="6"/>
      <c r="SC22" s="6"/>
      <c r="SD22" s="6"/>
      <c r="SE22" s="6"/>
      <c r="SF22" s="6"/>
      <c r="SG22" s="6"/>
      <c r="SH22" s="6"/>
      <c r="SI22" s="6"/>
      <c r="SJ22" s="6"/>
      <c r="SK22" s="6"/>
      <c r="SL22" s="6"/>
      <c r="SM22" s="6"/>
      <c r="SN22" s="6"/>
      <c r="SO22" s="6"/>
      <c r="SP22" s="6"/>
      <c r="SQ22" s="6"/>
      <c r="SR22" s="6"/>
      <c r="SS22" s="6"/>
      <c r="ST22" s="6"/>
      <c r="SU22" s="6"/>
      <c r="SV22" s="6"/>
      <c r="SW22" s="6"/>
      <c r="SX22" s="6"/>
      <c r="SY22" s="6"/>
      <c r="SZ22" s="6"/>
      <c r="TA22" s="6"/>
      <c r="TB22" s="6"/>
      <c r="TC22" s="6"/>
      <c r="TD22" s="6"/>
      <c r="TE22" s="6"/>
      <c r="TF22" s="6"/>
      <c r="TG22" s="6"/>
      <c r="TH22" s="6"/>
      <c r="TI22" s="6"/>
      <c r="TJ22" s="6"/>
      <c r="TK22" s="6"/>
      <c r="TL22" s="6"/>
      <c r="TM22" s="6"/>
      <c r="TN22" s="6"/>
      <c r="TO22" s="6"/>
      <c r="TP22" s="6"/>
      <c r="TQ22" s="6"/>
      <c r="TR22" s="6"/>
      <c r="TS22" s="6"/>
      <c r="TT22" s="6"/>
      <c r="TU22" s="6"/>
      <c r="TV22" s="6"/>
      <c r="TW22" s="6"/>
      <c r="TX22" s="6"/>
      <c r="TY22" s="6"/>
      <c r="TZ22" s="6"/>
      <c r="UA22" s="6"/>
      <c r="UB22" s="6"/>
      <c r="UC22" s="6"/>
      <c r="UD22" s="6"/>
      <c r="UE22" s="6"/>
      <c r="UF22" s="6"/>
      <c r="UG22" s="6"/>
      <c r="UH22" s="6"/>
      <c r="UI22" s="6"/>
      <c r="UJ22" s="6"/>
      <c r="UK22" s="6"/>
      <c r="UL22" s="6"/>
      <c r="UM22" s="6"/>
      <c r="UN22" s="6"/>
      <c r="UO22" s="6"/>
      <c r="UP22" s="6"/>
      <c r="UQ22" s="6"/>
      <c r="UR22" s="6"/>
      <c r="US22" s="6"/>
      <c r="UT22" s="6"/>
      <c r="UU22" s="6"/>
      <c r="UV22" s="6"/>
      <c r="UW22" s="6"/>
      <c r="UX22" s="6"/>
      <c r="UY22" s="6"/>
      <c r="UZ22" s="6"/>
      <c r="VA22" s="6"/>
      <c r="VB22" s="6"/>
      <c r="VC22" s="6"/>
      <c r="VD22" s="6"/>
      <c r="VE22" s="6"/>
      <c r="VF22" s="6"/>
      <c r="VG22" s="6"/>
      <c r="VH22" s="6"/>
      <c r="VI22" s="6"/>
      <c r="VJ22" s="6"/>
      <c r="VK22" s="6"/>
      <c r="VL22" s="6"/>
      <c r="VM22" s="6"/>
      <c r="VN22" s="6"/>
      <c r="VO22" s="6"/>
      <c r="VP22" s="6"/>
      <c r="VQ22" s="6"/>
      <c r="VR22" s="6"/>
      <c r="VS22" s="6"/>
      <c r="VT22" s="6"/>
      <c r="VU22" s="6"/>
      <c r="VV22" s="6"/>
      <c r="VW22" s="6"/>
      <c r="VX22" s="6"/>
      <c r="VY22" s="6"/>
      <c r="VZ22" s="6"/>
      <c r="WA22" s="6"/>
      <c r="WB22" s="6"/>
      <c r="WC22" s="6"/>
      <c r="WD22" s="6"/>
      <c r="WE22" s="6"/>
      <c r="WF22" s="6"/>
      <c r="WG22" s="6"/>
      <c r="WH22" s="6"/>
      <c r="WI22" s="6"/>
      <c r="WJ22" s="6"/>
      <c r="WK22" s="6"/>
      <c r="WL22" s="6"/>
      <c r="WM22" s="6"/>
      <c r="WN22" s="6"/>
      <c r="WO22" s="6"/>
      <c r="WP22" s="6"/>
      <c r="WQ22" s="6"/>
      <c r="WR22" s="6"/>
      <c r="WS22" s="6"/>
      <c r="WT22" s="6"/>
      <c r="WU22" s="6"/>
      <c r="WV22" s="6"/>
      <c r="WW22" s="6"/>
      <c r="WX22" s="6"/>
      <c r="WY22" s="6"/>
      <c r="WZ22" s="6"/>
      <c r="XA22" s="6"/>
      <c r="XB22" s="6"/>
      <c r="XC22" s="6"/>
      <c r="XD22" s="6"/>
      <c r="XE22" s="6"/>
      <c r="XF22" s="6"/>
      <c r="XG22" s="6"/>
      <c r="XH22" s="6"/>
      <c r="XI22" s="6"/>
      <c r="XJ22" s="6"/>
      <c r="XK22" s="6"/>
      <c r="XL22" s="6"/>
      <c r="XM22" s="6"/>
      <c r="XN22" s="6"/>
      <c r="XO22" s="6"/>
      <c r="XP22" s="6"/>
      <c r="XQ22" s="6"/>
      <c r="XR22" s="6"/>
      <c r="XS22" s="6"/>
      <c r="XT22" s="6"/>
      <c r="XU22" s="6"/>
      <c r="XV22" s="6"/>
      <c r="XW22" s="6"/>
      <c r="XX22" s="6"/>
      <c r="XY22" s="6"/>
      <c r="XZ22" s="6"/>
      <c r="YA22" s="6"/>
      <c r="YB22" s="6"/>
      <c r="YC22" s="6"/>
      <c r="YD22" s="6"/>
      <c r="YE22" s="6"/>
      <c r="YF22" s="6"/>
      <c r="YG22" s="6"/>
      <c r="YH22" s="6"/>
      <c r="YI22" s="6"/>
      <c r="YJ22" s="6"/>
      <c r="YK22" s="6"/>
      <c r="YL22" s="6"/>
      <c r="YM22" s="6"/>
      <c r="YN22" s="6"/>
      <c r="YO22" s="6"/>
      <c r="YP22" s="6"/>
      <c r="YQ22" s="6"/>
      <c r="YR22" s="6"/>
      <c r="YS22" s="6"/>
      <c r="YT22" s="6"/>
      <c r="YU22" s="6"/>
      <c r="YV22" s="6"/>
      <c r="YW22" s="6"/>
      <c r="YX22" s="6"/>
      <c r="YY22" s="6"/>
      <c r="YZ22" s="6"/>
      <c r="ZA22" s="6"/>
      <c r="ZB22" s="6"/>
      <c r="ZC22" s="6"/>
      <c r="ZD22" s="6"/>
      <c r="ZE22" s="6"/>
      <c r="ZF22" s="6"/>
      <c r="ZG22" s="6"/>
      <c r="ZH22" s="6"/>
      <c r="ZI22" s="6"/>
      <c r="ZJ22" s="6"/>
      <c r="ZK22" s="6"/>
      <c r="ZL22" s="6"/>
      <c r="ZM22" s="6"/>
      <c r="ZN22" s="6"/>
      <c r="ZO22" s="6"/>
      <c r="ZP22" s="6"/>
      <c r="ZQ22" s="6"/>
      <c r="ZR22" s="6"/>
      <c r="ZS22" s="6"/>
      <c r="ZT22" s="6"/>
      <c r="ZU22" s="6"/>
      <c r="ZV22" s="6"/>
      <c r="ZW22" s="6"/>
      <c r="ZX22" s="6"/>
      <c r="ZY22" s="6"/>
      <c r="ZZ22" s="6"/>
      <c r="AAA22" s="6"/>
      <c r="AAB22" s="6"/>
      <c r="AAC22" s="6"/>
      <c r="AAD22" s="6"/>
      <c r="AAE22" s="6"/>
      <c r="AAF22" s="6"/>
      <c r="AAG22" s="6"/>
      <c r="AAH22" s="6"/>
      <c r="AAI22" s="6"/>
      <c r="AAJ22" s="6"/>
      <c r="AAK22" s="6"/>
      <c r="AAL22" s="6"/>
      <c r="AAM22" s="6"/>
      <c r="AAN22" s="6"/>
      <c r="AAO22" s="6"/>
      <c r="AAP22" s="6"/>
      <c r="AAQ22" s="6"/>
      <c r="AAR22" s="6"/>
      <c r="AAS22" s="6"/>
      <c r="AAT22" s="6"/>
      <c r="AAU22" s="6"/>
      <c r="AAV22" s="6"/>
      <c r="AAW22" s="6"/>
      <c r="AAX22" s="6"/>
      <c r="AAY22" s="6"/>
      <c r="AAZ22" s="6"/>
      <c r="ABA22" s="6"/>
      <c r="ABB22" s="6"/>
      <c r="ABC22" s="6"/>
      <c r="ABD22" s="6"/>
      <c r="ABE22" s="6"/>
      <c r="ABF22" s="6"/>
      <c r="ABG22" s="6"/>
      <c r="ABH22" s="6"/>
      <c r="ABI22" s="6"/>
      <c r="ABJ22" s="6"/>
      <c r="ABK22" s="6"/>
      <c r="ABL22" s="6"/>
      <c r="ABM22" s="6"/>
      <c r="ABN22" s="6"/>
      <c r="ABO22" s="6"/>
      <c r="ABP22" s="6"/>
      <c r="ABQ22" s="6"/>
      <c r="ABR22" s="6"/>
      <c r="ABS22" s="6"/>
      <c r="ABT22" s="6"/>
      <c r="ABU22" s="6"/>
      <c r="ABV22" s="6"/>
      <c r="ABW22" s="6"/>
      <c r="ABX22" s="6"/>
      <c r="ABY22" s="6"/>
      <c r="ABZ22" s="6"/>
      <c r="ACA22" s="6"/>
      <c r="ACB22" s="6"/>
      <c r="ACC22" s="6"/>
      <c r="ACD22" s="6"/>
      <c r="ACE22" s="6"/>
      <c r="ACF22" s="6"/>
      <c r="ACG22" s="6"/>
      <c r="ACH22" s="6"/>
      <c r="ACI22" s="6"/>
      <c r="ACJ22" s="6"/>
      <c r="ACK22" s="6"/>
      <c r="ACL22" s="6"/>
      <c r="ACM22" s="6"/>
      <c r="ACN22" s="6"/>
      <c r="ACO22" s="6"/>
      <c r="ACP22" s="6"/>
      <c r="ACQ22" s="6"/>
      <c r="ACR22" s="6"/>
      <c r="ACS22" s="6"/>
      <c r="ACT22" s="6"/>
      <c r="ACU22" s="6"/>
      <c r="ACV22" s="6"/>
      <c r="ACW22" s="6"/>
      <c r="ACX22" s="6"/>
      <c r="ACY22" s="6"/>
      <c r="ACZ22" s="6"/>
      <c r="ADA22" s="6"/>
      <c r="ADB22" s="6"/>
      <c r="ADC22" s="6"/>
      <c r="ADD22" s="6"/>
      <c r="ADE22" s="6"/>
      <c r="ADF22" s="6"/>
      <c r="ADG22" s="6"/>
      <c r="ADH22" s="6"/>
      <c r="ADI22" s="6"/>
      <c r="ADJ22" s="6"/>
      <c r="ADK22" s="6"/>
      <c r="ADL22" s="6"/>
      <c r="ADM22" s="6"/>
      <c r="ADN22" s="6"/>
      <c r="ADO22" s="6"/>
      <c r="ADP22" s="6"/>
      <c r="ADQ22" s="6"/>
      <c r="ADR22" s="6"/>
      <c r="ADS22" s="6"/>
      <c r="ADT22" s="6"/>
      <c r="ADU22" s="6"/>
      <c r="ADV22" s="6"/>
      <c r="ADW22" s="6"/>
      <c r="ADX22" s="6"/>
      <c r="ADY22" s="6"/>
      <c r="ADZ22" s="6"/>
      <c r="AEA22" s="6"/>
      <c r="AEB22" s="6"/>
      <c r="AEC22" s="6"/>
      <c r="AED22" s="6"/>
      <c r="AEE22" s="6"/>
      <c r="AEF22" s="6"/>
      <c r="AEG22" s="6"/>
      <c r="AEH22" s="6"/>
      <c r="AEI22" s="6"/>
      <c r="AEJ22" s="6"/>
      <c r="AEK22" s="6"/>
      <c r="AEL22" s="6"/>
      <c r="AEM22" s="6"/>
      <c r="AEN22" s="6"/>
      <c r="AEO22" s="6"/>
      <c r="AEP22" s="6"/>
      <c r="AEQ22" s="6"/>
      <c r="AER22" s="6"/>
      <c r="AES22" s="6"/>
      <c r="AET22" s="6"/>
      <c r="AEU22" s="6"/>
      <c r="AEV22" s="6"/>
      <c r="AEW22" s="6"/>
      <c r="AEX22" s="6"/>
      <c r="AEY22" s="6"/>
      <c r="AEZ22" s="6"/>
      <c r="AFA22" s="6"/>
      <c r="AFB22" s="6"/>
      <c r="AFC22" s="6"/>
      <c r="AFD22" s="6"/>
      <c r="AFE22" s="6"/>
      <c r="AFF22" s="6"/>
      <c r="AFG22" s="6"/>
      <c r="AFH22" s="6"/>
      <c r="AFI22" s="6"/>
      <c r="AFJ22" s="6"/>
      <c r="AFK22" s="6"/>
      <c r="AFL22" s="6"/>
      <c r="AFM22" s="6"/>
      <c r="AFN22" s="6"/>
      <c r="AFO22" s="6"/>
      <c r="AFP22" s="6"/>
      <c r="AFQ22" s="6"/>
      <c r="AFR22" s="6"/>
      <c r="AFS22" s="6"/>
      <c r="AFT22" s="6"/>
      <c r="AFU22" s="6"/>
      <c r="AFV22" s="6"/>
      <c r="AFW22" s="6"/>
      <c r="AFX22" s="6"/>
      <c r="AFY22" s="6"/>
      <c r="AFZ22" s="6"/>
      <c r="AGA22" s="6"/>
      <c r="AGB22" s="6"/>
      <c r="AGC22" s="6"/>
      <c r="AGD22" s="6"/>
      <c r="AGE22" s="6"/>
      <c r="AGF22" s="6"/>
      <c r="AGG22" s="6"/>
      <c r="AGH22" s="6"/>
      <c r="AGI22" s="6"/>
      <c r="AGJ22" s="6"/>
      <c r="AGK22" s="6"/>
      <c r="AGL22" s="6"/>
      <c r="AGM22" s="6"/>
      <c r="AGN22" s="6"/>
      <c r="AGO22" s="6"/>
      <c r="AGP22" s="6"/>
      <c r="AGQ22" s="6"/>
      <c r="AGR22" s="6"/>
      <c r="AGS22" s="6"/>
      <c r="AGT22" s="6"/>
      <c r="AGU22" s="6"/>
      <c r="AGV22" s="6"/>
      <c r="AGW22" s="6"/>
      <c r="AGX22" s="6"/>
      <c r="AGY22" s="6"/>
      <c r="AGZ22" s="6"/>
      <c r="AHA22" s="6"/>
      <c r="AHB22" s="6"/>
      <c r="AHC22" s="6"/>
      <c r="AHD22" s="6"/>
      <c r="AHE22" s="6"/>
      <c r="AHF22" s="6"/>
      <c r="AHG22" s="6"/>
      <c r="AHH22" s="6"/>
      <c r="AHI22" s="6"/>
      <c r="AHJ22" s="6"/>
      <c r="AHK22" s="6"/>
      <c r="AHL22" s="6"/>
      <c r="AHM22" s="6"/>
      <c r="AHN22" s="6"/>
      <c r="AHO22" s="6"/>
      <c r="AHP22" s="6"/>
      <c r="AHQ22" s="6"/>
      <c r="AHR22" s="6"/>
      <c r="AHS22" s="6"/>
      <c r="AHT22" s="6"/>
      <c r="AHU22" s="6"/>
      <c r="AHV22" s="6"/>
      <c r="AHW22" s="6"/>
      <c r="AHX22" s="6"/>
      <c r="AHY22" s="6"/>
      <c r="AHZ22" s="6"/>
      <c r="AIA22" s="6"/>
      <c r="AIB22" s="6"/>
      <c r="AIC22" s="6"/>
      <c r="AID22" s="6"/>
      <c r="AIE22" s="6"/>
      <c r="AIF22" s="6"/>
      <c r="AIG22" s="6"/>
      <c r="AIH22" s="6"/>
      <c r="AII22" s="6"/>
      <c r="AIJ22" s="6"/>
      <c r="AIK22" s="6"/>
      <c r="AIL22" s="6"/>
      <c r="AIM22" s="6"/>
      <c r="AIN22" s="6"/>
      <c r="AIO22" s="6"/>
      <c r="AIP22" s="6"/>
      <c r="AIQ22" s="6"/>
      <c r="AIR22" s="6"/>
      <c r="AIS22" s="6"/>
      <c r="AIT22" s="6"/>
      <c r="AIU22" s="6"/>
      <c r="AIV22" s="6"/>
      <c r="AIW22" s="6"/>
      <c r="AIX22" s="6"/>
      <c r="AIY22" s="6"/>
      <c r="AIZ22" s="6"/>
      <c r="AJA22" s="6"/>
      <c r="AJB22" s="6"/>
      <c r="AJC22" s="6"/>
      <c r="AJD22" s="6"/>
      <c r="AJE22" s="6"/>
      <c r="AJF22" s="6"/>
      <c r="AJG22" s="6"/>
      <c r="AJH22" s="6"/>
      <c r="AJI22" s="6"/>
      <c r="AJJ22" s="6"/>
      <c r="AJK22" s="6"/>
      <c r="AJL22" s="6"/>
      <c r="AJM22" s="6"/>
      <c r="AJN22" s="6"/>
      <c r="AJO22" s="6"/>
      <c r="AJP22" s="6"/>
      <c r="AJQ22" s="6"/>
      <c r="AJR22" s="6"/>
      <c r="AJS22" s="6"/>
      <c r="AJT22" s="6"/>
      <c r="AJU22" s="6"/>
      <c r="AJV22" s="6"/>
      <c r="AJW22" s="6"/>
      <c r="AJX22" s="6"/>
      <c r="AJY22" s="6"/>
      <c r="AJZ22" s="6"/>
      <c r="AKA22" s="6"/>
      <c r="AKB22" s="6"/>
      <c r="AKC22" s="6"/>
      <c r="AKD22" s="6"/>
      <c r="AKE22" s="6"/>
      <c r="AKF22" s="6"/>
      <c r="AKG22" s="6"/>
      <c r="AKH22" s="6"/>
      <c r="AKI22" s="6"/>
      <c r="AKJ22" s="6"/>
      <c r="AKK22" s="6"/>
      <c r="AKL22" s="6"/>
      <c r="AKM22" s="6"/>
      <c r="AKN22" s="6"/>
      <c r="AKO22" s="6"/>
      <c r="AKP22" s="6"/>
      <c r="AKQ22" s="6"/>
      <c r="AKR22" s="6"/>
      <c r="AKS22" s="6"/>
      <c r="AKT22" s="6"/>
      <c r="AKU22" s="6"/>
      <c r="AKV22" s="6"/>
      <c r="AKW22" s="6"/>
      <c r="AKX22" s="6"/>
      <c r="AKY22" s="6"/>
      <c r="AKZ22" s="6"/>
      <c r="ALA22" s="6"/>
      <c r="ALB22" s="6"/>
      <c r="ALC22" s="6"/>
      <c r="ALD22" s="6"/>
      <c r="ALE22" s="6"/>
      <c r="ALF22" s="6"/>
      <c r="ALG22" s="6"/>
      <c r="ALH22" s="6"/>
      <c r="ALI22" s="6"/>
      <c r="ALJ22" s="6"/>
      <c r="ALK22" s="6"/>
      <c r="ALL22" s="6"/>
      <c r="ALM22" s="6"/>
      <c r="ALN22" s="6"/>
      <c r="ALO22" s="6"/>
      <c r="ALP22" s="6"/>
      <c r="ALQ22" s="6"/>
      <c r="ALR22" s="6"/>
      <c r="ALS22" s="6"/>
      <c r="ALT22" s="6"/>
      <c r="ALU22" s="6"/>
      <c r="ALV22" s="6"/>
      <c r="ALW22" s="6"/>
      <c r="ALX22" s="6"/>
      <c r="ALY22" s="6"/>
      <c r="ALZ22" s="6"/>
      <c r="AMA22" s="6"/>
      <c r="AMB22" s="6"/>
      <c r="AMC22" s="6"/>
      <c r="AMD22" s="6"/>
      <c r="AME22" s="6"/>
      <c r="AMF22" s="6"/>
      <c r="AMG22" s="6"/>
      <c r="AMH22" s="6"/>
      <c r="AMI22" s="6"/>
      <c r="AMJ22" s="6"/>
      <c r="AMK22" s="6"/>
      <c r="AML22" s="6"/>
      <c r="AMM22" s="6"/>
      <c r="AMN22" s="6"/>
      <c r="AMO22" s="6"/>
      <c r="AMP22" s="6"/>
      <c r="AMQ22" s="6"/>
      <c r="AMR22" s="6"/>
      <c r="AMS22" s="6"/>
      <c r="AMT22" s="6"/>
      <c r="AMU22" s="6"/>
      <c r="AMV22" s="6"/>
      <c r="AMW22" s="6"/>
      <c r="AMX22" s="6"/>
      <c r="AMY22" s="6"/>
      <c r="AMZ22" s="6"/>
      <c r="ANA22" s="6"/>
    </row>
    <row r="23" s="6" customFormat="true" ht="15" hidden="false" customHeight="false" outlineLevel="0" collapsed="false">
      <c r="A23" s="6" t="n">
        <v>22</v>
      </c>
      <c r="B23" s="7" t="s">
        <v>82</v>
      </c>
      <c r="C23" s="7" t="n">
        <v>100</v>
      </c>
      <c r="D23" s="7"/>
      <c r="E23" s="7"/>
      <c r="F23" s="7"/>
      <c r="G23" s="7"/>
      <c r="H23" s="7"/>
      <c r="I23" s="7" t="n">
        <v>2</v>
      </c>
      <c r="J23" s="7" t="n">
        <v>1</v>
      </c>
      <c r="K23" s="7" t="n">
        <v>5</v>
      </c>
      <c r="L23" s="6" t="n">
        <f aca="false">J23-K23</f>
        <v>-4</v>
      </c>
      <c r="M23" s="6" t="n">
        <v>1</v>
      </c>
      <c r="N23" s="6" t="n">
        <v>5</v>
      </c>
      <c r="O23" s="6" t="n">
        <f aca="false">M23-N23</f>
        <v>-4</v>
      </c>
      <c r="P23" s="7" t="n">
        <v>1</v>
      </c>
      <c r="Q23" s="7" t="n">
        <v>5</v>
      </c>
      <c r="R23" s="6" t="n">
        <f aca="false">P23-Q23</f>
        <v>-4</v>
      </c>
      <c r="S23" s="6" t="n">
        <v>1</v>
      </c>
      <c r="T23" s="12" t="n">
        <f aca="false">ROUND(AVERAGE(I23,L23,O23,R23,S23),0)</f>
        <v>-2</v>
      </c>
      <c r="U23" s="12" t="str">
        <f aca="false">IF(T23&gt;6,"TEA",IF(T23&gt;3,"TEP","TED"))</f>
        <v>TED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  <c r="ZB23" s="7"/>
      <c r="ZC23" s="7"/>
      <c r="ZD23" s="7"/>
      <c r="ZE23" s="7"/>
      <c r="ZF23" s="7"/>
      <c r="ZG23" s="7"/>
      <c r="ZH23" s="7"/>
      <c r="ZI23" s="7"/>
      <c r="ZJ23" s="7"/>
      <c r="ZK23" s="7"/>
      <c r="ZL23" s="7"/>
      <c r="ZM23" s="7"/>
      <c r="ZN23" s="7"/>
      <c r="ZO23" s="7"/>
      <c r="ZP23" s="7"/>
      <c r="ZQ23" s="7"/>
      <c r="ZR23" s="7"/>
      <c r="ZS23" s="7"/>
      <c r="ZT23" s="7"/>
      <c r="ZU23" s="7"/>
      <c r="ZV23" s="7"/>
      <c r="ZW23" s="7"/>
      <c r="ZX23" s="7"/>
      <c r="ZY23" s="7"/>
      <c r="ZZ23" s="7"/>
      <c r="AAA23" s="7"/>
      <c r="AAB23" s="7"/>
      <c r="AAC23" s="7"/>
      <c r="AAD23" s="7"/>
      <c r="AAE23" s="7"/>
      <c r="AAF23" s="7"/>
      <c r="AAG23" s="7"/>
      <c r="AAH23" s="7"/>
      <c r="AAI23" s="7"/>
      <c r="AAJ23" s="7"/>
      <c r="AAK23" s="7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  <c r="ABI23" s="7"/>
      <c r="ABJ23" s="7"/>
      <c r="ABK23" s="7"/>
      <c r="ABL23" s="7"/>
      <c r="ABM23" s="7"/>
      <c r="ABN23" s="7"/>
      <c r="ABO23" s="7"/>
      <c r="ABP23" s="7"/>
      <c r="ABQ23" s="7"/>
      <c r="ABR23" s="7"/>
      <c r="ABS23" s="7"/>
      <c r="ABT23" s="7"/>
      <c r="ABU23" s="7"/>
      <c r="ABV23" s="7"/>
      <c r="ABW23" s="7"/>
      <c r="ABX23" s="7"/>
      <c r="ABY23" s="7"/>
      <c r="ABZ23" s="7"/>
      <c r="ACA23" s="7"/>
      <c r="ACB23" s="7"/>
      <c r="ACC23" s="7"/>
      <c r="ACD23" s="7"/>
      <c r="ACE23" s="7"/>
      <c r="ACF23" s="7"/>
      <c r="ACG23" s="7"/>
      <c r="ACH23" s="7"/>
      <c r="ACI23" s="7"/>
      <c r="ACJ23" s="7"/>
      <c r="ACK23" s="7"/>
      <c r="ACL23" s="7"/>
      <c r="ACM23" s="7"/>
      <c r="ACN23" s="7"/>
      <c r="ACO23" s="7"/>
      <c r="ACP23" s="7"/>
      <c r="ACQ23" s="7"/>
      <c r="ACR23" s="7"/>
      <c r="ACS23" s="7"/>
      <c r="ACT23" s="7"/>
      <c r="ACU23" s="7"/>
      <c r="ACV23" s="7"/>
      <c r="ACW23" s="7"/>
      <c r="ACX23" s="7"/>
      <c r="ACY23" s="7"/>
      <c r="ACZ23" s="7"/>
      <c r="ADA23" s="7"/>
      <c r="ADB23" s="7"/>
      <c r="ADC23" s="7"/>
      <c r="ADD23" s="7"/>
      <c r="ADE23" s="7"/>
      <c r="ADF23" s="7"/>
      <c r="ADG23" s="7"/>
      <c r="ADH23" s="7"/>
      <c r="ADI23" s="7"/>
      <c r="ADJ23" s="7"/>
      <c r="ADK23" s="7"/>
      <c r="ADL23" s="7"/>
      <c r="ADM23" s="7"/>
      <c r="ADN23" s="7"/>
      <c r="ADO23" s="7"/>
      <c r="ADP23" s="7"/>
      <c r="ADQ23" s="7"/>
      <c r="ADR23" s="7"/>
      <c r="ADS23" s="7"/>
      <c r="ADT23" s="7"/>
      <c r="ADU23" s="7"/>
      <c r="ADV23" s="7"/>
      <c r="ADW23" s="7"/>
      <c r="ADX23" s="7"/>
      <c r="ADY23" s="7"/>
      <c r="ADZ23" s="7"/>
      <c r="AEA23" s="7"/>
      <c r="AEB23" s="7"/>
      <c r="AEC23" s="7"/>
      <c r="AED23" s="7"/>
      <c r="AEE23" s="7"/>
      <c r="AEF23" s="7"/>
      <c r="AEG23" s="7"/>
      <c r="AEH23" s="7"/>
      <c r="AEI23" s="7"/>
      <c r="AEJ23" s="7"/>
      <c r="AEK23" s="7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  <c r="AFI23" s="7"/>
      <c r="AFJ23" s="7"/>
      <c r="AFK23" s="7"/>
      <c r="AFL23" s="7"/>
      <c r="AFM23" s="7"/>
      <c r="AFN23" s="7"/>
      <c r="AFO23" s="7"/>
      <c r="AFP23" s="7"/>
      <c r="AFQ23" s="7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  <c r="AGO23" s="7"/>
      <c r="AGP23" s="7"/>
      <c r="AGQ23" s="7"/>
      <c r="AGR23" s="7"/>
      <c r="AGS23" s="7"/>
      <c r="AGT23" s="7"/>
      <c r="AGU23" s="7"/>
      <c r="AGV23" s="7"/>
      <c r="AGW23" s="7"/>
      <c r="AGX23" s="7"/>
      <c r="AGY23" s="7"/>
      <c r="AGZ23" s="7"/>
      <c r="AHA23" s="7"/>
      <c r="AHB23" s="7"/>
      <c r="AHC23" s="7"/>
      <c r="AHD23" s="7"/>
      <c r="AHE23" s="7"/>
      <c r="AHF23" s="7"/>
      <c r="AHG23" s="7"/>
      <c r="AHH23" s="7"/>
      <c r="AHI23" s="7"/>
      <c r="AHJ23" s="7"/>
      <c r="AHK23" s="7"/>
      <c r="AHL23" s="7"/>
      <c r="AHM23" s="7"/>
      <c r="AHN23" s="7"/>
      <c r="AHO23" s="7"/>
      <c r="AHP23" s="7"/>
      <c r="AHQ23" s="7"/>
      <c r="AHR23" s="7"/>
      <c r="AHS23" s="7"/>
      <c r="AHT23" s="7"/>
      <c r="AHU23" s="7"/>
      <c r="AHV23" s="7"/>
      <c r="AHW23" s="7"/>
      <c r="AHX23" s="7"/>
      <c r="AHY23" s="7"/>
      <c r="AHZ23" s="7"/>
      <c r="AIA23" s="7"/>
      <c r="AIB23" s="7"/>
      <c r="AIC23" s="7"/>
      <c r="AID23" s="7"/>
      <c r="AIE23" s="7"/>
      <c r="AIF23" s="7"/>
      <c r="AIG23" s="7"/>
      <c r="AIH23" s="7"/>
      <c r="AII23" s="7"/>
      <c r="AIJ23" s="7"/>
      <c r="AIK23" s="7"/>
      <c r="AIL23" s="7"/>
      <c r="AIM23" s="7"/>
      <c r="AIN23" s="7"/>
      <c r="AIO23" s="7"/>
      <c r="AIP23" s="7"/>
      <c r="AIQ23" s="7"/>
      <c r="AIR23" s="7"/>
      <c r="AIS23" s="7"/>
      <c r="AIT23" s="7"/>
      <c r="AIU23" s="7"/>
      <c r="AIV23" s="7"/>
      <c r="AIW23" s="7"/>
      <c r="AIX23" s="7"/>
      <c r="AIY23" s="7"/>
      <c r="AIZ23" s="7"/>
      <c r="AJA23" s="7"/>
      <c r="AJB23" s="7"/>
      <c r="AJC23" s="7"/>
      <c r="AJD23" s="7"/>
      <c r="AJE23" s="7"/>
      <c r="AJF23" s="7"/>
      <c r="AJG23" s="7"/>
      <c r="AJH23" s="7"/>
      <c r="AJI23" s="7"/>
      <c r="AJJ23" s="7"/>
      <c r="AJK23" s="7"/>
      <c r="AJL23" s="7"/>
      <c r="AJM23" s="7"/>
      <c r="AJN23" s="7"/>
      <c r="AJO23" s="7"/>
      <c r="AJP23" s="7"/>
      <c r="AJQ23" s="7"/>
      <c r="AJR23" s="7"/>
      <c r="AJS23" s="7"/>
      <c r="AJT23" s="7"/>
      <c r="AJU23" s="7"/>
      <c r="AJV23" s="7"/>
      <c r="AJW23" s="7"/>
      <c r="AJX23" s="7"/>
      <c r="AJY23" s="7"/>
      <c r="AJZ23" s="7"/>
      <c r="AKA23" s="7"/>
      <c r="AKB23" s="7"/>
      <c r="AKC23" s="7"/>
      <c r="AKD23" s="7"/>
      <c r="AKE23" s="7"/>
      <c r="AKF23" s="7"/>
      <c r="AKG23" s="7"/>
      <c r="AKH23" s="7"/>
      <c r="AKI23" s="7"/>
      <c r="AKJ23" s="7"/>
      <c r="AKK23" s="7"/>
      <c r="AKL23" s="7"/>
      <c r="AKM23" s="7"/>
      <c r="AKN23" s="7"/>
      <c r="AKO23" s="7"/>
      <c r="AKP23" s="7"/>
      <c r="AKQ23" s="7"/>
      <c r="AKR23" s="7"/>
      <c r="AKS23" s="7"/>
      <c r="AKT23" s="7"/>
      <c r="AKU23" s="7"/>
      <c r="AKV23" s="7"/>
      <c r="AKW23" s="7"/>
      <c r="AKX23" s="7"/>
      <c r="AKY23" s="7"/>
      <c r="AKZ23" s="7"/>
      <c r="ALA23" s="7"/>
      <c r="ALB23" s="7"/>
      <c r="ALC23" s="7"/>
      <c r="ALD23" s="7"/>
      <c r="ALE23" s="7"/>
      <c r="ALF23" s="7"/>
      <c r="ALG23" s="7"/>
      <c r="ALH23" s="7"/>
    </row>
  </sheetData>
  <conditionalFormatting sqref="T2:U23">
    <cfRule type="cellIs" priority="2" operator="greaterThan" aboveAverage="0" equalAverage="0" bottom="0" percent="0" rank="0" text="" dxfId="10">
      <formula>6</formula>
    </cfRule>
    <cfRule type="cellIs" priority="3" operator="between" aboveAverage="0" equalAverage="0" bottom="0" percent="0" rank="0" text="" dxfId="11">
      <formula>4</formula>
      <formula>6</formula>
    </cfRule>
    <cfRule type="cellIs" priority="4" operator="lessThan" aboveAverage="0" equalAverage="0" bottom="0" percent="0" rank="0" text="" dxfId="12">
      <formula>4</formula>
    </cfRule>
    <cfRule type="cellIs" priority="5" operator="equal" aboveAverage="0" equalAverage="0" bottom="0" percent="0" rank="0" text="" dxfId="10">
      <formula>"TEA"</formula>
    </cfRule>
    <cfRule type="cellIs" priority="6" operator="equal" aboveAverage="0" equalAverage="0" bottom="0" percent="0" rank="0" text="" dxfId="11">
      <formula>"TEP"</formula>
    </cfRule>
    <cfRule type="cellIs" priority="7" operator="equal" aboveAverage="0" equalAverage="0" bottom="0" percent="0" rank="0" text="" dxfId="1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119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57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67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120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73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121</v>
      </c>
      <c r="E1" s="1" t="s">
        <v>122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6</v>
      </c>
      <c r="E2" s="1" t="n">
        <f aca="false">(10-D2)/2</f>
        <v>2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6</v>
      </c>
      <c r="E3" s="1" t="n">
        <f aca="false">(10-D3)/2</f>
        <v>2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8</v>
      </c>
      <c r="E4" s="1" t="n">
        <f aca="false">(10-D4)/2</f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8</v>
      </c>
      <c r="E5" s="1" t="n">
        <f aca="false">(10-D5)/2</f>
        <v>1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  <c r="E6" s="1" t="n">
        <f aca="false">(10-D6)/2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8</v>
      </c>
      <c r="E7" s="1" t="n">
        <f aca="false">(10-D7)/2</f>
        <v>1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  <c r="E8" s="1" t="n">
        <f aca="false">(10-D8)/2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10</v>
      </c>
      <c r="E9" s="1" t="n">
        <f aca="false">(10-D9)/2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8</v>
      </c>
      <c r="E10" s="1" t="n">
        <f aca="false">(10-D10)/2</f>
        <v>1</v>
      </c>
    </row>
    <row r="11" customFormat="false" ht="15" hidden="false" customHeight="false" outlineLevel="0" collapsed="false">
      <c r="A11" s="6" t="n">
        <v>10</v>
      </c>
      <c r="B11" s="7" t="s">
        <v>45</v>
      </c>
      <c r="D11" s="1" t="n">
        <v>0</v>
      </c>
      <c r="E11" s="1" t="n">
        <f aca="false">(10-D11)/2</f>
        <v>5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10</v>
      </c>
      <c r="E12" s="1" t="n">
        <f aca="false">(10-D12)/2</f>
        <v>0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8</v>
      </c>
      <c r="E13" s="1" t="n">
        <f aca="false">(10-D13)/2</f>
        <v>1</v>
      </c>
    </row>
    <row r="14" customFormat="false" ht="15" hidden="false" customHeight="false" outlineLevel="0" collapsed="false">
      <c r="A14" s="6" t="n">
        <v>13</v>
      </c>
      <c r="B14" s="7" t="s">
        <v>57</v>
      </c>
      <c r="D14" s="1" t="n">
        <v>0</v>
      </c>
      <c r="E14" s="1" t="n">
        <f aca="false">(10-D14)/2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10</v>
      </c>
      <c r="E15" s="1" t="n">
        <f aca="false">(10-D15)/2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8</v>
      </c>
      <c r="E16" s="1" t="n">
        <f aca="false">(10-D16)/2</f>
        <v>1</v>
      </c>
    </row>
    <row r="17" customFormat="false" ht="15" hidden="false" customHeight="false" outlineLevel="0" collapsed="false">
      <c r="A17" s="6" t="n">
        <v>16</v>
      </c>
      <c r="B17" s="7" t="s">
        <v>67</v>
      </c>
      <c r="D17" s="1" t="n">
        <v>0</v>
      </c>
      <c r="E17" s="1" t="n">
        <f aca="false">(10-D17)/2</f>
        <v>5</v>
      </c>
    </row>
    <row r="18" customFormat="false" ht="15" hidden="false" customHeight="false" outlineLevel="0" collapsed="false">
      <c r="A18" s="6" t="n">
        <v>17</v>
      </c>
      <c r="B18" s="7" t="s">
        <v>70</v>
      </c>
      <c r="D18" s="1" t="n">
        <v>0</v>
      </c>
      <c r="E18" s="1" t="n">
        <f aca="false">(10-D18)/2</f>
        <v>5</v>
      </c>
    </row>
    <row r="19" customFormat="false" ht="15" hidden="false" customHeight="false" outlineLevel="0" collapsed="false">
      <c r="A19" s="6" t="n">
        <v>19</v>
      </c>
      <c r="B19" s="7" t="s">
        <v>73</v>
      </c>
      <c r="D19" s="1" t="n">
        <v>0</v>
      </c>
      <c r="E19" s="1" t="n">
        <f aca="false">(10-D19)/2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10</v>
      </c>
      <c r="E20" s="1" t="n">
        <f aca="false">(10-D20)/2</f>
        <v>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6</v>
      </c>
      <c r="E21" s="1" t="n">
        <f aca="false">(10-D21)/2</f>
        <v>2</v>
      </c>
    </row>
    <row r="22" customFormat="false" ht="15" hidden="false" customHeight="false" outlineLevel="0" collapsed="false">
      <c r="A22" s="6" t="n">
        <v>22</v>
      </c>
      <c r="B22" s="7" t="s">
        <v>82</v>
      </c>
      <c r="D22" s="1" t="n">
        <v>0</v>
      </c>
      <c r="E22" s="1" t="n">
        <f aca="false">(10-D22)/2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2" activeCellId="0" sqref="E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123</v>
      </c>
      <c r="E1" s="1" t="s">
        <v>86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5</v>
      </c>
      <c r="E2" s="1" t="n">
        <f aca="false">5-D2</f>
        <v>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D6" s="1" t="n">
        <v>0</v>
      </c>
      <c r="E6" s="1" t="n">
        <f aca="false">5-D6</f>
        <v>5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6" t="n">
        <v>10</v>
      </c>
      <c r="B11" s="7" t="s">
        <v>45</v>
      </c>
      <c r="D11" s="1" t="n">
        <v>5</v>
      </c>
      <c r="E11" s="1" t="n">
        <f aca="false">5-D11</f>
        <v>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4</v>
      </c>
      <c r="E12" s="1" t="n">
        <f aca="false">5-D12</f>
        <v>1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6" t="n">
        <v>13</v>
      </c>
      <c r="B14" s="7" t="s">
        <v>57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5</v>
      </c>
      <c r="E16" s="1" t="n">
        <f aca="false">5-D16</f>
        <v>0</v>
      </c>
    </row>
    <row r="17" customFormat="false" ht="15" hidden="false" customHeight="false" outlineLevel="0" collapsed="false">
      <c r="A17" s="6" t="n">
        <v>16</v>
      </c>
      <c r="B17" s="7" t="s">
        <v>67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6" t="n">
        <v>17</v>
      </c>
      <c r="B18" s="7" t="s">
        <v>70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6" t="n">
        <v>19</v>
      </c>
      <c r="B19" s="7" t="s">
        <v>73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5</v>
      </c>
      <c r="E20" s="1" t="n">
        <f aca="false">5-D20</f>
        <v>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5</v>
      </c>
      <c r="E21" s="1" t="n">
        <f aca="false">5-D21</f>
        <v>0</v>
      </c>
    </row>
    <row r="22" customFormat="false" ht="15" hidden="false" customHeight="false" outlineLevel="0" collapsed="false">
      <c r="A22" s="6" t="n">
        <v>22</v>
      </c>
      <c r="B22" s="7" t="s">
        <v>82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15" activeCellId="0" sqref="E15"/>
    </sheetView>
  </sheetViews>
  <sheetFormatPr defaultColWidth="10.58203125" defaultRowHeight="15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123</v>
      </c>
      <c r="E1" s="1" t="s">
        <v>122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4</v>
      </c>
      <c r="E2" s="1" t="n">
        <f aca="false">5-D2</f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</v>
      </c>
      <c r="E3" s="1" t="n">
        <f aca="false">5-D3</f>
        <v>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5</v>
      </c>
      <c r="E4" s="1" t="n">
        <f aca="false">5-D4</f>
        <v>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5</v>
      </c>
      <c r="E5" s="1" t="n">
        <f aca="false">5-D5</f>
        <v>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5</v>
      </c>
      <c r="E6" s="1" t="n">
        <f aca="false">5-D6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5</v>
      </c>
      <c r="E7" s="1" t="n">
        <f aca="false">5-D7</f>
        <v>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5</v>
      </c>
      <c r="E8" s="1" t="n">
        <f aca="false">5-D8</f>
        <v>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5</v>
      </c>
      <c r="E9" s="1" t="n">
        <f aca="false">5-D9</f>
        <v>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5</v>
      </c>
      <c r="E10" s="1" t="n">
        <f aca="false">5-D10</f>
        <v>0</v>
      </c>
    </row>
    <row r="11" customFormat="false" ht="15" hidden="false" customHeight="false" outlineLevel="0" collapsed="false">
      <c r="A11" s="6" t="n">
        <v>10</v>
      </c>
      <c r="B11" s="7" t="s">
        <v>45</v>
      </c>
      <c r="C11" s="1" t="s">
        <v>45</v>
      </c>
      <c r="D11" s="1" t="n">
        <v>4</v>
      </c>
      <c r="E11" s="1" t="n">
        <f aca="false">5-D11</f>
        <v>1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5</v>
      </c>
      <c r="E12" s="1" t="n">
        <f aca="false">5-D12</f>
        <v>0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5</v>
      </c>
      <c r="E13" s="1" t="n">
        <f aca="false">5-D13</f>
        <v>0</v>
      </c>
    </row>
    <row r="14" customFormat="false" ht="15" hidden="false" customHeight="false" outlineLevel="0" collapsed="false">
      <c r="A14" s="6" t="n">
        <v>13</v>
      </c>
      <c r="B14" s="7" t="s">
        <v>57</v>
      </c>
      <c r="D14" s="1" t="n">
        <v>0</v>
      </c>
      <c r="E14" s="1" t="n">
        <f aca="false">5-D14</f>
        <v>5</v>
      </c>
    </row>
    <row r="15" customFormat="false" ht="15" hidden="false" customHeight="false" outlineLevel="0" collapsed="false">
      <c r="A15" s="1" t="n">
        <v>14</v>
      </c>
      <c r="B15" s="2" t="s">
        <v>61</v>
      </c>
      <c r="D15" s="1" t="n">
        <v>5</v>
      </c>
      <c r="E15" s="1" t="n">
        <f aca="false">5-D15</f>
        <v>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3</v>
      </c>
      <c r="E16" s="1" t="n">
        <f aca="false">5-D16</f>
        <v>2</v>
      </c>
    </row>
    <row r="17" customFormat="false" ht="15" hidden="false" customHeight="false" outlineLevel="0" collapsed="false">
      <c r="A17" s="6" t="n">
        <v>16</v>
      </c>
      <c r="B17" s="7" t="s">
        <v>67</v>
      </c>
      <c r="D17" s="1" t="n">
        <v>0</v>
      </c>
      <c r="E17" s="1" t="n">
        <f aca="false">5-D17</f>
        <v>5</v>
      </c>
    </row>
    <row r="18" customFormat="false" ht="15" hidden="false" customHeight="false" outlineLevel="0" collapsed="false">
      <c r="A18" s="6" t="n">
        <v>17</v>
      </c>
      <c r="B18" s="7" t="s">
        <v>70</v>
      </c>
      <c r="D18" s="1" t="n">
        <v>0</v>
      </c>
      <c r="E18" s="1" t="n">
        <f aca="false">5-D18</f>
        <v>5</v>
      </c>
    </row>
    <row r="19" customFormat="false" ht="15" hidden="false" customHeight="false" outlineLevel="0" collapsed="false">
      <c r="A19" s="6" t="n">
        <v>19</v>
      </c>
      <c r="B19" s="7" t="s">
        <v>73</v>
      </c>
      <c r="D19" s="1" t="n">
        <v>0</v>
      </c>
      <c r="E19" s="1" t="n">
        <f aca="false">5-D19</f>
        <v>5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4</v>
      </c>
      <c r="E20" s="1" t="n">
        <f aca="false">5-D20</f>
        <v>1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4</v>
      </c>
      <c r="E21" s="1" t="n">
        <f aca="false">5-D21</f>
        <v>1</v>
      </c>
    </row>
    <row r="22" customFormat="false" ht="15" hidden="false" customHeight="false" outlineLevel="0" collapsed="false">
      <c r="A22" s="6" t="n">
        <v>22</v>
      </c>
      <c r="B22" s="7" t="s">
        <v>82</v>
      </c>
      <c r="D22" s="1" t="n">
        <v>0</v>
      </c>
      <c r="E22" s="1" t="n">
        <f aca="false">5-D22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121</v>
      </c>
    </row>
    <row r="2" customFormat="false" ht="15" hidden="false" customHeight="false" outlineLevel="0" collapsed="false">
      <c r="A2" s="1" t="n">
        <v>1</v>
      </c>
      <c r="B2" s="2" t="s">
        <v>12</v>
      </c>
      <c r="C2" s="1" t="s">
        <v>12</v>
      </c>
      <c r="D2" s="1" t="n">
        <v>10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10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9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10</v>
      </c>
    </row>
    <row r="11" customFormat="false" ht="15" hidden="false" customHeight="false" outlineLevel="0" collapsed="false">
      <c r="A11" s="6" t="n">
        <v>10</v>
      </c>
      <c r="B11" s="7" t="s">
        <v>45</v>
      </c>
      <c r="C11" s="1" t="s">
        <v>45</v>
      </c>
      <c r="D11" s="1" t="n">
        <v>10</v>
      </c>
    </row>
    <row r="12" customFormat="false" ht="15" hidden="false" customHeight="false" outlineLevel="0" collapsed="false">
      <c r="A12" s="1" t="n">
        <v>11</v>
      </c>
      <c r="B12" s="2" t="s">
        <v>51</v>
      </c>
      <c r="C12" s="1" t="s">
        <v>51</v>
      </c>
      <c r="D12" s="1" t="n">
        <v>9</v>
      </c>
    </row>
    <row r="13" customFormat="false" ht="15" hidden="false" customHeight="false" outlineLevel="0" collapsed="false">
      <c r="A13" s="1" t="n">
        <v>12</v>
      </c>
      <c r="B13" s="2" t="s">
        <v>54</v>
      </c>
      <c r="C13" s="1" t="s">
        <v>54</v>
      </c>
      <c r="D13" s="1" t="n">
        <v>10</v>
      </c>
    </row>
    <row r="14" customFormat="false" ht="15" hidden="false" customHeight="false" outlineLevel="0" collapsed="false">
      <c r="A14" s="6" t="n">
        <v>13</v>
      </c>
      <c r="B14" s="7" t="s">
        <v>57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n">
        <v>10</v>
      </c>
    </row>
    <row r="17" customFormat="false" ht="15" hidden="false" customHeight="false" outlineLevel="0" collapsed="false">
      <c r="A17" s="6" t="n">
        <v>16</v>
      </c>
      <c r="B17" s="7" t="s">
        <v>67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70</v>
      </c>
      <c r="D18" s="1" t="n">
        <v>1</v>
      </c>
    </row>
    <row r="19" customFormat="false" ht="15" hidden="false" customHeight="false" outlineLevel="0" collapsed="false">
      <c r="A19" s="6" t="n">
        <v>19</v>
      </c>
      <c r="B19" s="7" t="s">
        <v>73</v>
      </c>
      <c r="D19" s="1" t="n">
        <v>1</v>
      </c>
    </row>
    <row r="20" customFormat="false" ht="15" hidden="false" customHeight="false" outlineLevel="0" collapsed="false">
      <c r="A20" s="1" t="n">
        <v>20</v>
      </c>
      <c r="B20" s="2" t="s">
        <v>76</v>
      </c>
      <c r="C20" s="1" t="s">
        <v>76</v>
      </c>
      <c r="D20" s="1" t="n">
        <v>10</v>
      </c>
    </row>
    <row r="21" customFormat="false" ht="15" hidden="false" customHeight="false" outlineLevel="0" collapsed="false">
      <c r="A21" s="1" t="n">
        <v>21</v>
      </c>
      <c r="B21" s="2" t="s">
        <v>79</v>
      </c>
      <c r="C21" s="1" t="s">
        <v>79</v>
      </c>
      <c r="D21" s="1" t="n">
        <v>10</v>
      </c>
    </row>
    <row r="22" customFormat="false" ht="15" hidden="false" customHeight="false" outlineLevel="0" collapsed="false">
      <c r="A22" s="6" t="n">
        <v>22</v>
      </c>
      <c r="B22" s="7" t="s">
        <v>82</v>
      </c>
      <c r="D2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2026-06-16T18:48:13Z</dcterms:modified>
  <cp:revision>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