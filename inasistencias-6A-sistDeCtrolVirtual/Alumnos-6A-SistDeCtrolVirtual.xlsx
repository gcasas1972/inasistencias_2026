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" sheetId="2" state="visible" r:id="rId4"/>
    <sheet name="positivos" sheetId="3" state="visible" r:id="rId5"/>
    <sheet name="1-codigos" sheetId="4" state="visible" r:id="rId6"/>
    <sheet name="1-recu+" sheetId="5" state="visible" r:id="rId7"/>
    <sheet name="2-alg.de boole" sheetId="6" state="visible" r:id="rId8"/>
    <sheet name="3-compue" sheetId="7" state="visible" r:id="rId9"/>
    <sheet name="5-salidas" sheetId="8" state="visible" r:id="rId10"/>
    <sheet name="5-RecuP" sheetId="9" state="visible" r:id="rId11"/>
    <sheet name="6-if" sheetId="10" state="visible" r:id="rId12"/>
    <sheet name="evalucion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<sst xmlns="http://schemas.openxmlformats.org/spreadsheetml/2006/main" count="849" uniqueCount="282">
  <si>
    <t xml:space="preserve">nro</t>
  </si>
  <si>
    <t xml:space="preserve">Nombre</t>
  </si>
  <si>
    <t xml:space="preserve">Apellido(s)</t>
  </si>
  <si>
    <t xml:space="preserve">Dirección de correo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</si>
  <si>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</si>
  <si>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</si>
  <si>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</si>
  <si>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</si>
  <si>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T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</si>
  <si>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</si>
  <si>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</si>
  <si>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</si>
  <si>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</si>
  <si>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</si>
  <si>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</si>
  <si>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</si>
  <si>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</si>
  <si>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</si>
  <si>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p</t>
  </si>
  <si>
    <t xml:space="preserve">Sathya</t>
  </si>
  <si>
    <t xml:space="preserve">bertola galizzi</t>
  </si>
  <si>
    <t xml:space="preserve">sathyxzz@gmail.com</t>
  </si>
  <si>
    <t xml:space="preserve">A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</si>
  <si>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</si>
  <si>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</si>
  <si>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</si>
  <si>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</si>
  <si>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</si>
  <si>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</si>
  <si>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</si>
  <si>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</si>
  <si>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</si>
  <si>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</si>
  <si>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</si>
  <si>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</si>
  <si>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</si>
  <si>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</si>
  <si>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</si>
  <si>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</si>
  <si>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</si>
  <si>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</si>
  <si>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</si>
  <si>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</si>
  <si>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</si>
  <si>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</si>
  <si>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</si>
  <si>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</si>
  <si>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</si>
  <si>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</si>
  <si>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</si>
  <si>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</si>
  <si>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</si>
  <si>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</si>
  <si>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</si>
  <si>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</si>
  <si>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</si>
  <si>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</si>
  <si>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</si>
  <si>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</si>
  <si>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Araceli Rosario Abigail</t>
  </si>
  <si>
    <t xml:space="preserve">SANTIBAÑEZ RAMÍREZ</t>
  </si>
  <si>
    <t xml:space="preserve">habibiaraceli08@gmail.com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</si>
  <si>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</si>
  <si>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</si>
  <si>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</si>
  <si>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</si>
  <si>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</si>
  <si>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</si>
  <si>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</si>
  <si>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</si>
  <si>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</si>
  <si>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presentes</t>
  </si>
  <si>
    <t xml:space="preserve">media falta</t>
  </si>
  <si>
    <t xml:space="preserve">tarde</t>
  </si>
  <si>
    <t xml:space="preserve">total</t>
  </si>
  <si>
    <t xml:space="preserve">obs</t>
  </si>
  <si>
    <t xml:space="preserve">M</t>
  </si>
  <si>
    <t xml:space="preserve">positivos</t>
  </si>
  <si>
    <t xml:space="preserve">RODRIGUEZ MIÑO</t>
  </si>
  <si>
    <t xml:space="preserve">Finalizado</t>
  </si>
  <si>
    <t xml:space="preserve">Tiempo requerido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</si>
  <si>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</si>
  <si>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</si>
  <si>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</si>
  <si>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</si>
  <si>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4 de abril de 2025  12:30</t>
  </si>
  <si>
    <t xml:space="preserve">8 minutos 30 segundos</t>
  </si>
  <si>
    <t xml:space="preserve">4 de abril de 2025  23:16</t>
  </si>
  <si>
    <t xml:space="preserve">12 minutos 49 segundos</t>
  </si>
  <si>
    <t xml:space="preserve">4 de abril de 2025  12:26</t>
  </si>
  <si>
    <t xml:space="preserve">1 día 16 horas</t>
  </si>
  <si>
    <t xml:space="preserve">3 de abril de 2025  00:13</t>
  </si>
  <si>
    <t xml:space="preserve">20 minutos 55 segundos</t>
  </si>
  <si>
    <t xml:space="preserve">4 de abril de 2025  20:10</t>
  </si>
  <si>
    <t xml:space="preserve">36 minutos 17 segundos</t>
  </si>
  <si>
    <t xml:space="preserve">4 de abril de 2025  13:26</t>
  </si>
  <si>
    <t xml:space="preserve">14 minutos 58 segundos</t>
  </si>
  <si>
    <t xml:space="preserve">4 de abril de 2025  12:36</t>
  </si>
  <si>
    <t xml:space="preserve">17 minutos 31 segundos</t>
  </si>
  <si>
    <t xml:space="preserve">6 minutos 58 segundos</t>
  </si>
  <si>
    <t xml:space="preserve">2 de abril de 2025  17:16</t>
  </si>
  <si>
    <t xml:space="preserve">18 minutos 21 segundos</t>
  </si>
  <si>
    <t xml:space="preserve">4 de abril de 2025  13:18</t>
  </si>
  <si>
    <t xml:space="preserve">59 minutos 16 segundos</t>
  </si>
  <si>
    <t xml:space="preserve">4 de abril de 2025  12:56</t>
  </si>
  <si>
    <t xml:space="preserve">32 minutos 58 segundos</t>
  </si>
  <si>
    <t xml:space="preserve">4 de abril de 2025  12:37</t>
  </si>
  <si>
    <t xml:space="preserve">6 minutos 33 segundos</t>
  </si>
  <si>
    <t xml:space="preserve">4 de abril de 2025  12:42</t>
  </si>
  <si>
    <t xml:space="preserve">19 minutos 38 segundos</t>
  </si>
  <si>
    <t xml:space="preserve">4 de abril de 2025  13:45</t>
  </si>
  <si>
    <t xml:space="preserve">4 minutos 18 segundos</t>
  </si>
  <si>
    <t xml:space="preserve">4 de abril de 2025  23:49</t>
  </si>
  <si>
    <t xml:space="preserve">3 minutos 56 segundos</t>
  </si>
  <si>
    <t xml:space="preserve">4 de abril de 2025  22:41</t>
  </si>
  <si>
    <t xml:space="preserve">6 minutos 53 segundos</t>
  </si>
  <si>
    <t xml:space="preserve">4 de abril de 2025  12:25</t>
  </si>
  <si>
    <t xml:space="preserve">5 minutos 49 segundos</t>
  </si>
  <si>
    <t xml:space="preserve">4 de abril de 2025  21:45</t>
  </si>
  <si>
    <t xml:space="preserve">11 minutos 50 segundos</t>
  </si>
  <si>
    <t xml:space="preserve">4 de abril de 2025  20:39</t>
  </si>
  <si>
    <t xml:space="preserve">19 minutos 5 segundos</t>
  </si>
  <si>
    <t xml:space="preserve">21 minutos 21 segundos</t>
  </si>
  <si>
    <t xml:space="preserve">4 de abril de 2025  12:31</t>
  </si>
  <si>
    <t xml:space="preserve">3 días 17 horas</t>
  </si>
  <si>
    <t xml:space="preserve">Calificación/9,00</t>
  </si>
  <si>
    <t xml:space="preserve">17 de abril de 2025  19:45</t>
  </si>
  <si>
    <t xml:space="preserve">5 minutos 14 segundos</t>
  </si>
  <si>
    <t xml:space="preserve">4 de abril de 2025  22:59</t>
  </si>
  <si>
    <t xml:space="preserve">8 minutos 32 segundos</t>
  </si>
  <si>
    <t xml:space="preserve">4 de abril de 2025  23:23</t>
  </si>
  <si>
    <t xml:space="preserve">6 minutos 37 segundos</t>
  </si>
  <si>
    <t xml:space="preserve">4 de abril de 2025  12:32</t>
  </si>
  <si>
    <t xml:space="preserve">3 de abril de 2025  00:37</t>
  </si>
  <si>
    <t xml:space="preserve">9 minutos 28 segundos</t>
  </si>
  <si>
    <t xml:space="preserve">4 de abril de 2025  20:33</t>
  </si>
  <si>
    <t xml:space="preserve">5 minutos 36 segundos</t>
  </si>
  <si>
    <t xml:space="preserve">4 de abril de 2025  19:11</t>
  </si>
  <si>
    <t xml:space="preserve">3 minutos 38 segundos</t>
  </si>
  <si>
    <t xml:space="preserve">4 de abril de 2025  22:01</t>
  </si>
  <si>
    <t xml:space="preserve">2 de abril de 2025  17:22</t>
  </si>
  <si>
    <t xml:space="preserve">5 minutos 8 segundos</t>
  </si>
  <si>
    <t xml:space="preserve">4 de abril de 2025  15:24</t>
  </si>
  <si>
    <t xml:space="preserve">2 horas 1 minutos</t>
  </si>
  <si>
    <t xml:space="preserve">4 de abril de 2025  12:50</t>
  </si>
  <si>
    <t xml:space="preserve">12 minutos 3 segundos</t>
  </si>
  <si>
    <t xml:space="preserve">4 de abril de 2025  19:39</t>
  </si>
  <si>
    <t xml:space="preserve">5 minutos 40 segundos</t>
  </si>
  <si>
    <t xml:space="preserve">4 de abril de 2025  13:53</t>
  </si>
  <si>
    <t xml:space="preserve">6 minutos 46 segundos</t>
  </si>
  <si>
    <t xml:space="preserve">4 de abril de 2025  23:44</t>
  </si>
  <si>
    <t xml:space="preserve">3 minutos 45 segundos</t>
  </si>
  <si>
    <t xml:space="preserve">4 de abril de 2025  22:47</t>
  </si>
  <si>
    <t xml:space="preserve">5 minutos 28 segundos</t>
  </si>
  <si>
    <t xml:space="preserve">4 de abril de 2025  23:07</t>
  </si>
  <si>
    <t xml:space="preserve">4 minutos 4 segundos</t>
  </si>
  <si>
    <t xml:space="preserve">4 de abril de 2025  21:33</t>
  </si>
  <si>
    <t xml:space="preserve">11 minutos 24 segundos</t>
  </si>
  <si>
    <t xml:space="preserve">4 de abril de 2025  21:19</t>
  </si>
  <si>
    <t xml:space="preserve">7 minutos 54 segundos</t>
  </si>
  <si>
    <t xml:space="preserve">4 de abril de 2025  21:07</t>
  </si>
  <si>
    <t xml:space="preserve">8 minutos 1 segundos</t>
  </si>
  <si>
    <t xml:space="preserve">4 de abril de 2025  20:48</t>
  </si>
  <si>
    <t xml:space="preserve">8 minutos 3 segundos</t>
  </si>
  <si>
    <t xml:space="preserve">4 de abril de 2025  20:58</t>
  </si>
  <si>
    <t xml:space="preserve">8 minutos 49 segundos</t>
  </si>
  <si>
    <t xml:space="preserve">4 de abril de 2025  22:27</t>
  </si>
  <si>
    <t xml:space="preserve">3 minutos 25 segundos</t>
  </si>
  <si>
    <t xml:space="preserve">4 de abril de 2025  22:44</t>
  </si>
  <si>
    <t xml:space="preserve">10 minutos 9 segundos</t>
  </si>
  <si>
    <t xml:space="preserve">4 de abril de 2025  23:41</t>
  </si>
  <si>
    <t xml:space="preserve">17 minutos 33 segundos</t>
  </si>
  <si>
    <t xml:space="preserve">4 de abril de 2025  22:14</t>
  </si>
  <si>
    <t xml:space="preserve">2 días 1 hora</t>
  </si>
  <si>
    <t xml:space="preserve">3 de abril de 2025  00:28</t>
  </si>
  <si>
    <t xml:space="preserve">14 minutos 7 segundos</t>
  </si>
  <si>
    <t xml:space="preserve">4 de abril de 2025  20:27</t>
  </si>
  <si>
    <t xml:space="preserve">15 minutos 22 segundos</t>
  </si>
  <si>
    <t xml:space="preserve">4 de abril de 2025  19:22</t>
  </si>
  <si>
    <t xml:space="preserve">10 minutos 38 segundos</t>
  </si>
  <si>
    <t xml:space="preserve">4 de abril de 2025  22:08</t>
  </si>
  <si>
    <t xml:space="preserve">6 minutos 10 segundos</t>
  </si>
  <si>
    <t xml:space="preserve">2 de abril de 2025  17:31</t>
  </si>
  <si>
    <t xml:space="preserve">9 minutos 17 segundos</t>
  </si>
  <si>
    <t xml:space="preserve">4 de abril de 2025  20:05</t>
  </si>
  <si>
    <t xml:space="preserve">10 minutos 15 segundos</t>
  </si>
  <si>
    <t xml:space="preserve">4 de abril de 2025  22:33</t>
  </si>
  <si>
    <t xml:space="preserve">22 minutos 55 segundos</t>
  </si>
  <si>
    <t xml:space="preserve">4 de abril de 2025  13:17</t>
  </si>
  <si>
    <t xml:space="preserve">9 minutos 6 segundos</t>
  </si>
  <si>
    <t xml:space="preserve">4 de abril de 2025  19:58</t>
  </si>
  <si>
    <t xml:space="preserve">17 minutos 41 segundos</t>
  </si>
  <si>
    <t xml:space="preserve">4 de abril de 2025  14:02</t>
  </si>
  <si>
    <t xml:space="preserve">8 minutos 56 segundos</t>
  </si>
  <si>
    <t xml:space="preserve">4 de abril de 2025  23:20</t>
  </si>
  <si>
    <t xml:space="preserve">6 minutos 27 segundos</t>
  </si>
  <si>
    <t xml:space="preserve">4 de abril de 2025  22:55</t>
  </si>
  <si>
    <t xml:space="preserve">6 minutos</t>
  </si>
  <si>
    <t xml:space="preserve">4 de abril de 2025  23:48</t>
  </si>
  <si>
    <t xml:space="preserve">15 minutos 56 segundos</t>
  </si>
  <si>
    <t xml:space="preserve">4 de abril de 2025  21:57</t>
  </si>
  <si>
    <t xml:space="preserve">10 minutos 46 segundos</t>
  </si>
  <si>
    <t xml:space="preserve">4 de abril de 2025  22:23</t>
  </si>
  <si>
    <t xml:space="preserve">5 minutos 50 segundos</t>
  </si>
  <si>
    <t xml:space="preserve">29 de abril de 2025  13:55</t>
  </si>
  <si>
    <t xml:space="preserve">6 minutos 41 segundos</t>
  </si>
  <si>
    <t xml:space="preserve">28 de abril de 2025  00:03</t>
  </si>
  <si>
    <t xml:space="preserve">8 minutos 47 segundos</t>
  </si>
  <si>
    <t xml:space="preserve">28 de abril de 2025  18:51</t>
  </si>
  <si>
    <t xml:space="preserve">8 minutos 9 segundos</t>
  </si>
  <si>
    <t xml:space="preserve">26 de abril de 2025  19:41</t>
  </si>
  <si>
    <t xml:space="preserve">10 minutos 1 segundos</t>
  </si>
  <si>
    <t xml:space="preserve">28 de abril de 2025  18:21</t>
  </si>
  <si>
    <t xml:space="preserve">8 minutos 26 segundos</t>
  </si>
  <si>
    <t xml:space="preserve">27 de abril de 2025  18:00</t>
  </si>
  <si>
    <t xml:space="preserve">9 minutos 39 segundos</t>
  </si>
  <si>
    <t xml:space="preserve">28 de abril de 2025  17:14</t>
  </si>
  <si>
    <t xml:space="preserve">9 minutos 59 segundos</t>
  </si>
  <si>
    <t xml:space="preserve">28 de abril de 2025  22:17</t>
  </si>
  <si>
    <t xml:space="preserve">3 minutos 24 segundos</t>
  </si>
  <si>
    <t xml:space="preserve">29 de abril de 2025  09:30</t>
  </si>
  <si>
    <t xml:space="preserve">1 segundos</t>
  </si>
  <si>
    <t xml:space="preserve">5 de mayo de 2025  17:11</t>
  </si>
  <si>
    <t xml:space="preserve">6 días 19 horas</t>
  </si>
  <si>
    <t xml:space="preserve">28 de abril de 2025  19:05</t>
  </si>
  <si>
    <t xml:space="preserve">3 minutos 58 segundos</t>
  </si>
  <si>
    <t xml:space="preserve">28 de abril de 2025  18:27</t>
  </si>
  <si>
    <t xml:space="preserve">6 minutos 15 segundos</t>
  </si>
  <si>
    <t xml:space="preserve">6 de mayo de 2025  22:20</t>
  </si>
  <si>
    <t xml:space="preserve">5 minutos 12 segundos</t>
  </si>
  <si>
    <t xml:space="preserve">5 de mayo de 2025  17:21</t>
  </si>
  <si>
    <t xml:space="preserve">6 minutos 29 segundos</t>
  </si>
  <si>
    <t xml:space="preserve">7 de mayo de 2025  23:39</t>
  </si>
  <si>
    <t xml:space="preserve">6 minutos 5 segundos</t>
  </si>
  <si>
    <t xml:space="preserve">7 de mayo de 2025  21:51</t>
  </si>
  <si>
    <t xml:space="preserve">6 minutos 31 segundos</t>
  </si>
  <si>
    <t xml:space="preserve">7 de mayo de 2025  22:00</t>
  </si>
  <si>
    <t xml:space="preserve">3 minutos 15 segundos</t>
  </si>
  <si>
    <t xml:space="preserve">7 de mayo de 2025  23:45</t>
  </si>
  <si>
    <t xml:space="preserve">4 minutos 6 segundos</t>
  </si>
  <si>
    <t xml:space="preserve">7 de mayo de 2025  23:48</t>
  </si>
  <si>
    <t xml:space="preserve">3 minutos 10 segundos</t>
  </si>
  <si>
    <t xml:space="preserve">7 de mayo de 2025  21:43</t>
  </si>
  <si>
    <t xml:space="preserve">7 de mayo de 2025  23:31</t>
  </si>
  <si>
    <t xml:space="preserve">5 minutos 54 segundos</t>
  </si>
  <si>
    <t xml:space="preserve">5 de mayo de 2025  22:40</t>
  </si>
  <si>
    <t xml:space="preserve">8 minutos 59 segundos</t>
  </si>
  <si>
    <t xml:space="preserve">2 minutos 55 segundos</t>
  </si>
  <si>
    <t xml:space="preserve">7 de mayo de 2025  18:32</t>
  </si>
  <si>
    <t xml:space="preserve">9 minutos 55 segundos</t>
  </si>
  <si>
    <t xml:space="preserve">9 minutos 5 segundos</t>
  </si>
  <si>
    <t xml:space="preserve">9 minutos 49 segundos</t>
  </si>
  <si>
    <t xml:space="preserve">5 minutos 42 segundos</t>
  </si>
  <si>
    <t xml:space="preserve">5 minutos 37 segundos</t>
  </si>
  <si>
    <t xml:space="preserve">9 minutos 23 segundos</t>
  </si>
  <si>
    <t xml:space="preserve">8 minutos 8 segundos</t>
  </si>
  <si>
    <t xml:space="preserve">8 minutos 58 segundos</t>
  </si>
  <si>
    <t xml:space="preserve">2 minutos 48 segundos</t>
  </si>
  <si>
    <t xml:space="preserve">8 minutos 4 segundos</t>
  </si>
  <si>
    <t xml:space="preserve">8 minutos 43 segundos</t>
  </si>
  <si>
    <t xml:space="preserve">5 minutos 11 segundos</t>
  </si>
  <si>
    <t xml:space="preserve">45 minutos 55 segundos</t>
  </si>
  <si>
    <t xml:space="preserve">55 minutos 45 segundos</t>
  </si>
  <si>
    <t xml:space="preserve">51 minutos 36 segundos</t>
  </si>
  <si>
    <t xml:space="preserve">1 hora 1 minutos</t>
  </si>
  <si>
    <t xml:space="preserve">49 minutos 32 segundos</t>
  </si>
  <si>
    <t xml:space="preserve">38 minutos 33 segundos</t>
  </si>
  <si>
    <t xml:space="preserve">34 minutos 42 segundos</t>
  </si>
  <si>
    <t xml:space="preserve">40 minutos 33 segundos</t>
  </si>
  <si>
    <t xml:space="preserve">58 minutos 14 segundos</t>
  </si>
  <si>
    <t xml:space="preserve">26 minutos 52 segundos</t>
  </si>
  <si>
    <t xml:space="preserve">32 minutos 44 segundos</t>
  </si>
  <si>
    <t xml:space="preserve">46 minutos 20 segundos</t>
  </si>
  <si>
    <t xml:space="preserve">47 minutos 24 segundos</t>
  </si>
  <si>
    <t xml:space="preserve">58 minutos 19 segundos</t>
  </si>
  <si>
    <t xml:space="preserve">53 minutos 23 segundos</t>
  </si>
  <si>
    <t xml:space="preserve">Avril</t>
  </si>
  <si>
    <t xml:space="preserve">59 minutos 29 segundos</t>
  </si>
  <si>
    <t xml:space="preserve">53 minutos 37 segundos</t>
  </si>
  <si>
    <t xml:space="preserve">36 minutos 42 segundos</t>
  </si>
  <si>
    <t xml:space="preserve">45 minutos 59 segundos</t>
  </si>
  <si>
    <t xml:space="preserve">46 minutos 32 segundos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</si>
</sst>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hh:mm:ss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23" colorId="64" zoomScale="90" zoomScaleNormal="90" zoomScalePageLayoutView="100" workbookViewId="0">
      <selection pane="topLeft" activeCell="F27" activeCellId="0" sqref="F27"/>
    </sheetView>
  </sheetViews>
  <sheetFormatPr defaultColWidth="8.753906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1.34"/>
    <col collapsed="false" customWidth="true" hidden="true" outlineLevel="0" max="4" min="4" style="1" width="35.71"/>
    <col collapsed="false" customWidth="true" hidden="false" outlineLevel="0" max="5" min="5" style="1" width="8.68"/>
    <col collapsed="false" customWidth="true" hidden="false" outlineLevel="0" max="16384" min="16197" style="1" width="10.58"/>
  </cols>
  <sheetData>
    <row r="1" customFormat="false" ht="15" hidden="false" customHeight="false" outlineLevel="0" collapsed="false">
      <c r="B1" s="2"/>
      <c r="C1" s="2"/>
      <c r="D1" s="2"/>
      <c r="E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46091</v>
      </c>
      <c r="F2" s="3" t="n">
        <v>46140</v>
      </c>
      <c r="G2" s="3" t="n">
        <v>46105</v>
      </c>
      <c r="H2" s="3" t="n">
        <v>46112</v>
      </c>
      <c r="I2" s="3" t="n">
        <v>46119</v>
      </c>
      <c r="J2" s="3" t="n">
        <v>46126</v>
      </c>
      <c r="K2" s="3" t="n">
        <v>46133</v>
      </c>
      <c r="L2" s="3" t="n">
        <v>46140</v>
      </c>
      <c r="M2" s="3" t="n">
        <v>46147</v>
      </c>
      <c r="N2" s="3" t="n">
        <v>46154</v>
      </c>
      <c r="O2" s="3" t="n">
        <v>46161</v>
      </c>
      <c r="P2" s="3" t="n">
        <v>46168</v>
      </c>
      <c r="Q2" s="3" t="n">
        <v>46175</v>
      </c>
      <c r="R2" s="3" t="n">
        <v>46182</v>
      </c>
      <c r="S2" s="3" t="n">
        <v>46189</v>
      </c>
      <c r="T2" s="3" t="n">
        <v>46196</v>
      </c>
      <c r="U2" s="3" t="n">
        <v>46203</v>
      </c>
      <c r="V2" s="3" t="n">
        <v>46210</v>
      </c>
      <c r="W2" s="3" t="n">
        <v>46217</v>
      </c>
      <c r="X2" s="3" t="n">
        <v>46224</v>
      </c>
      <c r="Y2" s="3" t="n">
        <v>46231</v>
      </c>
      <c r="Z2" s="3" t="n">
        <v>46238</v>
      </c>
      <c r="AA2" s="3" t="n">
        <v>46245</v>
      </c>
      <c r="AB2" s="3" t="n">
        <v>46252</v>
      </c>
      <c r="AC2" s="3" t="n">
        <v>46259</v>
      </c>
      <c r="AD2" s="3" t="n">
        <v>46266</v>
      </c>
      <c r="AE2" s="3" t="n">
        <v>46273</v>
      </c>
      <c r="AF2" s="3" t="n">
        <v>46280</v>
      </c>
      <c r="AG2" s="3" t="n">
        <v>46287</v>
      </c>
      <c r="AH2" s="3" t="n">
        <v>46294</v>
      </c>
      <c r="AI2" s="3" t="n">
        <v>46301</v>
      </c>
      <c r="AJ2" s="3" t="n">
        <v>46308</v>
      </c>
      <c r="AK2" s="3" t="n">
        <v>46315</v>
      </c>
      <c r="AL2" s="3" t="n">
        <v>46322</v>
      </c>
      <c r="AM2" s="3" t="n">
        <v>46329</v>
      </c>
      <c r="AN2" s="3" t="n">
        <v>46336</v>
      </c>
      <c r="AO2" s="3" t="n">
        <v>46343</v>
      </c>
      <c r="AP2" s="3" t="n">
        <v>46350</v>
      </c>
      <c r="AQ2" s="3" t="n">
        <v>46357</v>
      </c>
      <c r="AR2" s="3" t="n">
        <v>46364</v>
      </c>
      <c r="AS2" s="3" t="n">
        <v>46371</v>
      </c>
      <c r="AT2" s="3" t="n">
        <v>46378</v>
      </c>
      <c r="AU2" s="3" t="n">
        <v>46385</v>
      </c>
    </row>
    <row r="3" customFormat="false" ht="15" hidden="false" customHeight="false" outlineLevel="0" collapsed="false">
      <c r="A3" s="1" t="n">
        <v>1</v>
      </c>
      <c r="B3" s="2" t="s">
        <v>4</v>
      </c>
      <c r="C3" s="2" t="s">
        <v>5</v>
      </c>
      <c r="D3" s="2" t="s">
        <v>6</v>
      </c>
      <c r="E3" s="1" t="s">
        <v>7</v>
      </c>
      <c r="F3" s="4" t="s">
        <v>8</v>
      </c>
    </row>
    <row r="4" customFormat="false" ht="15" hidden="false" customHeight="false" outlineLevel="0" collapsed="false">
      <c r="A4" s="1" t="n">
        <v>2</v>
      </c>
      <c r="B4" s="2" t="s">
        <v>9</v>
      </c>
      <c r="C4" s="2" t="s">
        <v>10</v>
      </c>
      <c r="D4" s="2" t="s">
        <v>11</v>
      </c>
      <c r="E4" s="1" t="s">
        <v>7</v>
      </c>
      <c r="F4" s="4" t="s">
        <v>7</v>
      </c>
    </row>
    <row r="5" customFormat="false" ht="15" hidden="false" customHeight="false" outlineLevel="0" collapsed="false">
      <c r="A5" s="1" t="n">
        <v>3</v>
      </c>
      <c r="B5" s="2" t="s">
        <v>12</v>
      </c>
      <c r="C5" s="2" t="s">
        <v>13</v>
      </c>
      <c r="D5" s="2" t="s">
        <v>14</v>
      </c>
      <c r="E5" s="1" t="s">
        <v>7</v>
      </c>
      <c r="F5" s="4" t="s">
        <v>7</v>
      </c>
    </row>
    <row r="6" customFormat="false" ht="15" hidden="false" customHeight="false" outlineLevel="0" collapsed="false">
      <c r="A6" s="1" t="n">
        <v>4</v>
      </c>
      <c r="B6" s="2" t="s">
        <v>15</v>
      </c>
      <c r="C6" s="2" t="s">
        <v>16</v>
      </c>
      <c r="D6" s="2" t="s">
        <v>17</v>
      </c>
      <c r="E6" s="1" t="s">
        <v>7</v>
      </c>
      <c r="F6" s="4" t="s">
        <v>18</v>
      </c>
    </row>
    <row r="7" customFormat="false" ht="15" hidden="false" customHeight="false" outlineLevel="0" collapsed="false">
      <c r="A7" s="1" t="n">
        <v>5</v>
      </c>
      <c r="B7" s="2" t="s">
        <v>19</v>
      </c>
      <c r="C7" s="2" t="s">
        <v>20</v>
      </c>
      <c r="D7" s="2" t="s">
        <v>21</v>
      </c>
      <c r="E7" s="1" t="s">
        <v>7</v>
      </c>
      <c r="F7" s="4" t="s">
        <v>22</v>
      </c>
    </row>
    <row r="8" s="2" customFormat="true" ht="15" hidden="false" customHeight="false" outlineLevel="0" collapsed="false">
      <c r="A8" s="1" t="n">
        <v>6</v>
      </c>
      <c r="B8" s="2" t="s">
        <v>23</v>
      </c>
      <c r="C8" s="2" t="s">
        <v>24</v>
      </c>
      <c r="D8" s="2" t="s">
        <v>25</v>
      </c>
      <c r="E8" s="1" t="s">
        <v>7</v>
      </c>
      <c r="F8" s="1" t="s">
        <v>22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"/>
      <c r="ED8" s="1"/>
      <c r="EE8" s="1"/>
      <c r="EF8" s="1"/>
      <c r="EG8" s="1"/>
      <c r="EH8" s="1"/>
      <c r="EI8" s="1"/>
      <c r="EJ8" s="1"/>
      <c r="EK8" s="1"/>
      <c r="EL8" s="1"/>
      <c r="EM8" s="1"/>
      <c r="EN8" s="1"/>
      <c r="EO8" s="1"/>
      <c r="EP8" s="1"/>
      <c r="EQ8" s="1"/>
      <c r="ER8" s="1"/>
      <c r="ES8" s="1"/>
      <c r="ET8" s="1"/>
      <c r="EU8" s="1"/>
      <c r="EV8" s="1"/>
      <c r="EW8" s="1"/>
      <c r="EX8" s="1"/>
      <c r="EY8" s="1"/>
      <c r="EZ8" s="1"/>
      <c r="FA8" s="1"/>
      <c r="FB8" s="1"/>
      <c r="FC8" s="1"/>
      <c r="FD8" s="1"/>
      <c r="FE8" s="1"/>
      <c r="FF8" s="1"/>
    </row>
    <row r="9" customFormat="false" ht="15" hidden="false" customHeight="false" outlineLevel="0" collapsed="false">
      <c r="A9" s="1" t="n">
        <v>7</v>
      </c>
      <c r="B9" s="2" t="s">
        <v>26</v>
      </c>
      <c r="C9" s="2" t="s">
        <v>27</v>
      </c>
      <c r="D9" s="2" t="s">
        <v>28</v>
      </c>
      <c r="E9" s="1" t="s">
        <v>7</v>
      </c>
      <c r="F9" s="4" t="s">
        <v>7</v>
      </c>
    </row>
    <row r="10" customFormat="false" ht="15" hidden="false" customHeight="false" outlineLevel="0" collapsed="false">
      <c r="A10" s="1" t="n">
        <v>8</v>
      </c>
      <c r="B10" s="2" t="s">
        <v>29</v>
      </c>
      <c r="C10" s="2" t="s">
        <v>30</v>
      </c>
      <c r="D10" s="2" t="s">
        <v>31</v>
      </c>
      <c r="E10" s="1" t="s">
        <v>7</v>
      </c>
      <c r="F10" s="4" t="s">
        <v>7</v>
      </c>
    </row>
    <row r="11" customFormat="false" ht="15" hidden="false" customHeight="false" outlineLevel="0" collapsed="false">
      <c r="A11" s="1" t="n">
        <v>9</v>
      </c>
      <c r="B11" s="2" t="s">
        <v>32</v>
      </c>
      <c r="C11" s="2" t="s">
        <v>33</v>
      </c>
      <c r="D11" s="2" t="s">
        <v>34</v>
      </c>
      <c r="E11" s="1" t="s">
        <v>22</v>
      </c>
      <c r="F11" s="4" t="s">
        <v>7</v>
      </c>
    </row>
    <row r="12" s="2" customFormat="true" ht="15" hidden="false" customHeight="false" outlineLevel="0" collapsed="false">
      <c r="A12" s="1" t="n">
        <v>10</v>
      </c>
      <c r="B12" s="2" t="s">
        <v>35</v>
      </c>
      <c r="C12" s="2" t="s">
        <v>36</v>
      </c>
      <c r="D12" s="2" t="s">
        <v>37</v>
      </c>
      <c r="E12" s="1" t="s">
        <v>7</v>
      </c>
      <c r="F12" s="1" t="s">
        <v>22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</row>
    <row r="13" s="1" customFormat="true" ht="15" hidden="false" customHeight="false" outlineLevel="0" collapsed="false">
      <c r="A13" s="1" t="n">
        <v>11</v>
      </c>
      <c r="B13" s="2" t="s">
        <v>38</v>
      </c>
      <c r="C13" s="2" t="s">
        <v>39</v>
      </c>
      <c r="D13" s="2" t="s">
        <v>40</v>
      </c>
      <c r="E13" s="1" t="s">
        <v>7</v>
      </c>
      <c r="F13" s="1" t="s">
        <v>7</v>
      </c>
    </row>
    <row r="14" s="1" customFormat="true" ht="15" hidden="false" customHeight="false" outlineLevel="0" collapsed="false">
      <c r="A14" s="1" t="n">
        <v>12</v>
      </c>
      <c r="B14" s="2" t="s">
        <v>41</v>
      </c>
      <c r="C14" s="2" t="s">
        <v>42</v>
      </c>
      <c r="D14" s="2" t="s">
        <v>43</v>
      </c>
      <c r="E14" s="1" t="s">
        <v>7</v>
      </c>
      <c r="F14" s="1" t="s">
        <v>22</v>
      </c>
    </row>
    <row r="15" s="2" customFormat="true" ht="15" hidden="false" customHeight="false" outlineLevel="0" collapsed="false">
      <c r="A15" s="1" t="n">
        <v>13</v>
      </c>
      <c r="B15" s="2" t="s">
        <v>44</v>
      </c>
      <c r="C15" s="2" t="s">
        <v>45</v>
      </c>
      <c r="D15" s="2" t="s">
        <v>46</v>
      </c>
      <c r="E15" s="1" t="s">
        <v>7</v>
      </c>
      <c r="F15" s="1" t="s">
        <v>8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</row>
    <row r="16" s="1" customFormat="true" ht="15" hidden="false" customHeight="false" outlineLevel="0" collapsed="false">
      <c r="A16" s="1" t="n">
        <v>14</v>
      </c>
      <c r="B16" s="2" t="s">
        <v>47</v>
      </c>
      <c r="C16" s="2" t="s">
        <v>48</v>
      </c>
      <c r="D16" s="2" t="s">
        <v>49</v>
      </c>
      <c r="E16" s="1" t="s">
        <v>7</v>
      </c>
      <c r="F16" s="1" t="s">
        <v>7</v>
      </c>
    </row>
    <row r="17" s="1" customFormat="true" ht="15" hidden="false" customHeight="false" outlineLevel="0" collapsed="false">
      <c r="A17" s="1" t="n">
        <v>15</v>
      </c>
      <c r="B17" s="2" t="s">
        <v>50</v>
      </c>
      <c r="C17" s="2" t="s">
        <v>51</v>
      </c>
      <c r="D17" s="2" t="s">
        <v>52</v>
      </c>
      <c r="E17" s="1" t="s">
        <v>7</v>
      </c>
      <c r="F17" s="1" t="s">
        <v>7</v>
      </c>
    </row>
    <row r="18" s="2" customFormat="true" ht="15" hidden="false" customHeight="false" outlineLevel="0" collapsed="false">
      <c r="A18" s="1" t="n">
        <v>16</v>
      </c>
      <c r="B18" s="2" t="s">
        <v>53</v>
      </c>
      <c r="C18" s="2" t="s">
        <v>54</v>
      </c>
      <c r="D18" s="2" t="s">
        <v>55</v>
      </c>
      <c r="E18" s="1" t="s">
        <v>7</v>
      </c>
      <c r="F18" s="1" t="s">
        <v>22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/>
      <c r="CR18" s="1"/>
      <c r="CS18" s="1"/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/>
      <c r="DE18" s="1"/>
      <c r="DF18" s="1"/>
      <c r="DG18" s="1"/>
      <c r="DH18" s="1"/>
      <c r="DI18" s="1"/>
      <c r="DJ18" s="1"/>
      <c r="DK18" s="1"/>
      <c r="DL18" s="1"/>
      <c r="DM18" s="1"/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</row>
    <row r="19" s="2" customFormat="true" ht="15" hidden="false" customHeight="false" outlineLevel="0" collapsed="false">
      <c r="A19" s="1" t="n">
        <v>17</v>
      </c>
      <c r="B19" s="2" t="s">
        <v>56</v>
      </c>
      <c r="C19" s="2" t="s">
        <v>57</v>
      </c>
      <c r="D19" s="2" t="s">
        <v>58</v>
      </c>
      <c r="E19" s="1" t="s">
        <v>7</v>
      </c>
      <c r="F19" s="1" t="s">
        <v>7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/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/>
      <c r="DF19" s="1"/>
      <c r="DG19" s="1"/>
      <c r="DH19" s="1"/>
      <c r="DI19" s="1"/>
      <c r="DJ19" s="1"/>
      <c r="DK19" s="1"/>
      <c r="DL19" s="1"/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</row>
    <row r="20" s="1" customFormat="true" ht="15" hidden="false" customHeight="false" outlineLevel="0" collapsed="false">
      <c r="A20" s="1" t="n">
        <v>18</v>
      </c>
      <c r="B20" s="2" t="s">
        <v>59</v>
      </c>
      <c r="C20" s="2" t="s">
        <v>60</v>
      </c>
      <c r="D20" s="2" t="s">
        <v>61</v>
      </c>
      <c r="E20" s="1" t="s">
        <v>7</v>
      </c>
      <c r="F20" s="1" t="s">
        <v>7</v>
      </c>
    </row>
    <row r="21" s="1" customFormat="true" ht="15" hidden="false" customHeight="false" outlineLevel="0" collapsed="false">
      <c r="A21" s="1" t="n">
        <v>19</v>
      </c>
      <c r="B21" s="2" t="s">
        <v>62</v>
      </c>
      <c r="C21" s="2" t="s">
        <v>63</v>
      </c>
      <c r="D21" s="2" t="s">
        <v>64</v>
      </c>
      <c r="E21" s="1" t="s">
        <v>7</v>
      </c>
      <c r="F21" s="1" t="s">
        <v>8</v>
      </c>
    </row>
    <row r="22" s="1" customFormat="true" ht="15" hidden="false" customHeight="false" outlineLevel="0" collapsed="false">
      <c r="A22" s="1" t="n">
        <v>20</v>
      </c>
      <c r="B22" s="2" t="s">
        <v>65</v>
      </c>
      <c r="C22" s="2" t="s">
        <v>66</v>
      </c>
      <c r="D22" s="2" t="s">
        <v>67</v>
      </c>
      <c r="E22" s="1" t="s">
        <v>7</v>
      </c>
      <c r="F22" s="1" t="s">
        <v>7</v>
      </c>
      <c r="WXY22" s="2"/>
      <c r="WXZ22" s="2"/>
      <c r="WYA22" s="2"/>
      <c r="WYB22" s="2"/>
      <c r="WYC22" s="2"/>
      <c r="WYD22" s="2"/>
      <c r="WYE22" s="2"/>
      <c r="WYF22" s="2"/>
      <c r="WYG22" s="2"/>
      <c r="WYH22" s="2"/>
      <c r="WYI22" s="2"/>
      <c r="WYJ22" s="2"/>
      <c r="WYK22" s="2"/>
      <c r="WYL22" s="2"/>
      <c r="WYM22" s="2"/>
      <c r="WYN22" s="2"/>
      <c r="WYO22" s="2"/>
      <c r="WYP22" s="2"/>
      <c r="WYQ22" s="2"/>
      <c r="WYR22" s="2"/>
      <c r="WYS22" s="2"/>
      <c r="WYT22" s="2"/>
      <c r="WYU22" s="2"/>
      <c r="WYV22" s="2"/>
      <c r="WYW22" s="2"/>
      <c r="WYX22" s="2"/>
      <c r="WYY22" s="2"/>
      <c r="WYZ22" s="2"/>
      <c r="WZA22" s="2"/>
      <c r="WZB22" s="2"/>
      <c r="WZC22" s="2"/>
      <c r="WZD22" s="2"/>
      <c r="WZE22" s="2"/>
      <c r="WZF22" s="2"/>
      <c r="WZG22" s="2"/>
      <c r="WZH22" s="2"/>
      <c r="WZI22" s="2"/>
      <c r="WZJ22" s="2"/>
      <c r="WZK22" s="2"/>
      <c r="WZL22" s="2"/>
      <c r="WZM22" s="2"/>
      <c r="WZN22" s="2"/>
      <c r="WZO22" s="2"/>
      <c r="WZP22" s="2"/>
      <c r="WZQ22" s="2"/>
      <c r="WZR22" s="2"/>
      <c r="WZS22" s="2"/>
      <c r="WZT22" s="2"/>
      <c r="WZU22" s="2"/>
      <c r="WZV22" s="2"/>
      <c r="WZW22" s="2"/>
      <c r="WZX22" s="2"/>
      <c r="WZY22" s="2"/>
      <c r="WZZ22" s="2"/>
      <c r="XAA22" s="2"/>
      <c r="XAB22" s="2"/>
      <c r="XAC22" s="2"/>
      <c r="XAD22" s="2"/>
      <c r="XAE22" s="2"/>
      <c r="XAF22" s="2"/>
      <c r="XAG22" s="2"/>
      <c r="XAH22" s="2"/>
      <c r="XAI22" s="2"/>
      <c r="XAJ22" s="2"/>
      <c r="XAK22" s="2"/>
      <c r="XAL22" s="2"/>
      <c r="XAM22" s="2"/>
      <c r="XAN22" s="2"/>
      <c r="XAO22" s="2"/>
      <c r="XAP22" s="2"/>
      <c r="XAQ22" s="2"/>
      <c r="XAR22" s="2"/>
      <c r="XAS22" s="2"/>
      <c r="XAT22" s="2"/>
      <c r="XAU22" s="2"/>
      <c r="XAV22" s="2"/>
      <c r="XAW22" s="2"/>
      <c r="XAX22" s="2"/>
      <c r="XAY22" s="2"/>
      <c r="XAZ22" s="2"/>
      <c r="XBA22" s="2"/>
      <c r="XBB22" s="2"/>
      <c r="XBC22" s="2"/>
      <c r="XBD22" s="2"/>
      <c r="XBE22" s="2"/>
      <c r="XBF22" s="2"/>
      <c r="XBG22" s="2"/>
      <c r="XBH22" s="2"/>
      <c r="XBI22" s="2"/>
      <c r="XBJ22" s="2"/>
      <c r="XBK22" s="2"/>
      <c r="XBL22" s="2"/>
      <c r="XBM22" s="2"/>
      <c r="XBN22" s="2"/>
      <c r="XBO22" s="2"/>
      <c r="XBP22" s="2"/>
      <c r="XBQ22" s="2"/>
      <c r="XBR22" s="2"/>
      <c r="XBS22" s="2"/>
      <c r="XBT22" s="2"/>
      <c r="XBU22" s="2"/>
      <c r="XBV22" s="2"/>
      <c r="XBW22" s="2"/>
      <c r="XBX22" s="2"/>
      <c r="XBY22" s="2"/>
      <c r="XBZ22" s="2"/>
      <c r="XCA22" s="2"/>
      <c r="XCB22" s="2"/>
      <c r="XCC22" s="2"/>
      <c r="XCD22" s="2"/>
      <c r="XCE22" s="2"/>
      <c r="XCF22" s="2"/>
      <c r="XCG22" s="2"/>
      <c r="XCH22" s="2"/>
      <c r="XCI22" s="2"/>
      <c r="XCJ22" s="2"/>
      <c r="XCK22" s="2"/>
      <c r="XCL22" s="2"/>
      <c r="XCM22" s="2"/>
      <c r="XCN22" s="2"/>
      <c r="XCO22" s="2"/>
      <c r="XCP22" s="2"/>
      <c r="XCQ22" s="2"/>
      <c r="XCR22" s="2"/>
      <c r="XCS22" s="2"/>
      <c r="XCT22" s="2"/>
      <c r="XCU22" s="2"/>
      <c r="XCV22" s="2"/>
      <c r="XCW22" s="2"/>
      <c r="XCX22" s="2"/>
      <c r="XCY22" s="2"/>
      <c r="XCZ22" s="2"/>
      <c r="XDA22" s="2"/>
      <c r="XDB22" s="2"/>
      <c r="XDC22" s="2"/>
      <c r="XDD22" s="2"/>
      <c r="XDE22" s="2"/>
      <c r="XDF22" s="2"/>
      <c r="XDG22" s="2"/>
      <c r="XDH22" s="2"/>
      <c r="XDI22" s="2"/>
      <c r="XDJ22" s="2"/>
      <c r="XDK22" s="2"/>
      <c r="XDL22" s="2"/>
      <c r="XDM22" s="2"/>
      <c r="XDN22" s="2"/>
      <c r="XDO22" s="2"/>
      <c r="XDP22" s="2"/>
      <c r="XDQ22" s="2"/>
      <c r="XDR22" s="2"/>
      <c r="XDS22" s="2"/>
      <c r="XDT22" s="2"/>
      <c r="XDU22" s="2"/>
      <c r="XDV22" s="2"/>
      <c r="XDW22" s="2"/>
      <c r="XDX22" s="2"/>
      <c r="XDY22" s="2"/>
      <c r="XDZ22" s="2"/>
      <c r="XEA22" s="2"/>
      <c r="XEB22" s="2"/>
      <c r="XEC22" s="2"/>
      <c r="XED22" s="2"/>
      <c r="XEE22" s="2"/>
      <c r="XEF22" s="2"/>
      <c r="XEG22" s="2"/>
      <c r="XEH22" s="2"/>
      <c r="XEI22" s="2"/>
      <c r="XEJ22" s="2"/>
      <c r="XEK22" s="2"/>
      <c r="XEL22" s="2"/>
      <c r="XEM22" s="2"/>
      <c r="XEN22" s="2"/>
      <c r="XEO22" s="2"/>
      <c r="XEP22" s="2"/>
      <c r="XEQ22" s="2"/>
      <c r="XER22" s="2"/>
      <c r="XES22" s="2"/>
      <c r="XET22" s="2"/>
      <c r="XEU22" s="2"/>
      <c r="XEV22" s="2"/>
      <c r="XEW22" s="2"/>
      <c r="XEX22" s="2"/>
      <c r="XEY22" s="2"/>
      <c r="XEZ22" s="2"/>
      <c r="XFA22" s="2"/>
      <c r="XFB22" s="2"/>
      <c r="XFC22" s="2"/>
      <c r="XFD22" s="2"/>
    </row>
    <row r="23" s="2" customFormat="true" ht="15" hidden="false" customHeight="false" outlineLevel="0" collapsed="false">
      <c r="A23" s="1" t="n">
        <v>21</v>
      </c>
      <c r="B23" s="2" t="s">
        <v>68</v>
      </c>
      <c r="C23" s="2" t="s">
        <v>69</v>
      </c>
      <c r="D23" s="2" t="s">
        <v>70</v>
      </c>
      <c r="E23" s="1" t="s">
        <v>7</v>
      </c>
      <c r="F23" s="1" t="s">
        <v>7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WXY23" s="1"/>
      <c r="WXZ23" s="1"/>
      <c r="WYA23" s="1"/>
      <c r="WYB23" s="1"/>
      <c r="WYC23" s="1"/>
      <c r="WYD23" s="1"/>
      <c r="WYE23" s="1"/>
      <c r="WYF23" s="1"/>
      <c r="WYG23" s="1"/>
      <c r="WYH23" s="1"/>
      <c r="WYI23" s="1"/>
      <c r="WYJ23" s="1"/>
      <c r="WYK23" s="1"/>
      <c r="WYL23" s="1"/>
      <c r="WYM23" s="1"/>
      <c r="WYN23" s="1"/>
      <c r="WYO23" s="1"/>
      <c r="WYP23" s="1"/>
      <c r="WYQ23" s="1"/>
      <c r="WYR23" s="1"/>
      <c r="WYS23" s="1"/>
      <c r="WYT23" s="1"/>
      <c r="WYU23" s="1"/>
      <c r="WYV23" s="1"/>
      <c r="WYW23" s="1"/>
      <c r="WYX23" s="1"/>
      <c r="WYY23" s="1"/>
      <c r="WYZ23" s="1"/>
      <c r="WZA23" s="1"/>
      <c r="WZB23" s="1"/>
      <c r="WZC23" s="1"/>
      <c r="WZD23" s="1"/>
      <c r="WZE23" s="1"/>
      <c r="WZF23" s="1"/>
      <c r="WZG23" s="1"/>
      <c r="WZH23" s="1"/>
      <c r="WZI23" s="1"/>
      <c r="WZJ23" s="1"/>
      <c r="WZK23" s="1"/>
      <c r="WZL23" s="1"/>
      <c r="WZM23" s="1"/>
      <c r="WZN23" s="1"/>
      <c r="WZO23" s="1"/>
      <c r="WZP23" s="1"/>
      <c r="WZQ23" s="1"/>
      <c r="WZR23" s="1"/>
      <c r="WZS23" s="1"/>
      <c r="WZT23" s="1"/>
      <c r="WZU23" s="1"/>
      <c r="WZV23" s="1"/>
      <c r="WZW23" s="1"/>
      <c r="WZX23" s="1"/>
      <c r="WZY23" s="1"/>
      <c r="WZZ23" s="1"/>
      <c r="XAA23" s="1"/>
      <c r="XAB23" s="1"/>
      <c r="XAC23" s="1"/>
      <c r="XAD23" s="1"/>
      <c r="XAE23" s="1"/>
      <c r="XAF23" s="1"/>
      <c r="XAG23" s="1"/>
      <c r="XAH23" s="1"/>
      <c r="XAI23" s="1"/>
      <c r="XAJ23" s="1"/>
      <c r="XAK23" s="1"/>
      <c r="XAL23" s="1"/>
      <c r="XAM23" s="1"/>
      <c r="XAN23" s="1"/>
      <c r="XAO23" s="1"/>
      <c r="XAP23" s="1"/>
      <c r="XAQ23" s="1"/>
      <c r="XAR23" s="1"/>
      <c r="XAS23" s="1"/>
      <c r="XAT23" s="1"/>
      <c r="XAU23" s="1"/>
      <c r="XAV23" s="1"/>
      <c r="XAW23" s="1"/>
      <c r="XAX23" s="1"/>
      <c r="XAY23" s="1"/>
      <c r="XAZ23" s="1"/>
      <c r="XBA23" s="1"/>
      <c r="XBB23" s="1"/>
      <c r="XBC23" s="1"/>
      <c r="XBD23" s="1"/>
      <c r="XBE23" s="1"/>
      <c r="XBF23" s="1"/>
      <c r="XBG23" s="1"/>
      <c r="XBH23" s="1"/>
      <c r="XBI23" s="1"/>
      <c r="XBJ23" s="1"/>
      <c r="XBK23" s="1"/>
      <c r="XBL23" s="1"/>
      <c r="XBM23" s="1"/>
      <c r="XBN23" s="1"/>
      <c r="XBO23" s="1"/>
      <c r="XBP23" s="1"/>
      <c r="XBQ23" s="1"/>
      <c r="XBR23" s="1"/>
      <c r="XBS23" s="1"/>
      <c r="XBT23" s="1"/>
      <c r="XBU23" s="1"/>
      <c r="XBV23" s="1"/>
      <c r="XBW23" s="1"/>
      <c r="XBX23" s="1"/>
      <c r="XBY23" s="1"/>
      <c r="XBZ23" s="1"/>
      <c r="XCA23" s="1"/>
      <c r="XCB23" s="1"/>
      <c r="XCC23" s="1"/>
      <c r="XCD23" s="1"/>
      <c r="XCE23" s="1"/>
      <c r="XCF23" s="1"/>
      <c r="XCG23" s="1"/>
      <c r="XCH23" s="1"/>
      <c r="XCI23" s="1"/>
      <c r="XCJ23" s="1"/>
      <c r="XCK23" s="1"/>
      <c r="XCL23" s="1"/>
      <c r="XCM23" s="1"/>
      <c r="XCN23" s="1"/>
      <c r="XCO23" s="1"/>
      <c r="XCP23" s="1"/>
      <c r="XCQ23" s="1"/>
      <c r="XCR23" s="1"/>
      <c r="XCS23" s="1"/>
      <c r="XCT23" s="1"/>
      <c r="XCU23" s="1"/>
      <c r="XCV23" s="1"/>
      <c r="XCW23" s="1"/>
      <c r="XCX23" s="1"/>
      <c r="XCY23" s="1"/>
      <c r="XCZ23" s="1"/>
      <c r="XDA23" s="1"/>
      <c r="XDB23" s="1"/>
      <c r="XDC23" s="1"/>
      <c r="XDD23" s="1"/>
      <c r="XDE23" s="1"/>
      <c r="XDF23" s="1"/>
      <c r="XDG23" s="1"/>
      <c r="XDH23" s="1"/>
      <c r="XDI23" s="1"/>
      <c r="XDJ23" s="1"/>
      <c r="XDK23" s="1"/>
      <c r="XDL23" s="1"/>
      <c r="XDM23" s="1"/>
      <c r="XDN23" s="1"/>
      <c r="XDO23" s="1"/>
      <c r="XDP23" s="1"/>
      <c r="XDQ23" s="1"/>
      <c r="XDR23" s="1"/>
      <c r="XDS23" s="1"/>
      <c r="XDT23" s="1"/>
      <c r="XDU23" s="1"/>
      <c r="XDV23" s="1"/>
      <c r="XDW23" s="1"/>
      <c r="XDX23" s="1"/>
      <c r="XDY23" s="1"/>
      <c r="XDZ23" s="1"/>
      <c r="XEA23" s="1"/>
      <c r="XEB23" s="1"/>
      <c r="XEC23" s="1"/>
      <c r="XED23" s="1"/>
      <c r="XEE23" s="1"/>
      <c r="XEF23" s="1"/>
      <c r="XEG23" s="1"/>
      <c r="XEH23" s="1"/>
      <c r="XEI23" s="1"/>
      <c r="XEJ23" s="1"/>
      <c r="XEK23" s="1"/>
      <c r="XEL23" s="1"/>
      <c r="XEM23" s="1"/>
      <c r="XEN23" s="1"/>
      <c r="XEO23" s="1"/>
      <c r="XEP23" s="1"/>
      <c r="XEQ23" s="1"/>
      <c r="XER23" s="1"/>
      <c r="XES23" s="1"/>
      <c r="XET23" s="1"/>
      <c r="XEU23" s="1"/>
      <c r="XEV23" s="1"/>
      <c r="XEW23" s="1"/>
      <c r="XEX23" s="1"/>
      <c r="XEY23" s="1"/>
      <c r="XEZ23" s="1"/>
      <c r="XFA23" s="1"/>
      <c r="XFB23" s="1"/>
      <c r="XFC23" s="1"/>
      <c r="XFD23" s="1"/>
    </row>
    <row r="24" customFormat="false" ht="15" hidden="false" customHeight="false" outlineLevel="0" collapsed="false">
      <c r="C24" s="1" t="s">
        <v>71</v>
      </c>
      <c r="D24" s="1" t="s">
        <v>71</v>
      </c>
      <c r="E24" s="1" t="n">
        <f aca="false">COUNTIF(E3:E23,"P")</f>
        <v>20</v>
      </c>
      <c r="F24" s="1" t="n">
        <f aca="false">COUNTIF(F3:F23,"P")</f>
        <v>13</v>
      </c>
    </row>
    <row r="25" customFormat="false" ht="15" hidden="false" customHeight="false" outlineLevel="0" collapsed="false">
      <c r="C25" s="1" t="s">
        <v>72</v>
      </c>
      <c r="E25" s="1" t="n">
        <f aca="false">COUNTIF(E3:E23,"M")</f>
        <v>0</v>
      </c>
      <c r="F25" s="1" t="n">
        <f aca="false">COUNTIF(F3:F23,"M")</f>
        <v>0</v>
      </c>
    </row>
    <row r="26" customFormat="false" ht="15" hidden="false" customHeight="false" outlineLevel="0" collapsed="false">
      <c r="C26" s="1" t="s">
        <v>73</v>
      </c>
      <c r="E26" s="1" t="n">
        <f aca="false">COUNTIF(E3:E23,"t")</f>
        <v>0</v>
      </c>
      <c r="F26" s="1" t="n">
        <f aca="false">COUNTIF(F3:F23,"t")</f>
        <v>3</v>
      </c>
    </row>
    <row r="27" customFormat="false" ht="15" hidden="false" customHeight="false" outlineLevel="0" collapsed="false">
      <c r="C27" s="1" t="s">
        <v>74</v>
      </c>
      <c r="E27" s="1" t="n">
        <f aca="false">SUM(E24:E26)</f>
        <v>20</v>
      </c>
      <c r="F27" s="1" t="n">
        <f aca="false">SUM(F24:F26)</f>
        <v>16</v>
      </c>
    </row>
    <row r="28" customFormat="false" ht="15" hidden="false" customHeight="false" outlineLevel="0" collapsed="false">
      <c r="C28" s="0"/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O27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A20" activeCellId="0" sqref="A20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975" min="975" style="1" width="9.33"/>
    <col collapsed="false" customWidth="true" hidden="false" outlineLevel="0" max="16384" min="16333" style="1" width="10.58"/>
  </cols>
  <sheetData>
    <row r="1" customFormat="false" ht="15" hidden="false" customHeight="false" outlineLevel="0" collapsed="false">
      <c r="B1" s="2"/>
    </row>
    <row r="2" customFormat="false" ht="15" hidden="false" customHeight="false" outlineLevel="0" collapsed="false">
      <c r="A2" s="1" t="s">
        <v>0</v>
      </c>
      <c r="B2" s="2" t="s">
        <v>2</v>
      </c>
      <c r="C2" s="3" t="n">
        <v>46091</v>
      </c>
      <c r="D2" s="3" t="n">
        <v>46098</v>
      </c>
      <c r="E2" s="3" t="n">
        <v>46105</v>
      </c>
      <c r="F2" s="3" t="n">
        <v>46112</v>
      </c>
      <c r="G2" s="3" t="s">
        <v>75</v>
      </c>
      <c r="H2" s="3" t="n">
        <v>46119</v>
      </c>
      <c r="I2" s="3" t="s">
        <v>75</v>
      </c>
      <c r="J2" s="3" t="n">
        <v>46126</v>
      </c>
      <c r="K2" s="3" t="n">
        <v>46133</v>
      </c>
      <c r="L2" s="3" t="n">
        <v>46140</v>
      </c>
      <c r="M2" s="3" t="n">
        <v>46147</v>
      </c>
      <c r="N2" s="3" t="n">
        <v>46154</v>
      </c>
      <c r="O2" s="3" t="n">
        <v>46161</v>
      </c>
      <c r="P2" s="3" t="n">
        <v>46168</v>
      </c>
      <c r="Q2" s="3" t="n">
        <v>46175</v>
      </c>
      <c r="R2" s="3" t="n">
        <v>46182</v>
      </c>
      <c r="S2" s="3" t="n">
        <v>46189</v>
      </c>
      <c r="T2" s="3" t="n">
        <v>46196</v>
      </c>
      <c r="U2" s="3" t="n">
        <v>46203</v>
      </c>
      <c r="V2" s="3" t="n">
        <v>46210</v>
      </c>
      <c r="W2" s="3" t="n">
        <v>46217</v>
      </c>
      <c r="X2" s="3" t="n">
        <v>46224</v>
      </c>
      <c r="Y2" s="3" t="n">
        <v>46231</v>
      </c>
      <c r="Z2" s="3" t="n">
        <v>46238</v>
      </c>
      <c r="AA2" s="3" t="n">
        <v>46245</v>
      </c>
      <c r="AB2" s="3" t="n">
        <v>46252</v>
      </c>
      <c r="AC2" s="3" t="n">
        <v>46259</v>
      </c>
      <c r="AD2" s="3" t="n">
        <v>46266</v>
      </c>
      <c r="AE2" s="3" t="n">
        <v>46273</v>
      </c>
      <c r="AF2" s="3" t="n">
        <v>46280</v>
      </c>
      <c r="AG2" s="3" t="n">
        <v>46287</v>
      </c>
      <c r="AH2" s="3" t="n">
        <v>46294</v>
      </c>
      <c r="AI2" s="3" t="n">
        <v>46301</v>
      </c>
      <c r="AJ2" s="3" t="n">
        <v>46308</v>
      </c>
      <c r="AK2" s="3" t="n">
        <v>46315</v>
      </c>
      <c r="AL2" s="3" t="n">
        <v>46322</v>
      </c>
      <c r="AM2" s="3" t="n">
        <v>46329</v>
      </c>
      <c r="AN2" s="3" t="n">
        <v>46336</v>
      </c>
      <c r="AO2" s="3" t="n">
        <v>46343</v>
      </c>
      <c r="AP2" s="3" t="n">
        <v>46350</v>
      </c>
      <c r="AQ2" s="3" t="n">
        <v>46357</v>
      </c>
      <c r="AR2" s="3" t="n">
        <v>46364</v>
      </c>
      <c r="AS2" s="3" t="n">
        <v>46371</v>
      </c>
      <c r="AT2" s="3" t="n">
        <v>46378</v>
      </c>
    </row>
    <row r="3" s="1" customFormat="true" ht="15" hidden="false" customHeight="false" outlineLevel="0" collapsed="false">
      <c r="A3" s="1" t="n">
        <v>1</v>
      </c>
      <c r="B3" s="2" t="s">
        <v>5</v>
      </c>
      <c r="C3" s="1" t="s">
        <v>7</v>
      </c>
      <c r="D3" s="1" t="s">
        <v>7</v>
      </c>
      <c r="E3" s="1" t="s">
        <v>7</v>
      </c>
      <c r="F3" s="1" t="s">
        <v>7</v>
      </c>
      <c r="H3" s="1" t="s">
        <v>22</v>
      </c>
      <c r="J3" s="1" t="s">
        <v>7</v>
      </c>
      <c r="K3" s="1" t="s">
        <v>22</v>
      </c>
    </row>
    <row r="4" s="1" customFormat="true" ht="15" hidden="false" customHeight="false" outlineLevel="0" collapsed="false">
      <c r="A4" s="1" t="n">
        <v>2</v>
      </c>
      <c r="B4" s="2" t="s">
        <v>10</v>
      </c>
      <c r="C4" s="1" t="s">
        <v>7</v>
      </c>
      <c r="D4" s="1" t="s">
        <v>22</v>
      </c>
      <c r="E4" s="1" t="s">
        <v>7</v>
      </c>
      <c r="F4" s="1" t="s">
        <v>7</v>
      </c>
      <c r="H4" s="1" t="s">
        <v>7</v>
      </c>
      <c r="J4" s="1" t="s">
        <v>7</v>
      </c>
      <c r="K4" s="1" t="s">
        <v>7</v>
      </c>
    </row>
    <row r="5" s="1" customFormat="true" ht="15" hidden="false" customHeight="false" outlineLevel="0" collapsed="false">
      <c r="A5" s="1" t="n">
        <v>3</v>
      </c>
      <c r="B5" s="2" t="s">
        <v>13</v>
      </c>
      <c r="C5" s="1" t="s">
        <v>7</v>
      </c>
      <c r="D5" s="1" t="s">
        <v>7</v>
      </c>
      <c r="E5" s="1" t="s">
        <v>7</v>
      </c>
      <c r="F5" s="1" t="s">
        <v>7</v>
      </c>
      <c r="H5" s="1" t="s">
        <v>7</v>
      </c>
      <c r="J5" s="1" t="s">
        <v>7</v>
      </c>
      <c r="K5" s="1" t="s">
        <v>7</v>
      </c>
    </row>
    <row r="6" s="1" customFormat="true" ht="15" hidden="false" customHeight="false" outlineLevel="0" collapsed="false">
      <c r="A6" s="1" t="n">
        <v>4</v>
      </c>
      <c r="B6" s="2" t="s">
        <v>16</v>
      </c>
      <c r="C6" s="1" t="s">
        <v>7</v>
      </c>
      <c r="D6" s="1" t="s">
        <v>7</v>
      </c>
      <c r="E6" s="1" t="s">
        <v>7</v>
      </c>
      <c r="F6" s="1" t="s">
        <v>7</v>
      </c>
      <c r="H6" s="1" t="s">
        <v>7</v>
      </c>
      <c r="J6" s="1" t="s">
        <v>7</v>
      </c>
      <c r="K6" s="1" t="s">
        <v>7</v>
      </c>
    </row>
    <row r="7" s="1" customFormat="true" ht="15" hidden="false" customHeight="false" outlineLevel="0" collapsed="false">
      <c r="A7" s="1" t="n">
        <v>5</v>
      </c>
      <c r="B7" s="2" t="s">
        <v>20</v>
      </c>
      <c r="C7" s="1" t="s">
        <v>7</v>
      </c>
      <c r="D7" s="1" t="s">
        <v>7</v>
      </c>
      <c r="E7" s="1" t="s">
        <v>7</v>
      </c>
      <c r="F7" s="1" t="s">
        <v>8</v>
      </c>
      <c r="G7" s="5" t="n">
        <v>0.534722222222222</v>
      </c>
      <c r="H7" s="1" t="s">
        <v>22</v>
      </c>
      <c r="J7" s="1" t="s">
        <v>7</v>
      </c>
      <c r="K7" s="1" t="s">
        <v>7</v>
      </c>
    </row>
    <row r="8" s="2" customFormat="true" ht="15" hidden="false" customHeight="false" outlineLevel="0" collapsed="false">
      <c r="A8" s="1" t="n">
        <v>6</v>
      </c>
      <c r="B8" s="2" t="s">
        <v>24</v>
      </c>
      <c r="C8" s="1" t="s">
        <v>7</v>
      </c>
      <c r="D8" s="2" t="s">
        <v>7</v>
      </c>
      <c r="E8" s="1" t="s">
        <v>7</v>
      </c>
      <c r="F8" s="2" t="s">
        <v>8</v>
      </c>
      <c r="G8" s="6" t="n">
        <v>0.5</v>
      </c>
      <c r="H8" s="1" t="s">
        <v>7</v>
      </c>
      <c r="I8" s="1"/>
      <c r="J8" s="2" t="s">
        <v>7</v>
      </c>
      <c r="K8" s="2" t="s">
        <v>7</v>
      </c>
      <c r="AKM8" s="1"/>
      <c r="AKN8" s="1"/>
      <c r="AKO8" s="1"/>
      <c r="AKP8" s="1"/>
      <c r="AKQ8" s="1"/>
      <c r="AKR8" s="1"/>
      <c r="AKS8" s="1"/>
      <c r="AKT8" s="1"/>
      <c r="AKU8" s="1"/>
      <c r="AKV8" s="1"/>
      <c r="AKW8" s="1"/>
      <c r="AKX8" s="1"/>
      <c r="AKY8" s="1"/>
      <c r="AKZ8" s="1"/>
      <c r="ALA8" s="1"/>
      <c r="ALB8" s="1"/>
      <c r="ALC8" s="1"/>
      <c r="ALD8" s="1"/>
      <c r="ALE8" s="1"/>
      <c r="ALF8" s="1"/>
      <c r="ALG8" s="1"/>
      <c r="ALH8" s="1"/>
      <c r="ALI8" s="1"/>
      <c r="ALJ8" s="1"/>
      <c r="ALK8" s="1"/>
      <c r="ALL8" s="1"/>
      <c r="ALM8" s="1"/>
      <c r="ALN8" s="1"/>
      <c r="ALO8" s="1"/>
      <c r="ALP8" s="1"/>
      <c r="ALQ8" s="1"/>
      <c r="ALR8" s="1"/>
      <c r="ALS8" s="1"/>
      <c r="ALT8" s="1"/>
      <c r="ALU8" s="1"/>
      <c r="ALV8" s="1"/>
      <c r="ALW8" s="1"/>
      <c r="ALX8" s="1"/>
      <c r="ALY8" s="1"/>
      <c r="ALZ8" s="1"/>
      <c r="AMA8" s="1"/>
      <c r="AMB8" s="1"/>
      <c r="AMC8" s="1"/>
      <c r="AMD8" s="1"/>
      <c r="AME8" s="1"/>
      <c r="AMF8" s="1"/>
      <c r="AMG8" s="1"/>
      <c r="AMH8" s="1"/>
      <c r="AMI8" s="1"/>
      <c r="AMJ8" s="1"/>
      <c r="AMK8" s="1"/>
      <c r="AML8" s="1"/>
      <c r="AMM8" s="1"/>
      <c r="AMN8" s="1"/>
      <c r="AMO8" s="1"/>
    </row>
    <row r="9" s="1" customFormat="true" ht="15" hidden="false" customHeight="false" outlineLevel="0" collapsed="false">
      <c r="A9" s="1" t="n">
        <v>7</v>
      </c>
      <c r="B9" s="2" t="s">
        <v>27</v>
      </c>
      <c r="C9" s="1" t="s">
        <v>7</v>
      </c>
      <c r="D9" s="1" t="s">
        <v>7</v>
      </c>
      <c r="E9" s="1" t="s">
        <v>7</v>
      </c>
      <c r="F9" s="1" t="s">
        <v>7</v>
      </c>
      <c r="H9" s="1" t="s">
        <v>7</v>
      </c>
      <c r="J9" s="1" t="s">
        <v>7</v>
      </c>
      <c r="K9" s="1" t="s">
        <v>7</v>
      </c>
    </row>
    <row r="10" s="1" customFormat="true" ht="15" hidden="false" customHeight="false" outlineLevel="0" collapsed="false">
      <c r="A10" s="1" t="n">
        <v>8</v>
      </c>
      <c r="B10" s="2" t="s">
        <v>30</v>
      </c>
      <c r="C10" s="1" t="s">
        <v>7</v>
      </c>
      <c r="D10" s="1" t="s">
        <v>7</v>
      </c>
      <c r="E10" s="1" t="s">
        <v>7</v>
      </c>
      <c r="F10" s="1" t="s">
        <v>7</v>
      </c>
      <c r="H10" s="1" t="s">
        <v>7</v>
      </c>
      <c r="J10" s="1" t="s">
        <v>7</v>
      </c>
      <c r="K10" s="1" t="s">
        <v>7</v>
      </c>
    </row>
    <row r="11" s="1" customFormat="true" ht="15" hidden="false" customHeight="false" outlineLevel="0" collapsed="false">
      <c r="A11" s="1" t="n">
        <v>9</v>
      </c>
      <c r="B11" s="2" t="s">
        <v>33</v>
      </c>
      <c r="C11" s="1" t="s">
        <v>7</v>
      </c>
      <c r="D11" s="1" t="s">
        <v>7</v>
      </c>
      <c r="E11" s="1" t="s">
        <v>7</v>
      </c>
      <c r="F11" s="1" t="s">
        <v>7</v>
      </c>
      <c r="H11" s="1" t="s">
        <v>7</v>
      </c>
      <c r="J11" s="1" t="s">
        <v>22</v>
      </c>
      <c r="K11" s="1" t="s">
        <v>7</v>
      </c>
    </row>
    <row r="12" s="2" customFormat="true" ht="15" hidden="false" customHeight="false" outlineLevel="0" collapsed="false">
      <c r="A12" s="1" t="n">
        <v>10</v>
      </c>
      <c r="B12" s="2" t="s">
        <v>36</v>
      </c>
      <c r="C12" s="1" t="s">
        <v>7</v>
      </c>
      <c r="D12" s="2" t="s">
        <v>7</v>
      </c>
      <c r="E12" s="1" t="s">
        <v>7</v>
      </c>
      <c r="F12" s="2" t="s">
        <v>7</v>
      </c>
      <c r="H12" s="1" t="s">
        <v>7</v>
      </c>
      <c r="I12" s="1"/>
      <c r="J12" s="2" t="s">
        <v>7</v>
      </c>
      <c r="K12" s="2" t="s">
        <v>7</v>
      </c>
      <c r="AKM12" s="1"/>
      <c r="AKN12" s="1"/>
      <c r="AKO12" s="1"/>
      <c r="AKP12" s="1"/>
      <c r="AKQ12" s="1"/>
      <c r="AKR12" s="1"/>
      <c r="AKS12" s="1"/>
      <c r="AKT12" s="1"/>
      <c r="AKU12" s="1"/>
      <c r="AKV12" s="1"/>
      <c r="AKW12" s="1"/>
      <c r="AKX12" s="1"/>
      <c r="AKY12" s="1"/>
      <c r="AKZ12" s="1"/>
      <c r="ALA12" s="1"/>
      <c r="ALB12" s="1"/>
      <c r="ALC12" s="1"/>
      <c r="ALD12" s="1"/>
      <c r="ALE12" s="1"/>
      <c r="ALF12" s="1"/>
      <c r="ALG12" s="1"/>
      <c r="ALH12" s="1"/>
      <c r="ALI12" s="1"/>
      <c r="ALJ12" s="1"/>
      <c r="ALK12" s="1"/>
      <c r="ALL12" s="1"/>
      <c r="ALM12" s="1"/>
      <c r="ALN12" s="1"/>
      <c r="ALO12" s="1"/>
      <c r="ALP12" s="1"/>
      <c r="ALQ12" s="1"/>
      <c r="ALR12" s="1"/>
      <c r="ALS12" s="1"/>
      <c r="ALT12" s="1"/>
      <c r="ALU12" s="1"/>
      <c r="ALV12" s="1"/>
      <c r="ALW12" s="1"/>
      <c r="ALX12" s="1"/>
      <c r="ALY12" s="1"/>
      <c r="ALZ12" s="1"/>
      <c r="AMA12" s="1"/>
      <c r="AMB12" s="1"/>
      <c r="AMC12" s="1"/>
      <c r="AMD12" s="1"/>
      <c r="AME12" s="1"/>
      <c r="AMF12" s="1"/>
      <c r="AMG12" s="1"/>
      <c r="AMH12" s="1"/>
      <c r="AMI12" s="1"/>
      <c r="AMJ12" s="1"/>
      <c r="AMK12" s="1"/>
      <c r="AML12" s="1"/>
      <c r="AMM12" s="1"/>
      <c r="AMN12" s="1"/>
      <c r="AMO12" s="1"/>
    </row>
    <row r="13" s="1" customFormat="true" ht="15" hidden="false" customHeight="false" outlineLevel="0" collapsed="false">
      <c r="A13" s="1" t="n">
        <v>11</v>
      </c>
      <c r="B13" s="2" t="s">
        <v>39</v>
      </c>
      <c r="C13" s="1" t="s">
        <v>7</v>
      </c>
      <c r="D13" s="1" t="s">
        <v>7</v>
      </c>
      <c r="E13" s="1" t="s">
        <v>7</v>
      </c>
      <c r="F13" s="1" t="s">
        <v>7</v>
      </c>
      <c r="H13" s="1" t="s">
        <v>7</v>
      </c>
      <c r="J13" s="1" t="s">
        <v>7</v>
      </c>
      <c r="K13" s="1" t="s">
        <v>7</v>
      </c>
    </row>
    <row r="14" s="1" customFormat="true" ht="15" hidden="false" customHeight="false" outlineLevel="0" collapsed="false">
      <c r="A14" s="1" t="n">
        <v>12</v>
      </c>
      <c r="B14" s="2" t="s">
        <v>42</v>
      </c>
      <c r="C14" s="1" t="s">
        <v>7</v>
      </c>
      <c r="D14" s="1" t="s">
        <v>7</v>
      </c>
      <c r="E14" s="1" t="s">
        <v>7</v>
      </c>
      <c r="F14" s="1" t="s">
        <v>7</v>
      </c>
      <c r="H14" s="1" t="s">
        <v>7</v>
      </c>
      <c r="J14" s="1" t="s">
        <v>7</v>
      </c>
      <c r="K14" s="1" t="s">
        <v>7</v>
      </c>
    </row>
    <row r="15" s="2" customFormat="true" ht="15" hidden="false" customHeight="false" outlineLevel="0" collapsed="false">
      <c r="A15" s="1" t="n">
        <v>13</v>
      </c>
      <c r="B15" s="2" t="s">
        <v>45</v>
      </c>
      <c r="C15" s="1" t="s">
        <v>7</v>
      </c>
      <c r="D15" s="2" t="s">
        <v>7</v>
      </c>
      <c r="E15" s="1" t="s">
        <v>7</v>
      </c>
      <c r="F15" s="2" t="s">
        <v>7</v>
      </c>
      <c r="H15" s="1" t="s">
        <v>7</v>
      </c>
      <c r="I15" s="1"/>
      <c r="J15" s="2" t="s">
        <v>7</v>
      </c>
      <c r="K15" s="2" t="s">
        <v>7</v>
      </c>
      <c r="AKM15" s="1"/>
      <c r="AKN15" s="1"/>
      <c r="AKO15" s="1"/>
      <c r="AKP15" s="1"/>
      <c r="AKQ15" s="1"/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AMK15" s="1"/>
      <c r="AML15" s="1"/>
      <c r="AMM15" s="1"/>
      <c r="AMN15" s="1"/>
      <c r="AMO15" s="1"/>
    </row>
    <row r="16" s="1" customFormat="true" ht="15" hidden="false" customHeight="false" outlineLevel="0" collapsed="false">
      <c r="A16" s="1" t="n">
        <v>14</v>
      </c>
      <c r="B16" s="2" t="s">
        <v>48</v>
      </c>
      <c r="C16" s="1" t="s">
        <v>7</v>
      </c>
      <c r="D16" s="1" t="s">
        <v>7</v>
      </c>
      <c r="E16" s="1" t="s">
        <v>7</v>
      </c>
      <c r="F16" s="1" t="s">
        <v>7</v>
      </c>
      <c r="H16" s="1" t="s">
        <v>7</v>
      </c>
      <c r="J16" s="1" t="s">
        <v>7</v>
      </c>
      <c r="K16" s="1" t="s">
        <v>7</v>
      </c>
    </row>
    <row r="17" s="1" customFormat="true" ht="15" hidden="false" customHeight="false" outlineLevel="0" collapsed="false">
      <c r="A17" s="1" t="n">
        <v>15</v>
      </c>
      <c r="B17" s="2" t="s">
        <v>51</v>
      </c>
      <c r="C17" s="1" t="s">
        <v>7</v>
      </c>
      <c r="D17" s="1" t="s">
        <v>7</v>
      </c>
      <c r="E17" s="1" t="s">
        <v>7</v>
      </c>
      <c r="F17" s="1" t="s">
        <v>7</v>
      </c>
      <c r="H17" s="1" t="s">
        <v>7</v>
      </c>
      <c r="J17" s="1" t="s">
        <v>7</v>
      </c>
      <c r="K17" s="1" t="s">
        <v>7</v>
      </c>
    </row>
    <row r="18" s="2" customFormat="true" ht="15" hidden="false" customHeight="false" outlineLevel="0" collapsed="false">
      <c r="A18" s="1" t="n">
        <v>16</v>
      </c>
      <c r="B18" s="2" t="s">
        <v>54</v>
      </c>
      <c r="C18" s="1" t="s">
        <v>7</v>
      </c>
      <c r="D18" s="2" t="s">
        <v>7</v>
      </c>
      <c r="E18" s="1" t="s">
        <v>7</v>
      </c>
      <c r="F18" s="2" t="s">
        <v>7</v>
      </c>
      <c r="H18" s="1" t="s">
        <v>22</v>
      </c>
      <c r="I18" s="1"/>
      <c r="J18" s="2" t="s">
        <v>22</v>
      </c>
      <c r="K18" s="2" t="s">
        <v>22</v>
      </c>
      <c r="AKM18" s="1"/>
      <c r="AKN18" s="1"/>
      <c r="AKO18" s="1"/>
      <c r="AKP18" s="1"/>
      <c r="AKQ18" s="1"/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AMK18" s="1"/>
      <c r="AML18" s="1"/>
      <c r="AMM18" s="1"/>
      <c r="AMN18" s="1"/>
      <c r="AMO18" s="1"/>
    </row>
    <row r="19" s="2" customFormat="true" ht="15" hidden="false" customHeight="false" outlineLevel="0" collapsed="false">
      <c r="A19" s="1" t="n">
        <v>17</v>
      </c>
      <c r="B19" s="2" t="s">
        <v>57</v>
      </c>
      <c r="C19" s="1" t="s">
        <v>7</v>
      </c>
      <c r="D19" s="2" t="s">
        <v>7</v>
      </c>
      <c r="E19" s="1" t="s">
        <v>7</v>
      </c>
      <c r="F19" s="2" t="s">
        <v>22</v>
      </c>
      <c r="H19" s="1" t="s">
        <v>22</v>
      </c>
      <c r="I19" s="1"/>
      <c r="J19" s="2" t="s">
        <v>7</v>
      </c>
      <c r="K19" s="2" t="s">
        <v>7</v>
      </c>
      <c r="AKM19" s="1"/>
      <c r="AKN19" s="1"/>
      <c r="AKO19" s="1"/>
      <c r="AKP19" s="1"/>
      <c r="AKQ19" s="1"/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AMK19" s="1"/>
      <c r="AML19" s="1"/>
      <c r="AMM19" s="1"/>
      <c r="AMN19" s="1"/>
      <c r="AMO19" s="1"/>
    </row>
    <row r="20" s="1" customFormat="true" ht="15" hidden="false" customHeight="false" outlineLevel="0" collapsed="false">
      <c r="A20" s="1" t="n">
        <v>18</v>
      </c>
      <c r="B20" s="2" t="s">
        <v>60</v>
      </c>
      <c r="C20" s="1" t="s">
        <v>7</v>
      </c>
      <c r="D20" s="1" t="s">
        <v>7</v>
      </c>
      <c r="E20" s="1" t="s">
        <v>7</v>
      </c>
      <c r="F20" s="1" t="s">
        <v>8</v>
      </c>
      <c r="G20" s="5" t="n">
        <v>0.5625</v>
      </c>
      <c r="H20" s="1" t="s">
        <v>22</v>
      </c>
      <c r="J20" s="1" t="s">
        <v>22</v>
      </c>
      <c r="K20" s="1" t="s">
        <v>7</v>
      </c>
    </row>
    <row r="21" s="1" customFormat="true" ht="15" hidden="false" customHeight="false" outlineLevel="0" collapsed="false">
      <c r="A21" s="1" t="n">
        <v>19</v>
      </c>
      <c r="B21" s="2" t="s">
        <v>63</v>
      </c>
      <c r="C21" s="1" t="s">
        <v>7</v>
      </c>
      <c r="D21" s="1" t="s">
        <v>7</v>
      </c>
      <c r="E21" s="1" t="s">
        <v>7</v>
      </c>
      <c r="F21" s="1" t="s">
        <v>7</v>
      </c>
      <c r="H21" s="1" t="s">
        <v>22</v>
      </c>
      <c r="J21" s="1" t="s">
        <v>7</v>
      </c>
      <c r="K21" s="1" t="s">
        <v>22</v>
      </c>
    </row>
    <row r="22" s="2" customFormat="true" ht="15" hidden="false" customHeight="false" outlineLevel="0" collapsed="false">
      <c r="A22" s="1" t="n">
        <v>20</v>
      </c>
      <c r="B22" s="2" t="s">
        <v>66</v>
      </c>
      <c r="C22" s="1" t="s">
        <v>7</v>
      </c>
      <c r="D22" s="1" t="s">
        <v>7</v>
      </c>
      <c r="E22" s="1" t="s">
        <v>7</v>
      </c>
      <c r="F22" s="1" t="s">
        <v>7</v>
      </c>
      <c r="G22" s="1"/>
      <c r="H22" s="1" t="s">
        <v>76</v>
      </c>
      <c r="I22" s="5" t="n">
        <v>0.541666666666667</v>
      </c>
      <c r="J22" s="1" t="s">
        <v>7</v>
      </c>
      <c r="K22" s="1" t="s">
        <v>7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  <c r="BW22" s="1"/>
      <c r="BX22" s="1"/>
      <c r="BY22" s="1"/>
      <c r="BZ22" s="1"/>
      <c r="CA22" s="1"/>
      <c r="CB22" s="1"/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  <c r="FK22" s="1"/>
      <c r="FL22" s="1"/>
      <c r="FM22" s="1"/>
      <c r="FN22" s="1"/>
      <c r="FO22" s="1"/>
      <c r="FP22" s="1"/>
      <c r="FQ22" s="1"/>
      <c r="FR22" s="1"/>
      <c r="FS22" s="1"/>
      <c r="FT22" s="1"/>
      <c r="FU22" s="1"/>
      <c r="FV22" s="1"/>
      <c r="FW22" s="1"/>
      <c r="FX22" s="1"/>
      <c r="FY22" s="1"/>
      <c r="FZ22" s="1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  <c r="HL22" s="1"/>
      <c r="HM22" s="1"/>
      <c r="HN22" s="1"/>
      <c r="HO22" s="1"/>
      <c r="HP22" s="1"/>
      <c r="HQ22" s="1"/>
      <c r="HR22" s="1"/>
      <c r="HS22" s="1"/>
      <c r="HT22" s="1"/>
      <c r="HU22" s="1"/>
      <c r="HV22" s="1"/>
      <c r="HW22" s="1"/>
      <c r="HX22" s="1"/>
      <c r="HY22" s="1"/>
      <c r="HZ22" s="1"/>
      <c r="IA22" s="1"/>
      <c r="IB22" s="1"/>
      <c r="IC22" s="1"/>
      <c r="ID22" s="1"/>
      <c r="IE22" s="1"/>
      <c r="IF22" s="1"/>
      <c r="IG22" s="1"/>
      <c r="IH22" s="1"/>
      <c r="II22" s="1"/>
      <c r="IJ22" s="1"/>
      <c r="IK22" s="1"/>
      <c r="IL22" s="1"/>
      <c r="IM22" s="1"/>
      <c r="IN22" s="1"/>
      <c r="IO22" s="1"/>
      <c r="IP22" s="1"/>
      <c r="IQ22" s="1"/>
      <c r="IR22" s="1"/>
      <c r="IS22" s="1"/>
      <c r="IT22" s="1"/>
      <c r="IU22" s="1"/>
      <c r="IV22" s="1"/>
      <c r="IW22" s="1"/>
      <c r="IX22" s="1"/>
      <c r="IY22" s="1"/>
      <c r="IZ22" s="1"/>
      <c r="JA22" s="1"/>
      <c r="JB22" s="1"/>
      <c r="JC22" s="1"/>
      <c r="JD22" s="1"/>
      <c r="JE22" s="1"/>
      <c r="JF22" s="1"/>
      <c r="JG22" s="1"/>
      <c r="JH22" s="1"/>
      <c r="JI22" s="1"/>
      <c r="JJ22" s="1"/>
      <c r="JK22" s="1"/>
      <c r="JL22" s="1"/>
      <c r="JM22" s="1"/>
      <c r="JN22" s="1"/>
      <c r="JO22" s="1"/>
      <c r="JP22" s="1"/>
      <c r="JQ22" s="1"/>
      <c r="JR22" s="1"/>
      <c r="JS22" s="1"/>
      <c r="JT22" s="1"/>
      <c r="JU22" s="1"/>
      <c r="JV22" s="1"/>
      <c r="JW22" s="1"/>
      <c r="JX22" s="1"/>
      <c r="JY22" s="1"/>
      <c r="JZ22" s="1"/>
      <c r="KA22" s="1"/>
      <c r="KB22" s="1"/>
      <c r="KC22" s="1"/>
      <c r="KD22" s="1"/>
      <c r="KE22" s="1"/>
      <c r="KF22" s="1"/>
      <c r="KG22" s="1"/>
      <c r="KH22" s="1"/>
      <c r="KI22" s="1"/>
      <c r="KJ22" s="1"/>
      <c r="KK22" s="1"/>
      <c r="KL22" s="1"/>
      <c r="KM22" s="1"/>
      <c r="KN22" s="1"/>
      <c r="KO22" s="1"/>
      <c r="KP22" s="1"/>
      <c r="KQ22" s="1"/>
      <c r="KR22" s="1"/>
      <c r="KS22" s="1"/>
      <c r="KT22" s="1"/>
      <c r="KU22" s="1"/>
      <c r="KV22" s="1"/>
      <c r="KW22" s="1"/>
      <c r="KX22" s="1"/>
      <c r="KY22" s="1"/>
      <c r="KZ22" s="1"/>
      <c r="LA22" s="1"/>
      <c r="LB22" s="1"/>
      <c r="LC22" s="1"/>
      <c r="LD22" s="1"/>
      <c r="LE22" s="1"/>
      <c r="LF22" s="1"/>
      <c r="LG22" s="1"/>
      <c r="LH22" s="1"/>
      <c r="LI22" s="1"/>
      <c r="LJ22" s="1"/>
      <c r="LK22" s="1"/>
      <c r="LL22" s="1"/>
      <c r="LM22" s="1"/>
      <c r="LN22" s="1"/>
      <c r="LO22" s="1"/>
      <c r="LP22" s="1"/>
      <c r="LQ22" s="1"/>
      <c r="LR22" s="1"/>
      <c r="LS22" s="1"/>
      <c r="LT22" s="1"/>
      <c r="LU22" s="1"/>
      <c r="LV22" s="1"/>
      <c r="LW22" s="1"/>
      <c r="LX22" s="1"/>
      <c r="LY22" s="1"/>
      <c r="LZ22" s="1"/>
      <c r="MA22" s="1"/>
      <c r="MB22" s="1"/>
      <c r="MC22" s="1"/>
      <c r="MD22" s="1"/>
      <c r="ME22" s="1"/>
      <c r="MF22" s="1"/>
      <c r="MG22" s="1"/>
      <c r="MH22" s="1"/>
      <c r="MI22" s="1"/>
      <c r="MJ22" s="1"/>
      <c r="MK22" s="1"/>
      <c r="ML22" s="1"/>
      <c r="MM22" s="1"/>
      <c r="MN22" s="1"/>
      <c r="MO22" s="1"/>
      <c r="MP22" s="1"/>
      <c r="MQ22" s="1"/>
      <c r="MR22" s="1"/>
      <c r="MS22" s="1"/>
      <c r="MT22" s="1"/>
      <c r="MU22" s="1"/>
      <c r="MV22" s="1"/>
      <c r="MW22" s="1"/>
      <c r="MX22" s="1"/>
      <c r="MY22" s="1"/>
      <c r="MZ22" s="1"/>
      <c r="NA22" s="1"/>
      <c r="NB22" s="1"/>
      <c r="NC22" s="1"/>
      <c r="ND22" s="1"/>
      <c r="NE22" s="1"/>
      <c r="NF22" s="1"/>
      <c r="NG22" s="1"/>
      <c r="NH22" s="1"/>
      <c r="NI22" s="1"/>
      <c r="NJ22" s="1"/>
      <c r="NK22" s="1"/>
      <c r="NL22" s="1"/>
      <c r="NM22" s="1"/>
      <c r="NN22" s="1"/>
      <c r="NO22" s="1"/>
      <c r="NP22" s="1"/>
      <c r="NQ22" s="1"/>
      <c r="NR22" s="1"/>
      <c r="NS22" s="1"/>
      <c r="NT22" s="1"/>
      <c r="NU22" s="1"/>
      <c r="NV22" s="1"/>
      <c r="NW22" s="1"/>
      <c r="NX22" s="1"/>
      <c r="NY22" s="1"/>
      <c r="NZ22" s="1"/>
      <c r="OA22" s="1"/>
      <c r="OB22" s="1"/>
      <c r="OC22" s="1"/>
      <c r="OD22" s="1"/>
      <c r="OE22" s="1"/>
      <c r="OF22" s="1"/>
      <c r="OG22" s="1"/>
      <c r="OH22" s="1"/>
      <c r="OI22" s="1"/>
      <c r="OJ22" s="1"/>
      <c r="OK22" s="1"/>
      <c r="OL22" s="1"/>
      <c r="OM22" s="1"/>
      <c r="ON22" s="1"/>
      <c r="OO22" s="1"/>
      <c r="OP22" s="1"/>
      <c r="OQ22" s="1"/>
      <c r="OR22" s="1"/>
      <c r="OS22" s="1"/>
      <c r="OT22" s="1"/>
      <c r="OU22" s="1"/>
      <c r="OV22" s="1"/>
      <c r="OW22" s="1"/>
      <c r="OX22" s="1"/>
      <c r="OY22" s="1"/>
      <c r="OZ22" s="1"/>
      <c r="PA22" s="1"/>
      <c r="PB22" s="1"/>
      <c r="PC22" s="1"/>
      <c r="PD22" s="1"/>
      <c r="PE22" s="1"/>
      <c r="PF22" s="1"/>
      <c r="PG22" s="1"/>
      <c r="PH22" s="1"/>
      <c r="PI22" s="1"/>
      <c r="PJ22" s="1"/>
      <c r="PK22" s="1"/>
      <c r="PL22" s="1"/>
      <c r="PM22" s="1"/>
      <c r="PN22" s="1"/>
      <c r="PO22" s="1"/>
      <c r="PP22" s="1"/>
      <c r="PQ22" s="1"/>
      <c r="PR22" s="1"/>
      <c r="PS22" s="1"/>
      <c r="PT22" s="1"/>
      <c r="PU22" s="1"/>
      <c r="PV22" s="1"/>
      <c r="PW22" s="1"/>
      <c r="PX22" s="1"/>
      <c r="PY22" s="1"/>
      <c r="PZ22" s="1"/>
      <c r="QA22" s="1"/>
      <c r="QB22" s="1"/>
      <c r="QC22" s="1"/>
      <c r="QD22" s="1"/>
      <c r="QE22" s="1"/>
      <c r="QF22" s="1"/>
      <c r="QG22" s="1"/>
      <c r="QH22" s="1"/>
      <c r="QI22" s="1"/>
      <c r="QJ22" s="1"/>
      <c r="QK22" s="1"/>
      <c r="QL22" s="1"/>
      <c r="QM22" s="1"/>
      <c r="QN22" s="1"/>
      <c r="QO22" s="1"/>
      <c r="QP22" s="1"/>
      <c r="QQ22" s="1"/>
      <c r="QR22" s="1"/>
      <c r="QS22" s="1"/>
      <c r="QT22" s="1"/>
      <c r="QU22" s="1"/>
      <c r="QV22" s="1"/>
      <c r="QW22" s="1"/>
      <c r="QX22" s="1"/>
      <c r="QY22" s="1"/>
      <c r="QZ22" s="1"/>
      <c r="RA22" s="1"/>
      <c r="RB22" s="1"/>
      <c r="RC22" s="1"/>
      <c r="RD22" s="1"/>
      <c r="RE22" s="1"/>
      <c r="RF22" s="1"/>
      <c r="RG22" s="1"/>
      <c r="RH22" s="1"/>
      <c r="RI22" s="1"/>
      <c r="RJ22" s="1"/>
      <c r="RK22" s="1"/>
      <c r="RL22" s="1"/>
      <c r="RM22" s="1"/>
      <c r="RN22" s="1"/>
      <c r="RO22" s="1"/>
      <c r="RP22" s="1"/>
      <c r="RQ22" s="1"/>
      <c r="RR22" s="1"/>
      <c r="RS22" s="1"/>
      <c r="RT22" s="1"/>
      <c r="RU22" s="1"/>
      <c r="RV22" s="1"/>
      <c r="RW22" s="1"/>
      <c r="RX22" s="1"/>
      <c r="RY22" s="1"/>
      <c r="RZ22" s="1"/>
      <c r="SA22" s="1"/>
      <c r="SB22" s="1"/>
      <c r="SC22" s="1"/>
      <c r="SD22" s="1"/>
      <c r="SE22" s="1"/>
      <c r="SF22" s="1"/>
      <c r="SG22" s="1"/>
      <c r="SH22" s="1"/>
      <c r="SI22" s="1"/>
      <c r="SJ22" s="1"/>
      <c r="SK22" s="1"/>
      <c r="SL22" s="1"/>
      <c r="SM22" s="1"/>
      <c r="SN22" s="1"/>
      <c r="SO22" s="1"/>
      <c r="SP22" s="1"/>
      <c r="SQ22" s="1"/>
      <c r="SR22" s="1"/>
      <c r="SS22" s="1"/>
      <c r="ST22" s="1"/>
      <c r="SU22" s="1"/>
      <c r="SV22" s="1"/>
      <c r="SW22" s="1"/>
      <c r="SX22" s="1"/>
      <c r="SY22" s="1"/>
      <c r="SZ22" s="1"/>
      <c r="TA22" s="1"/>
      <c r="TB22" s="1"/>
      <c r="TC22" s="1"/>
      <c r="TD22" s="1"/>
      <c r="TE22" s="1"/>
      <c r="TF22" s="1"/>
      <c r="TG22" s="1"/>
      <c r="TH22" s="1"/>
      <c r="TI22" s="1"/>
      <c r="TJ22" s="1"/>
      <c r="TK22" s="1"/>
      <c r="TL22" s="1"/>
      <c r="TM22" s="1"/>
      <c r="TN22" s="1"/>
      <c r="TO22" s="1"/>
      <c r="TP22" s="1"/>
      <c r="TQ22" s="1"/>
      <c r="TR22" s="1"/>
      <c r="TS22" s="1"/>
      <c r="TT22" s="1"/>
      <c r="TU22" s="1"/>
      <c r="TV22" s="1"/>
      <c r="TW22" s="1"/>
      <c r="TX22" s="1"/>
      <c r="TY22" s="1"/>
      <c r="TZ22" s="1"/>
      <c r="UA22" s="1"/>
      <c r="UB22" s="1"/>
      <c r="UC22" s="1"/>
      <c r="UD22" s="1"/>
      <c r="UE22" s="1"/>
      <c r="UF22" s="1"/>
      <c r="UG22" s="1"/>
      <c r="UH22" s="1"/>
      <c r="UI22" s="1"/>
      <c r="UJ22" s="1"/>
      <c r="UK22" s="1"/>
      <c r="UL22" s="1"/>
      <c r="UM22" s="1"/>
      <c r="UN22" s="1"/>
      <c r="UO22" s="1"/>
      <c r="UP22" s="1"/>
      <c r="UQ22" s="1"/>
      <c r="UR22" s="1"/>
      <c r="US22" s="1"/>
      <c r="UT22" s="1"/>
      <c r="UU22" s="1"/>
      <c r="UV22" s="1"/>
      <c r="UW22" s="1"/>
      <c r="UX22" s="1"/>
      <c r="UY22" s="1"/>
      <c r="UZ22" s="1"/>
      <c r="VA22" s="1"/>
      <c r="VB22" s="1"/>
      <c r="VC22" s="1"/>
      <c r="VD22" s="1"/>
      <c r="VE22" s="1"/>
      <c r="VF22" s="1"/>
      <c r="VG22" s="1"/>
      <c r="VH22" s="1"/>
      <c r="VI22" s="1"/>
      <c r="VJ22" s="1"/>
      <c r="VK22" s="1"/>
      <c r="VL22" s="1"/>
      <c r="VM22" s="1"/>
      <c r="VN22" s="1"/>
      <c r="VO22" s="1"/>
      <c r="VP22" s="1"/>
      <c r="VQ22" s="1"/>
      <c r="VR22" s="1"/>
      <c r="VS22" s="1"/>
      <c r="VT22" s="1"/>
      <c r="VU22" s="1"/>
      <c r="VV22" s="1"/>
      <c r="VW22" s="1"/>
      <c r="VX22" s="1"/>
      <c r="VY22" s="1"/>
      <c r="VZ22" s="1"/>
      <c r="WA22" s="1"/>
      <c r="WB22" s="1"/>
      <c r="WC22" s="1"/>
      <c r="WD22" s="1"/>
      <c r="WE22" s="1"/>
      <c r="WF22" s="1"/>
      <c r="WG22" s="1"/>
      <c r="WH22" s="1"/>
      <c r="WI22" s="1"/>
      <c r="WJ22" s="1"/>
      <c r="WK22" s="1"/>
      <c r="WL22" s="1"/>
      <c r="WM22" s="1"/>
      <c r="WN22" s="1"/>
      <c r="WO22" s="1"/>
      <c r="WP22" s="1"/>
      <c r="WQ22" s="1"/>
      <c r="WR22" s="1"/>
      <c r="WS22" s="1"/>
      <c r="WT22" s="1"/>
      <c r="WU22" s="1"/>
      <c r="WV22" s="1"/>
      <c r="WW22" s="1"/>
      <c r="WX22" s="1"/>
      <c r="WY22" s="1"/>
      <c r="WZ22" s="1"/>
      <c r="XA22" s="1"/>
      <c r="XB22" s="1"/>
      <c r="XC22" s="1"/>
      <c r="XD22" s="1"/>
      <c r="XE22" s="1"/>
      <c r="XF22" s="1"/>
      <c r="XG22" s="1"/>
      <c r="XH22" s="1"/>
      <c r="XI22" s="1"/>
      <c r="XJ22" s="1"/>
      <c r="XK22" s="1"/>
      <c r="XL22" s="1"/>
      <c r="XM22" s="1"/>
      <c r="XN22" s="1"/>
      <c r="XO22" s="1"/>
      <c r="XP22" s="1"/>
      <c r="XQ22" s="1"/>
      <c r="XR22" s="1"/>
      <c r="XS22" s="1"/>
      <c r="XT22" s="1"/>
      <c r="XU22" s="1"/>
      <c r="XV22" s="1"/>
      <c r="XW22" s="1"/>
      <c r="XX22" s="1"/>
      <c r="XY22" s="1"/>
      <c r="XZ22" s="1"/>
      <c r="YA22" s="1"/>
      <c r="YB22" s="1"/>
      <c r="YC22" s="1"/>
      <c r="YD22" s="1"/>
      <c r="YE22" s="1"/>
      <c r="YF22" s="1"/>
      <c r="YG22" s="1"/>
      <c r="YH22" s="1"/>
      <c r="YI22" s="1"/>
      <c r="YJ22" s="1"/>
      <c r="YK22" s="1"/>
      <c r="YL22" s="1"/>
      <c r="YM22" s="1"/>
      <c r="YN22" s="1"/>
      <c r="YO22" s="1"/>
      <c r="YP22" s="1"/>
      <c r="YQ22" s="1"/>
      <c r="YR22" s="1"/>
      <c r="YS22" s="1"/>
      <c r="YT22" s="1"/>
      <c r="YU22" s="1"/>
      <c r="YV22" s="1"/>
      <c r="YW22" s="1"/>
      <c r="YX22" s="1"/>
      <c r="YY22" s="1"/>
      <c r="YZ22" s="1"/>
      <c r="ZA22" s="1"/>
      <c r="ZB22" s="1"/>
      <c r="ZC22" s="1"/>
      <c r="ZD22" s="1"/>
      <c r="ZE22" s="1"/>
      <c r="ZF22" s="1"/>
      <c r="ZG22" s="1"/>
      <c r="ZH22" s="1"/>
      <c r="ZI22" s="1"/>
      <c r="ZJ22" s="1"/>
      <c r="ZK22" s="1"/>
      <c r="ZL22" s="1"/>
      <c r="ZM22" s="1"/>
      <c r="ZN22" s="1"/>
      <c r="ZO22" s="1"/>
      <c r="ZP22" s="1"/>
      <c r="ZQ22" s="1"/>
      <c r="ZR22" s="1"/>
      <c r="ZS22" s="1"/>
      <c r="ZT22" s="1"/>
      <c r="ZU22" s="1"/>
      <c r="ZV22" s="1"/>
      <c r="ZW22" s="1"/>
      <c r="ZX22" s="1"/>
      <c r="ZY22" s="1"/>
      <c r="ZZ22" s="1"/>
      <c r="AAA22" s="1"/>
      <c r="AAB22" s="1"/>
      <c r="AAC22" s="1"/>
      <c r="AAD22" s="1"/>
      <c r="AAE22" s="1"/>
      <c r="AAF22" s="1"/>
      <c r="AAG22" s="1"/>
      <c r="AAH22" s="1"/>
      <c r="AAI22" s="1"/>
      <c r="AAJ22" s="1"/>
      <c r="AAK22" s="1"/>
      <c r="AAL22" s="1"/>
      <c r="AAM22" s="1"/>
      <c r="AAN22" s="1"/>
      <c r="AAO22" s="1"/>
      <c r="AAP22" s="1"/>
      <c r="AAQ22" s="1"/>
      <c r="AAR22" s="1"/>
      <c r="AAS22" s="1"/>
      <c r="AAT22" s="1"/>
      <c r="AAU22" s="1"/>
      <c r="AAV22" s="1"/>
      <c r="AAW22" s="1"/>
      <c r="AAX22" s="1"/>
      <c r="AAY22" s="1"/>
      <c r="AAZ22" s="1"/>
      <c r="ABA22" s="1"/>
      <c r="ABB22" s="1"/>
      <c r="ABC22" s="1"/>
      <c r="ABD22" s="1"/>
      <c r="ABE22" s="1"/>
      <c r="ABF22" s="1"/>
      <c r="ABG22" s="1"/>
      <c r="ABH22" s="1"/>
      <c r="ABI22" s="1"/>
      <c r="ABJ22" s="1"/>
      <c r="ABK22" s="1"/>
      <c r="ABL22" s="1"/>
      <c r="ABM22" s="1"/>
      <c r="ABN22" s="1"/>
      <c r="ABO22" s="1"/>
      <c r="ABP22" s="1"/>
      <c r="ABQ22" s="1"/>
      <c r="ABR22" s="1"/>
      <c r="ABS22" s="1"/>
      <c r="ABT22" s="1"/>
      <c r="ABU22" s="1"/>
      <c r="ABV22" s="1"/>
      <c r="ABW22" s="1"/>
      <c r="ABX22" s="1"/>
      <c r="ABY22" s="1"/>
      <c r="ABZ22" s="1"/>
      <c r="ACA22" s="1"/>
      <c r="ACB22" s="1"/>
      <c r="ACC22" s="1"/>
      <c r="ACD22" s="1"/>
      <c r="ACE22" s="1"/>
      <c r="ACF22" s="1"/>
      <c r="ACG22" s="1"/>
      <c r="ACH22" s="1"/>
      <c r="ACI22" s="1"/>
      <c r="ACJ22" s="1"/>
      <c r="ACK22" s="1"/>
      <c r="ACL22" s="1"/>
      <c r="ACM22" s="1"/>
      <c r="ACN22" s="1"/>
      <c r="ACO22" s="1"/>
      <c r="ACP22" s="1"/>
      <c r="ACQ22" s="1"/>
      <c r="ACR22" s="1"/>
      <c r="ACS22" s="1"/>
      <c r="ACT22" s="1"/>
      <c r="ACU22" s="1"/>
      <c r="ACV22" s="1"/>
      <c r="ACW22" s="1"/>
      <c r="ACX22" s="1"/>
      <c r="ACY22" s="1"/>
      <c r="ACZ22" s="1"/>
      <c r="ADA22" s="1"/>
      <c r="ADB22" s="1"/>
      <c r="ADC22" s="1"/>
      <c r="ADD22" s="1"/>
      <c r="ADE22" s="1"/>
      <c r="ADF22" s="1"/>
      <c r="ADG22" s="1"/>
      <c r="ADH22" s="1"/>
      <c r="ADI22" s="1"/>
      <c r="ADJ22" s="1"/>
      <c r="ADK22" s="1"/>
      <c r="ADL22" s="1"/>
      <c r="ADM22" s="1"/>
      <c r="ADN22" s="1"/>
      <c r="ADO22" s="1"/>
      <c r="ADP22" s="1"/>
      <c r="ADQ22" s="1"/>
      <c r="ADR22" s="1"/>
      <c r="ADS22" s="1"/>
      <c r="ADT22" s="1"/>
      <c r="ADU22" s="1"/>
      <c r="ADV22" s="1"/>
      <c r="ADW22" s="1"/>
      <c r="ADX22" s="1"/>
      <c r="ADY22" s="1"/>
      <c r="ADZ22" s="1"/>
      <c r="AEA22" s="1"/>
      <c r="AEB22" s="1"/>
      <c r="AEC22" s="1"/>
      <c r="AED22" s="1"/>
      <c r="AEE22" s="1"/>
      <c r="AEF22" s="1"/>
      <c r="AEG22" s="1"/>
      <c r="AEH22" s="1"/>
      <c r="AEI22" s="1"/>
      <c r="AEJ22" s="1"/>
      <c r="AEK22" s="1"/>
      <c r="AEL22" s="1"/>
      <c r="AEM22" s="1"/>
      <c r="AEN22" s="1"/>
      <c r="AEO22" s="1"/>
      <c r="AEP22" s="1"/>
      <c r="AEQ22" s="1"/>
      <c r="AER22" s="1"/>
      <c r="AES22" s="1"/>
      <c r="AET22" s="1"/>
      <c r="AEU22" s="1"/>
      <c r="AEV22" s="1"/>
      <c r="AEW22" s="1"/>
      <c r="AEX22" s="1"/>
      <c r="AEY22" s="1"/>
      <c r="AEZ22" s="1"/>
      <c r="AFA22" s="1"/>
      <c r="AFB22" s="1"/>
      <c r="AFC22" s="1"/>
      <c r="AFD22" s="1"/>
      <c r="AFE22" s="1"/>
      <c r="AFF22" s="1"/>
      <c r="AFG22" s="1"/>
      <c r="AFH22" s="1"/>
      <c r="AFI22" s="1"/>
      <c r="AFJ22" s="1"/>
      <c r="AFK22" s="1"/>
      <c r="AFL22" s="1"/>
      <c r="AFM22" s="1"/>
      <c r="AFN22" s="1"/>
      <c r="AFO22" s="1"/>
      <c r="AFP22" s="1"/>
      <c r="AFQ22" s="1"/>
      <c r="AFR22" s="1"/>
      <c r="AFS22" s="1"/>
      <c r="AFT22" s="1"/>
      <c r="AFU22" s="1"/>
      <c r="AFV22" s="1"/>
      <c r="AFW22" s="1"/>
      <c r="AFX22" s="1"/>
      <c r="AFY22" s="1"/>
      <c r="AFZ22" s="1"/>
      <c r="AGA22" s="1"/>
      <c r="AGB22" s="1"/>
      <c r="AGC22" s="1"/>
      <c r="AGD22" s="1"/>
      <c r="AGE22" s="1"/>
      <c r="AGF22" s="1"/>
      <c r="AGG22" s="1"/>
      <c r="AGH22" s="1"/>
      <c r="AGI22" s="1"/>
      <c r="AGJ22" s="1"/>
      <c r="AGK22" s="1"/>
      <c r="AGL22" s="1"/>
      <c r="AGM22" s="1"/>
      <c r="AGN22" s="1"/>
      <c r="AGO22" s="1"/>
      <c r="AGP22" s="1"/>
      <c r="AGQ22" s="1"/>
      <c r="AGR22" s="1"/>
      <c r="AGS22" s="1"/>
      <c r="AGT22" s="1"/>
      <c r="AGU22" s="1"/>
      <c r="AGV22" s="1"/>
      <c r="AGW22" s="1"/>
      <c r="AGX22" s="1"/>
      <c r="AGY22" s="1"/>
      <c r="AGZ22" s="1"/>
      <c r="AHA22" s="1"/>
      <c r="AHB22" s="1"/>
      <c r="AHC22" s="1"/>
      <c r="AHD22" s="1"/>
      <c r="AHE22" s="1"/>
      <c r="AHF22" s="1"/>
      <c r="AHG22" s="1"/>
      <c r="AHH22" s="1"/>
      <c r="AHI22" s="1"/>
      <c r="AHJ22" s="1"/>
      <c r="AHK22" s="1"/>
      <c r="AHL22" s="1"/>
      <c r="AHM22" s="1"/>
      <c r="AHN22" s="1"/>
      <c r="AHO22" s="1"/>
      <c r="AHP22" s="1"/>
      <c r="AHQ22" s="1"/>
      <c r="AHR22" s="1"/>
      <c r="AHS22" s="1"/>
      <c r="AHT22" s="1"/>
      <c r="AHU22" s="1"/>
      <c r="AHV22" s="1"/>
      <c r="AHW22" s="1"/>
      <c r="AHX22" s="1"/>
      <c r="AHY22" s="1"/>
      <c r="AHZ22" s="1"/>
      <c r="AIA22" s="1"/>
      <c r="AIB22" s="1"/>
      <c r="AIC22" s="1"/>
      <c r="AID22" s="1"/>
      <c r="AIE22" s="1"/>
      <c r="AIF22" s="1"/>
      <c r="AIG22" s="1"/>
      <c r="AIH22" s="1"/>
      <c r="AII22" s="1"/>
      <c r="AIJ22" s="1"/>
      <c r="AIK22" s="1"/>
      <c r="AIL22" s="1"/>
      <c r="AIM22" s="1"/>
      <c r="AIN22" s="1"/>
      <c r="AIO22" s="1"/>
      <c r="AIP22" s="1"/>
      <c r="AIQ22" s="1"/>
      <c r="AIR22" s="1"/>
      <c r="AIS22" s="1"/>
      <c r="AIT22" s="1"/>
      <c r="AIU22" s="1"/>
      <c r="AIV22" s="1"/>
      <c r="AIW22" s="1"/>
      <c r="AIX22" s="1"/>
      <c r="AIY22" s="1"/>
      <c r="AIZ22" s="1"/>
      <c r="AJA22" s="1"/>
      <c r="AJB22" s="1"/>
      <c r="AJC22" s="1"/>
      <c r="AJD22" s="1"/>
      <c r="AJE22" s="1"/>
      <c r="AJF22" s="1"/>
      <c r="AJG22" s="1"/>
      <c r="AJH22" s="1"/>
      <c r="AJI22" s="1"/>
      <c r="AJJ22" s="1"/>
      <c r="AJK22" s="1"/>
      <c r="AJL22" s="1"/>
      <c r="AJM22" s="1"/>
      <c r="AJN22" s="1"/>
      <c r="AJO22" s="1"/>
      <c r="AJP22" s="1"/>
      <c r="AJQ22" s="1"/>
      <c r="AJR22" s="1"/>
      <c r="AJS22" s="1"/>
      <c r="AJT22" s="1"/>
      <c r="AJU22" s="1"/>
      <c r="AJV22" s="1"/>
      <c r="AJW22" s="1"/>
      <c r="AJX22" s="1"/>
      <c r="AJY22" s="1"/>
      <c r="AJZ22" s="1"/>
      <c r="AKA22" s="1"/>
      <c r="AKB22" s="1"/>
      <c r="AKC22" s="1"/>
      <c r="AKD22" s="1"/>
      <c r="AKE22" s="1"/>
      <c r="AKF22" s="1"/>
      <c r="AKG22" s="1"/>
      <c r="AKH22" s="1"/>
      <c r="AKI22" s="1"/>
      <c r="AKJ22" s="1"/>
      <c r="AKK22" s="1"/>
      <c r="AKL22" s="1"/>
      <c r="AKM22" s="1"/>
      <c r="AKN22" s="1"/>
      <c r="AKO22" s="1"/>
      <c r="AKP22" s="1"/>
      <c r="AKQ22" s="1"/>
      <c r="AKR22" s="1"/>
      <c r="AKS22" s="1"/>
      <c r="AKT22" s="1"/>
      <c r="AKU22" s="1"/>
      <c r="AKV22" s="1"/>
      <c r="AKW22" s="1"/>
      <c r="AKX22" s="1"/>
      <c r="AKY22" s="1"/>
      <c r="AKZ22" s="1"/>
      <c r="ALA22" s="1"/>
      <c r="ALB22" s="1"/>
      <c r="ALC22" s="1"/>
      <c r="ALD22" s="1"/>
      <c r="ALE22" s="1"/>
      <c r="ALF22" s="1"/>
      <c r="ALG22" s="1"/>
      <c r="ALH22" s="1"/>
      <c r="ALI22" s="1"/>
      <c r="ALJ22" s="1"/>
      <c r="ALK22" s="1"/>
      <c r="ALL22" s="1"/>
      <c r="ALM22" s="1"/>
      <c r="ALN22" s="1"/>
      <c r="ALO22" s="1"/>
      <c r="ALP22" s="1"/>
      <c r="ALQ22" s="1"/>
      <c r="ALR22" s="1"/>
      <c r="ALS22" s="1"/>
      <c r="ALT22" s="1"/>
      <c r="ALU22" s="1"/>
      <c r="ALV22" s="1"/>
      <c r="ALW22" s="1"/>
      <c r="ALX22" s="1"/>
      <c r="ALY22" s="1"/>
      <c r="ALZ22" s="1"/>
      <c r="AMA22" s="1"/>
      <c r="AMB22" s="1"/>
      <c r="AMC22" s="1"/>
      <c r="AMD22" s="1"/>
      <c r="AME22" s="1"/>
      <c r="AMF22" s="1"/>
      <c r="AMG22" s="1"/>
      <c r="AMH22" s="1"/>
      <c r="AMI22" s="1"/>
      <c r="AMJ22" s="1"/>
      <c r="AMK22" s="1"/>
      <c r="AML22" s="1"/>
      <c r="AMM22" s="1"/>
      <c r="AMN22" s="1"/>
      <c r="AMO22" s="1"/>
    </row>
    <row r="23" s="1" customFormat="true" ht="15" hidden="false" customHeight="false" outlineLevel="0" collapsed="false">
      <c r="A23" s="1" t="n">
        <v>21</v>
      </c>
      <c r="B23" s="2" t="s">
        <v>69</v>
      </c>
      <c r="C23" s="1" t="s">
        <v>7</v>
      </c>
      <c r="D23" s="2" t="s">
        <v>7</v>
      </c>
      <c r="E23" s="1" t="s">
        <v>7</v>
      </c>
      <c r="F23" s="2" t="s">
        <v>7</v>
      </c>
      <c r="G23" s="2"/>
      <c r="H23" s="1" t="s">
        <v>7</v>
      </c>
      <c r="J23" s="2" t="s">
        <v>7</v>
      </c>
      <c r="K23" s="2" t="s">
        <v>7</v>
      </c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  <c r="JA23" s="2"/>
      <c r="JB23" s="2"/>
      <c r="JC23" s="2"/>
      <c r="JD23" s="2"/>
      <c r="JE23" s="2"/>
      <c r="JF23" s="2"/>
      <c r="JG23" s="2"/>
      <c r="JH23" s="2"/>
      <c r="JI23" s="2"/>
      <c r="JJ23" s="2"/>
      <c r="JK23" s="2"/>
      <c r="JL23" s="2"/>
      <c r="JM23" s="2"/>
      <c r="JN23" s="2"/>
      <c r="JO23" s="2"/>
      <c r="JP23" s="2"/>
      <c r="JQ23" s="2"/>
      <c r="JR23" s="2"/>
      <c r="JS23" s="2"/>
      <c r="JT23" s="2"/>
      <c r="JU23" s="2"/>
      <c r="JV23" s="2"/>
      <c r="JW23" s="2"/>
      <c r="JX23" s="2"/>
      <c r="JY23" s="2"/>
      <c r="JZ23" s="2"/>
      <c r="KA23" s="2"/>
      <c r="KB23" s="2"/>
      <c r="KC23" s="2"/>
      <c r="KD23" s="2"/>
      <c r="KE23" s="2"/>
      <c r="KF23" s="2"/>
      <c r="KG23" s="2"/>
      <c r="KH23" s="2"/>
      <c r="KI23" s="2"/>
      <c r="KJ23" s="2"/>
      <c r="KK23" s="2"/>
      <c r="KL23" s="2"/>
      <c r="KM23" s="2"/>
      <c r="KN23" s="2"/>
      <c r="KO23" s="2"/>
      <c r="KP23" s="2"/>
      <c r="KQ23" s="2"/>
      <c r="KR23" s="2"/>
      <c r="KS23" s="2"/>
      <c r="KT23" s="2"/>
      <c r="KU23" s="2"/>
      <c r="KV23" s="2"/>
      <c r="KW23" s="2"/>
      <c r="KX23" s="2"/>
      <c r="KY23" s="2"/>
      <c r="KZ23" s="2"/>
      <c r="LA23" s="2"/>
      <c r="LB23" s="2"/>
      <c r="LC23" s="2"/>
      <c r="LD23" s="2"/>
      <c r="LE23" s="2"/>
      <c r="LF23" s="2"/>
      <c r="LG23" s="2"/>
      <c r="LH23" s="2"/>
      <c r="LI23" s="2"/>
      <c r="LJ23" s="2"/>
      <c r="LK23" s="2"/>
      <c r="LL23" s="2"/>
      <c r="LM23" s="2"/>
      <c r="LN23" s="2"/>
      <c r="LO23" s="2"/>
      <c r="LP23" s="2"/>
      <c r="LQ23" s="2"/>
      <c r="LR23" s="2"/>
      <c r="LS23" s="2"/>
      <c r="LT23" s="2"/>
      <c r="LU23" s="2"/>
      <c r="LV23" s="2"/>
      <c r="LW23" s="2"/>
      <c r="LX23" s="2"/>
      <c r="LY23" s="2"/>
      <c r="LZ23" s="2"/>
      <c r="MA23" s="2"/>
      <c r="MB23" s="2"/>
      <c r="MC23" s="2"/>
      <c r="MD23" s="2"/>
      <c r="ME23" s="2"/>
      <c r="MF23" s="2"/>
      <c r="MG23" s="2"/>
      <c r="MH23" s="2"/>
      <c r="MI23" s="2"/>
      <c r="MJ23" s="2"/>
      <c r="MK23" s="2"/>
      <c r="ML23" s="2"/>
      <c r="MM23" s="2"/>
      <c r="MN23" s="2"/>
      <c r="MO23" s="2"/>
      <c r="MP23" s="2"/>
      <c r="MQ23" s="2"/>
      <c r="MR23" s="2"/>
      <c r="MS23" s="2"/>
      <c r="MT23" s="2"/>
      <c r="MU23" s="2"/>
      <c r="MV23" s="2"/>
      <c r="MW23" s="2"/>
      <c r="MX23" s="2"/>
      <c r="MY23" s="2"/>
      <c r="MZ23" s="2"/>
      <c r="NA23" s="2"/>
      <c r="NB23" s="2"/>
      <c r="NC23" s="2"/>
      <c r="ND23" s="2"/>
      <c r="NE23" s="2"/>
      <c r="NF23" s="2"/>
      <c r="NG23" s="2"/>
      <c r="NH23" s="2"/>
      <c r="NI23" s="2"/>
      <c r="NJ23" s="2"/>
      <c r="NK23" s="2"/>
      <c r="NL23" s="2"/>
      <c r="NM23" s="2"/>
      <c r="NN23" s="2"/>
      <c r="NO23" s="2"/>
      <c r="NP23" s="2"/>
      <c r="NQ23" s="2"/>
      <c r="NR23" s="2"/>
      <c r="NS23" s="2"/>
      <c r="NT23" s="2"/>
      <c r="NU23" s="2"/>
      <c r="NV23" s="2"/>
      <c r="NW23" s="2"/>
      <c r="NX23" s="2"/>
      <c r="NY23" s="2"/>
      <c r="NZ23" s="2"/>
      <c r="OA23" s="2"/>
      <c r="OB23" s="2"/>
      <c r="OC23" s="2"/>
      <c r="OD23" s="2"/>
      <c r="OE23" s="2"/>
      <c r="OF23" s="2"/>
      <c r="OG23" s="2"/>
      <c r="OH23" s="2"/>
      <c r="OI23" s="2"/>
      <c r="OJ23" s="2"/>
      <c r="OK23" s="2"/>
      <c r="OL23" s="2"/>
      <c r="OM23" s="2"/>
      <c r="ON23" s="2"/>
      <c r="OO23" s="2"/>
      <c r="OP23" s="2"/>
      <c r="OQ23" s="2"/>
      <c r="OR23" s="2"/>
      <c r="OS23" s="2"/>
      <c r="OT23" s="2"/>
      <c r="OU23" s="2"/>
      <c r="OV23" s="2"/>
      <c r="OW23" s="2"/>
      <c r="OX23" s="2"/>
      <c r="OY23" s="2"/>
      <c r="OZ23" s="2"/>
      <c r="PA23" s="2"/>
      <c r="PB23" s="2"/>
      <c r="PC23" s="2"/>
      <c r="PD23" s="2"/>
      <c r="PE23" s="2"/>
      <c r="PF23" s="2"/>
      <c r="PG23" s="2"/>
      <c r="PH23" s="2"/>
      <c r="PI23" s="2"/>
      <c r="PJ23" s="2"/>
      <c r="PK23" s="2"/>
      <c r="PL23" s="2"/>
      <c r="PM23" s="2"/>
      <c r="PN23" s="2"/>
      <c r="PO23" s="2"/>
      <c r="PP23" s="2"/>
      <c r="PQ23" s="2"/>
      <c r="PR23" s="2"/>
      <c r="PS23" s="2"/>
      <c r="PT23" s="2"/>
      <c r="PU23" s="2"/>
      <c r="PV23" s="2"/>
      <c r="PW23" s="2"/>
      <c r="PX23" s="2"/>
      <c r="PY23" s="2"/>
      <c r="PZ23" s="2"/>
      <c r="QA23" s="2"/>
      <c r="QB23" s="2"/>
      <c r="QC23" s="2"/>
      <c r="QD23" s="2"/>
      <c r="QE23" s="2"/>
      <c r="QF23" s="2"/>
      <c r="QG23" s="2"/>
      <c r="QH23" s="2"/>
      <c r="QI23" s="2"/>
      <c r="QJ23" s="2"/>
      <c r="QK23" s="2"/>
      <c r="QL23" s="2"/>
      <c r="QM23" s="2"/>
      <c r="QN23" s="2"/>
      <c r="QO23" s="2"/>
      <c r="QP23" s="2"/>
      <c r="QQ23" s="2"/>
      <c r="QR23" s="2"/>
      <c r="QS23" s="2"/>
      <c r="QT23" s="2"/>
      <c r="QU23" s="2"/>
      <c r="QV23" s="2"/>
      <c r="QW23" s="2"/>
      <c r="QX23" s="2"/>
      <c r="QY23" s="2"/>
      <c r="QZ23" s="2"/>
      <c r="RA23" s="2"/>
      <c r="RB23" s="2"/>
      <c r="RC23" s="2"/>
      <c r="RD23" s="2"/>
      <c r="RE23" s="2"/>
      <c r="RF23" s="2"/>
      <c r="RG23" s="2"/>
      <c r="RH23" s="2"/>
      <c r="RI23" s="2"/>
      <c r="RJ23" s="2"/>
      <c r="RK23" s="2"/>
      <c r="RL23" s="2"/>
      <c r="RM23" s="2"/>
      <c r="RN23" s="2"/>
      <c r="RO23" s="2"/>
      <c r="RP23" s="2"/>
      <c r="RQ23" s="2"/>
      <c r="RR23" s="2"/>
      <c r="RS23" s="2"/>
      <c r="RT23" s="2"/>
      <c r="RU23" s="2"/>
      <c r="RV23" s="2"/>
      <c r="RW23" s="2"/>
      <c r="RX23" s="2"/>
      <c r="RY23" s="2"/>
      <c r="RZ23" s="2"/>
      <c r="SA23" s="2"/>
      <c r="SB23" s="2"/>
      <c r="SC23" s="2"/>
      <c r="SD23" s="2"/>
      <c r="SE23" s="2"/>
      <c r="SF23" s="2"/>
      <c r="SG23" s="2"/>
      <c r="SH23" s="2"/>
      <c r="SI23" s="2"/>
      <c r="SJ23" s="2"/>
      <c r="SK23" s="2"/>
      <c r="SL23" s="2"/>
      <c r="SM23" s="2"/>
      <c r="SN23" s="2"/>
      <c r="SO23" s="2"/>
      <c r="SP23" s="2"/>
      <c r="SQ23" s="2"/>
      <c r="SR23" s="2"/>
      <c r="SS23" s="2"/>
      <c r="ST23" s="2"/>
      <c r="SU23" s="2"/>
      <c r="SV23" s="2"/>
      <c r="SW23" s="2"/>
      <c r="SX23" s="2"/>
      <c r="SY23" s="2"/>
      <c r="SZ23" s="2"/>
      <c r="TA23" s="2"/>
      <c r="TB23" s="2"/>
      <c r="TC23" s="2"/>
      <c r="TD23" s="2"/>
      <c r="TE23" s="2"/>
      <c r="TF23" s="2"/>
      <c r="TG23" s="2"/>
      <c r="TH23" s="2"/>
      <c r="TI23" s="2"/>
      <c r="TJ23" s="2"/>
      <c r="TK23" s="2"/>
      <c r="TL23" s="2"/>
      <c r="TM23" s="2"/>
      <c r="TN23" s="2"/>
      <c r="TO23" s="2"/>
      <c r="TP23" s="2"/>
      <c r="TQ23" s="2"/>
      <c r="TR23" s="2"/>
      <c r="TS23" s="2"/>
      <c r="TT23" s="2"/>
      <c r="TU23" s="2"/>
      <c r="TV23" s="2"/>
      <c r="TW23" s="2"/>
      <c r="TX23" s="2"/>
      <c r="TY23" s="2"/>
      <c r="TZ23" s="2"/>
      <c r="UA23" s="2"/>
      <c r="UB23" s="2"/>
      <c r="UC23" s="2"/>
      <c r="UD23" s="2"/>
      <c r="UE23" s="2"/>
      <c r="UF23" s="2"/>
      <c r="UG23" s="2"/>
      <c r="UH23" s="2"/>
      <c r="UI23" s="2"/>
      <c r="UJ23" s="2"/>
      <c r="UK23" s="2"/>
      <c r="UL23" s="2"/>
      <c r="UM23" s="2"/>
      <c r="UN23" s="2"/>
      <c r="UO23" s="2"/>
      <c r="UP23" s="2"/>
      <c r="UQ23" s="2"/>
      <c r="UR23" s="2"/>
      <c r="US23" s="2"/>
      <c r="UT23" s="2"/>
      <c r="UU23" s="2"/>
      <c r="UV23" s="2"/>
      <c r="UW23" s="2"/>
      <c r="UX23" s="2"/>
      <c r="UY23" s="2"/>
      <c r="UZ23" s="2"/>
      <c r="VA23" s="2"/>
      <c r="VB23" s="2"/>
      <c r="VC23" s="2"/>
      <c r="VD23" s="2"/>
      <c r="VE23" s="2"/>
      <c r="VF23" s="2"/>
      <c r="VG23" s="2"/>
      <c r="VH23" s="2"/>
      <c r="VI23" s="2"/>
      <c r="VJ23" s="2"/>
      <c r="VK23" s="2"/>
      <c r="VL23" s="2"/>
      <c r="VM23" s="2"/>
      <c r="VN23" s="2"/>
      <c r="VO23" s="2"/>
      <c r="VP23" s="2"/>
      <c r="VQ23" s="2"/>
      <c r="VR23" s="2"/>
      <c r="VS23" s="2"/>
      <c r="VT23" s="2"/>
      <c r="VU23" s="2"/>
      <c r="VV23" s="2"/>
      <c r="VW23" s="2"/>
      <c r="VX23" s="2"/>
      <c r="VY23" s="2"/>
      <c r="VZ23" s="2"/>
      <c r="WA23" s="2"/>
      <c r="WB23" s="2"/>
      <c r="WC23" s="2"/>
      <c r="WD23" s="2"/>
      <c r="WE23" s="2"/>
      <c r="WF23" s="2"/>
      <c r="WG23" s="2"/>
      <c r="WH23" s="2"/>
      <c r="WI23" s="2"/>
      <c r="WJ23" s="2"/>
      <c r="WK23" s="2"/>
      <c r="WL23" s="2"/>
      <c r="WM23" s="2"/>
      <c r="WN23" s="2"/>
      <c r="WO23" s="2"/>
      <c r="WP23" s="2"/>
      <c r="WQ23" s="2"/>
      <c r="WR23" s="2"/>
      <c r="WS23" s="2"/>
      <c r="WT23" s="2"/>
      <c r="WU23" s="2"/>
      <c r="WV23" s="2"/>
      <c r="WW23" s="2"/>
      <c r="WX23" s="2"/>
      <c r="WY23" s="2"/>
      <c r="WZ23" s="2"/>
      <c r="XA23" s="2"/>
      <c r="XB23" s="2"/>
      <c r="XC23" s="2"/>
      <c r="XD23" s="2"/>
      <c r="XE23" s="2"/>
      <c r="XF23" s="2"/>
      <c r="XG23" s="2"/>
      <c r="XH23" s="2"/>
      <c r="XI23" s="2"/>
      <c r="XJ23" s="2"/>
      <c r="XK23" s="2"/>
      <c r="XL23" s="2"/>
      <c r="XM23" s="2"/>
      <c r="XN23" s="2"/>
      <c r="XO23" s="2"/>
      <c r="XP23" s="2"/>
      <c r="XQ23" s="2"/>
      <c r="XR23" s="2"/>
      <c r="XS23" s="2"/>
      <c r="XT23" s="2"/>
      <c r="XU23" s="2"/>
      <c r="XV23" s="2"/>
      <c r="XW23" s="2"/>
      <c r="XX23" s="2"/>
      <c r="XY23" s="2"/>
      <c r="XZ23" s="2"/>
      <c r="YA23" s="2"/>
      <c r="YB23" s="2"/>
      <c r="YC23" s="2"/>
      <c r="YD23" s="2"/>
      <c r="YE23" s="2"/>
      <c r="YF23" s="2"/>
      <c r="YG23" s="2"/>
      <c r="YH23" s="2"/>
      <c r="YI23" s="2"/>
      <c r="YJ23" s="2"/>
      <c r="YK23" s="2"/>
      <c r="YL23" s="2"/>
      <c r="YM23" s="2"/>
      <c r="YN23" s="2"/>
      <c r="YO23" s="2"/>
      <c r="YP23" s="2"/>
      <c r="YQ23" s="2"/>
      <c r="YR23" s="2"/>
      <c r="YS23" s="2"/>
      <c r="YT23" s="2"/>
      <c r="YU23" s="2"/>
      <c r="YV23" s="2"/>
      <c r="YW23" s="2"/>
      <c r="YX23" s="2"/>
      <c r="YY23" s="2"/>
      <c r="YZ23" s="2"/>
      <c r="ZA23" s="2"/>
      <c r="ZB23" s="2"/>
      <c r="ZC23" s="2"/>
      <c r="ZD23" s="2"/>
      <c r="ZE23" s="2"/>
      <c r="ZF23" s="2"/>
      <c r="ZG23" s="2"/>
      <c r="ZH23" s="2"/>
      <c r="ZI23" s="2"/>
      <c r="ZJ23" s="2"/>
      <c r="ZK23" s="2"/>
      <c r="ZL23" s="2"/>
      <c r="ZM23" s="2"/>
      <c r="ZN23" s="2"/>
      <c r="ZO23" s="2"/>
      <c r="ZP23" s="2"/>
      <c r="ZQ23" s="2"/>
      <c r="ZR23" s="2"/>
      <c r="ZS23" s="2"/>
      <c r="ZT23" s="2"/>
      <c r="ZU23" s="2"/>
      <c r="ZV23" s="2"/>
      <c r="ZW23" s="2"/>
      <c r="ZX23" s="2"/>
      <c r="ZY23" s="2"/>
      <c r="ZZ23" s="2"/>
      <c r="AAA23" s="2"/>
      <c r="AAB23" s="2"/>
      <c r="AAC23" s="2"/>
      <c r="AAD23" s="2"/>
      <c r="AAE23" s="2"/>
      <c r="AAF23" s="2"/>
      <c r="AAG23" s="2"/>
      <c r="AAH23" s="2"/>
      <c r="AAI23" s="2"/>
      <c r="AAJ23" s="2"/>
      <c r="AAK23" s="2"/>
      <c r="AAL23" s="2"/>
      <c r="AAM23" s="2"/>
      <c r="AAN23" s="2"/>
      <c r="AAO23" s="2"/>
      <c r="AAP23" s="2"/>
      <c r="AAQ23" s="2"/>
      <c r="AAR23" s="2"/>
      <c r="AAS23" s="2"/>
      <c r="AAT23" s="2"/>
      <c r="AAU23" s="2"/>
      <c r="AAV23" s="2"/>
      <c r="AAW23" s="2"/>
      <c r="AAX23" s="2"/>
      <c r="AAY23" s="2"/>
      <c r="AAZ23" s="2"/>
      <c r="ABA23" s="2"/>
      <c r="ABB23" s="2"/>
      <c r="ABC23" s="2"/>
      <c r="ABD23" s="2"/>
      <c r="ABE23" s="2"/>
      <c r="ABF23" s="2"/>
      <c r="ABG23" s="2"/>
      <c r="ABH23" s="2"/>
      <c r="ABI23" s="2"/>
      <c r="ABJ23" s="2"/>
      <c r="ABK23" s="2"/>
      <c r="ABL23" s="2"/>
      <c r="ABM23" s="2"/>
      <c r="ABN23" s="2"/>
      <c r="ABO23" s="2"/>
      <c r="ABP23" s="2"/>
      <c r="ABQ23" s="2"/>
      <c r="ABR23" s="2"/>
      <c r="ABS23" s="2"/>
      <c r="ABT23" s="2"/>
      <c r="ABU23" s="2"/>
      <c r="ABV23" s="2"/>
      <c r="ABW23" s="2"/>
      <c r="ABX23" s="2"/>
      <c r="ABY23" s="2"/>
      <c r="ABZ23" s="2"/>
      <c r="ACA23" s="2"/>
      <c r="ACB23" s="2"/>
      <c r="ACC23" s="2"/>
      <c r="ACD23" s="2"/>
      <c r="ACE23" s="2"/>
      <c r="ACF23" s="2"/>
      <c r="ACG23" s="2"/>
      <c r="ACH23" s="2"/>
      <c r="ACI23" s="2"/>
      <c r="ACJ23" s="2"/>
      <c r="ACK23" s="2"/>
      <c r="ACL23" s="2"/>
      <c r="ACM23" s="2"/>
      <c r="ACN23" s="2"/>
      <c r="ACO23" s="2"/>
      <c r="ACP23" s="2"/>
      <c r="ACQ23" s="2"/>
      <c r="ACR23" s="2"/>
      <c r="ACS23" s="2"/>
      <c r="ACT23" s="2"/>
      <c r="ACU23" s="2"/>
      <c r="ACV23" s="2"/>
      <c r="ACW23" s="2"/>
      <c r="ACX23" s="2"/>
      <c r="ACY23" s="2"/>
      <c r="ACZ23" s="2"/>
      <c r="ADA23" s="2"/>
      <c r="ADB23" s="2"/>
      <c r="ADC23" s="2"/>
      <c r="ADD23" s="2"/>
      <c r="ADE23" s="2"/>
      <c r="ADF23" s="2"/>
      <c r="ADG23" s="2"/>
      <c r="ADH23" s="2"/>
      <c r="ADI23" s="2"/>
      <c r="ADJ23" s="2"/>
      <c r="ADK23" s="2"/>
      <c r="ADL23" s="2"/>
      <c r="ADM23" s="2"/>
      <c r="ADN23" s="2"/>
      <c r="ADO23" s="2"/>
      <c r="ADP23" s="2"/>
      <c r="ADQ23" s="2"/>
      <c r="ADR23" s="2"/>
      <c r="ADS23" s="2"/>
      <c r="ADT23" s="2"/>
      <c r="ADU23" s="2"/>
      <c r="ADV23" s="2"/>
      <c r="ADW23" s="2"/>
      <c r="ADX23" s="2"/>
      <c r="ADY23" s="2"/>
      <c r="ADZ23" s="2"/>
      <c r="AEA23" s="2"/>
      <c r="AEB23" s="2"/>
      <c r="AEC23" s="2"/>
      <c r="AED23" s="2"/>
      <c r="AEE23" s="2"/>
      <c r="AEF23" s="2"/>
      <c r="AEG23" s="2"/>
      <c r="AEH23" s="2"/>
      <c r="AEI23" s="2"/>
      <c r="AEJ23" s="2"/>
      <c r="AEK23" s="2"/>
      <c r="AEL23" s="2"/>
      <c r="AEM23" s="2"/>
      <c r="AEN23" s="2"/>
      <c r="AEO23" s="2"/>
      <c r="AEP23" s="2"/>
      <c r="AEQ23" s="2"/>
      <c r="AER23" s="2"/>
      <c r="AES23" s="2"/>
      <c r="AET23" s="2"/>
      <c r="AEU23" s="2"/>
      <c r="AEV23" s="2"/>
      <c r="AEW23" s="2"/>
      <c r="AEX23" s="2"/>
      <c r="AEY23" s="2"/>
      <c r="AEZ23" s="2"/>
      <c r="AFA23" s="2"/>
      <c r="AFB23" s="2"/>
      <c r="AFC23" s="2"/>
      <c r="AFD23" s="2"/>
      <c r="AFE23" s="2"/>
      <c r="AFF23" s="2"/>
      <c r="AFG23" s="2"/>
      <c r="AFH23" s="2"/>
      <c r="AFI23" s="2"/>
      <c r="AFJ23" s="2"/>
      <c r="AFK23" s="2"/>
      <c r="AFL23" s="2"/>
      <c r="AFM23" s="2"/>
      <c r="AFN23" s="2"/>
      <c r="AFO23" s="2"/>
      <c r="AFP23" s="2"/>
      <c r="AFQ23" s="2"/>
      <c r="AFR23" s="2"/>
      <c r="AFS23" s="2"/>
      <c r="AFT23" s="2"/>
      <c r="AFU23" s="2"/>
      <c r="AFV23" s="2"/>
      <c r="AFW23" s="2"/>
      <c r="AFX23" s="2"/>
      <c r="AFY23" s="2"/>
      <c r="AFZ23" s="2"/>
      <c r="AGA23" s="2"/>
      <c r="AGB23" s="2"/>
      <c r="AGC23" s="2"/>
      <c r="AGD23" s="2"/>
      <c r="AGE23" s="2"/>
      <c r="AGF23" s="2"/>
      <c r="AGG23" s="2"/>
      <c r="AGH23" s="2"/>
      <c r="AGI23" s="2"/>
      <c r="AGJ23" s="2"/>
      <c r="AGK23" s="2"/>
      <c r="AGL23" s="2"/>
      <c r="AGM23" s="2"/>
      <c r="AGN23" s="2"/>
      <c r="AGO23" s="2"/>
      <c r="AGP23" s="2"/>
      <c r="AGQ23" s="2"/>
      <c r="AGR23" s="2"/>
      <c r="AGS23" s="2"/>
      <c r="AGT23" s="2"/>
      <c r="AGU23" s="2"/>
      <c r="AGV23" s="2"/>
      <c r="AGW23" s="2"/>
      <c r="AGX23" s="2"/>
      <c r="AGY23" s="2"/>
      <c r="AGZ23" s="2"/>
      <c r="AHA23" s="2"/>
      <c r="AHB23" s="2"/>
      <c r="AHC23" s="2"/>
      <c r="AHD23" s="2"/>
      <c r="AHE23" s="2"/>
      <c r="AHF23" s="2"/>
      <c r="AHG23" s="2"/>
      <c r="AHH23" s="2"/>
      <c r="AHI23" s="2"/>
      <c r="AHJ23" s="2"/>
      <c r="AHK23" s="2"/>
      <c r="AHL23" s="2"/>
      <c r="AHM23" s="2"/>
      <c r="AHN23" s="2"/>
      <c r="AHO23" s="2"/>
      <c r="AHP23" s="2"/>
      <c r="AHQ23" s="2"/>
      <c r="AHR23" s="2"/>
      <c r="AHS23" s="2"/>
      <c r="AHT23" s="2"/>
      <c r="AHU23" s="2"/>
      <c r="AHV23" s="2"/>
      <c r="AHW23" s="2"/>
      <c r="AHX23" s="2"/>
      <c r="AHY23" s="2"/>
      <c r="AHZ23" s="2"/>
      <c r="AIA23" s="2"/>
      <c r="AIB23" s="2"/>
      <c r="AIC23" s="2"/>
      <c r="AID23" s="2"/>
      <c r="AIE23" s="2"/>
      <c r="AIF23" s="2"/>
      <c r="AIG23" s="2"/>
      <c r="AIH23" s="2"/>
      <c r="AII23" s="2"/>
      <c r="AIJ23" s="2"/>
      <c r="AIK23" s="2"/>
      <c r="AIL23" s="2"/>
      <c r="AIM23" s="2"/>
      <c r="AIN23" s="2"/>
      <c r="AIO23" s="2"/>
      <c r="AIP23" s="2"/>
      <c r="AIQ23" s="2"/>
      <c r="AIR23" s="2"/>
      <c r="AIS23" s="2"/>
      <c r="AIT23" s="2"/>
      <c r="AIU23" s="2"/>
      <c r="AIV23" s="2"/>
      <c r="AIW23" s="2"/>
      <c r="AIX23" s="2"/>
      <c r="AIY23" s="2"/>
      <c r="AIZ23" s="2"/>
      <c r="AJA23" s="2"/>
      <c r="AJB23" s="2"/>
      <c r="AJC23" s="2"/>
      <c r="AJD23" s="2"/>
      <c r="AJE23" s="2"/>
      <c r="AJF23" s="2"/>
      <c r="AJG23" s="2"/>
      <c r="AJH23" s="2"/>
      <c r="AJI23" s="2"/>
      <c r="AJJ23" s="2"/>
      <c r="AJK23" s="2"/>
      <c r="AJL23" s="2"/>
      <c r="AJM23" s="2"/>
      <c r="AJN23" s="2"/>
      <c r="AJO23" s="2"/>
      <c r="AJP23" s="2"/>
      <c r="AJQ23" s="2"/>
      <c r="AJR23" s="2"/>
      <c r="AJS23" s="2"/>
      <c r="AJT23" s="2"/>
      <c r="AJU23" s="2"/>
      <c r="AJV23" s="2"/>
      <c r="AJW23" s="2"/>
      <c r="AJX23" s="2"/>
      <c r="AJY23" s="2"/>
      <c r="AJZ23" s="2"/>
      <c r="AKA23" s="2"/>
      <c r="AKB23" s="2"/>
      <c r="AKC23" s="2"/>
      <c r="AKD23" s="2"/>
      <c r="AKE23" s="2"/>
      <c r="AKF23" s="2"/>
      <c r="AKG23" s="2"/>
      <c r="AKH23" s="2"/>
      <c r="AKI23" s="2"/>
      <c r="AKJ23" s="2"/>
      <c r="AKK23" s="2"/>
      <c r="AKL23" s="2"/>
    </row>
    <row r="24" customFormat="false" ht="15" hidden="false" customHeight="false" outlineLevel="0" collapsed="false">
      <c r="B24" s="1" t="s">
        <v>71</v>
      </c>
      <c r="C24" s="1" t="n">
        <f aca="false">COUNTIF(C3:C23,"P")</f>
        <v>21</v>
      </c>
      <c r="D24" s="1" t="n">
        <f aca="false">COUNTIF(D3:D23,"P")</f>
        <v>20</v>
      </c>
      <c r="E24" s="1" t="n">
        <f aca="false">COUNTIF(E3:E23,"P")</f>
        <v>21</v>
      </c>
      <c r="F24" s="1" t="n">
        <f aca="false">COUNTIF(F3:F23,"P")</f>
        <v>17</v>
      </c>
      <c r="G24" s="1"/>
      <c r="H24" s="1" t="n">
        <f aca="false">COUNTIF(H3:H23,"P")</f>
        <v>14</v>
      </c>
      <c r="I24" s="1"/>
      <c r="J24" s="1" t="n">
        <f aca="false">COUNTIF(J3:J23,"P")</f>
        <v>18</v>
      </c>
      <c r="K24" s="1" t="n">
        <f aca="false">COUNTIF(K3:K23,"P")</f>
        <v>18</v>
      </c>
    </row>
    <row r="25" customFormat="false" ht="15" hidden="false" customHeight="false" outlineLevel="0" collapsed="false">
      <c r="B25" s="1" t="s">
        <v>72</v>
      </c>
      <c r="C25" s="1" t="n">
        <f aca="false">COUNTIF(C3:C23,"M")</f>
        <v>0</v>
      </c>
      <c r="D25" s="1" t="n">
        <f aca="false">COUNTIF(D3:D23,"M")</f>
        <v>0</v>
      </c>
      <c r="E25" s="1" t="n">
        <f aca="false">COUNTIF(E3:E23,"M")</f>
        <v>0</v>
      </c>
      <c r="F25" s="1" t="n">
        <f aca="false">COUNTIF(F3:F23,"M")</f>
        <v>0</v>
      </c>
      <c r="H25" s="1" t="n">
        <f aca="false">COUNTIF(H3:H23,"M")</f>
        <v>1</v>
      </c>
      <c r="I25" s="1"/>
      <c r="J25" s="1" t="n">
        <f aca="false">COUNTIF(J3:J23,"M")</f>
        <v>0</v>
      </c>
      <c r="K25" s="1" t="n">
        <f aca="false">COUNTIF(K3:K23,"M")</f>
        <v>0</v>
      </c>
    </row>
    <row r="26" customFormat="false" ht="15" hidden="false" customHeight="false" outlineLevel="0" collapsed="false">
      <c r="B26" s="1" t="s">
        <v>73</v>
      </c>
      <c r="C26" s="1" t="n">
        <f aca="false">COUNTIF(C3:C23,"T")</f>
        <v>0</v>
      </c>
      <c r="D26" s="1" t="n">
        <f aca="false">COUNTIF(D3:D23,"T")</f>
        <v>0</v>
      </c>
      <c r="E26" s="1" t="n">
        <f aca="false">COUNTIF(E3:E23,"T")</f>
        <v>0</v>
      </c>
      <c r="F26" s="1" t="n">
        <f aca="false">COUNTIF(F3:F23,"T")</f>
        <v>3</v>
      </c>
      <c r="H26" s="1" t="n">
        <f aca="false">COUNTIF(H3:H23,"T")</f>
        <v>0</v>
      </c>
      <c r="I26" s="1"/>
      <c r="J26" s="1" t="n">
        <f aca="false">COUNTIF(J3:J23,"T")</f>
        <v>0</v>
      </c>
      <c r="K26" s="1" t="n">
        <f aca="false">COUNTIF(K3:K23,"T")</f>
        <v>0</v>
      </c>
    </row>
    <row r="27" customFormat="false" ht="15" hidden="false" customHeight="false" outlineLevel="0" collapsed="false">
      <c r="B27" s="1" t="s">
        <v>74</v>
      </c>
      <c r="C27" s="1" t="n">
        <f aca="false">SUM(C24:C26)</f>
        <v>21</v>
      </c>
      <c r="D27" s="1" t="n">
        <f aca="false">SUM(D24:D26)</f>
        <v>20</v>
      </c>
      <c r="E27" s="1" t="n">
        <f aca="false">SUM(E24:E26)</f>
        <v>21</v>
      </c>
      <c r="F27" s="1" t="n">
        <f aca="false">SUM(F24:F26)</f>
        <v>20</v>
      </c>
      <c r="H27" s="1" t="n">
        <f aca="false">SUM(H24:H26)</f>
        <v>15</v>
      </c>
      <c r="I27" s="1"/>
      <c r="J27" s="1" t="n">
        <f aca="false">SUM(J24:J26)</f>
        <v>18</v>
      </c>
      <c r="K27" s="1" t="n">
        <f aca="false">SUM(K24:K26)</f>
        <v>18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2" activeCellId="0" sqref="G2"/>
    </sheetView>
  </sheetViews>
  <sheetFormatPr defaultColWidth="9.582031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3" min="3" style="1" width="9.58"/>
    <col collapsed="false" customWidth="true" hidden="false" outlineLevel="0" max="16384" min="16361" style="1" width="10.58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45919</v>
      </c>
      <c r="E1" s="3" t="n">
        <v>45954</v>
      </c>
      <c r="F1" s="3" t="n">
        <v>45961</v>
      </c>
      <c r="G1" s="2" t="s">
        <v>77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n">
        <v>3</v>
      </c>
      <c r="F2" s="1" t="n">
        <v>1</v>
      </c>
      <c r="G2" s="2" t="n">
        <f aca="false">SUM(D2:F2)</f>
        <v>1</v>
      </c>
    </row>
    <row r="3" customFormat="false" ht="15" hidden="false" customHeight="false" outlineLevel="0" collapsed="false">
      <c r="A3" s="1" t="n">
        <v>2</v>
      </c>
      <c r="B3" s="2" t="s">
        <v>10</v>
      </c>
      <c r="C3" s="1" t="n">
        <v>0</v>
      </c>
      <c r="D3" s="1" t="n">
        <v>1</v>
      </c>
      <c r="F3" s="1" t="n">
        <v>2</v>
      </c>
      <c r="G3" s="2" t="n">
        <f aca="false">SUM(D3:F3)</f>
        <v>3</v>
      </c>
    </row>
    <row r="4" customFormat="false" ht="15" hidden="false" customHeight="false" outlineLevel="0" collapsed="false">
      <c r="A4" s="1" t="n">
        <v>3</v>
      </c>
      <c r="B4" s="2" t="s">
        <v>13</v>
      </c>
      <c r="C4" s="1" t="n">
        <v>3</v>
      </c>
      <c r="G4" s="2" t="n">
        <f aca="false">SUM(D4:F4)</f>
        <v>0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n">
        <v>4</v>
      </c>
      <c r="F5" s="1" t="n">
        <v>1</v>
      </c>
      <c r="G5" s="2" t="n">
        <f aca="false">SUM(D5:F5)</f>
        <v>1</v>
      </c>
    </row>
    <row r="6" customFormat="false" ht="15" hidden="false" customHeight="false" outlineLevel="0" collapsed="false">
      <c r="A6" s="1" t="n">
        <v>5</v>
      </c>
      <c r="B6" s="2" t="s">
        <v>20</v>
      </c>
      <c r="C6" s="1" t="n">
        <v>0</v>
      </c>
      <c r="D6" s="1" t="n">
        <v>1</v>
      </c>
      <c r="G6" s="2" t="n">
        <f aca="false">SUM(D6:F6)</f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C7" s="1" t="n">
        <v>0</v>
      </c>
      <c r="D7" s="1" t="n">
        <v>1</v>
      </c>
      <c r="G7" s="2" t="n">
        <f aca="false">SUM(D7:F7)</f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n">
        <v>3</v>
      </c>
      <c r="D8" s="1" t="n">
        <v>1</v>
      </c>
      <c r="G8" s="2" t="n">
        <f aca="false">SUM(D8:F8)</f>
        <v>1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n">
        <v>4</v>
      </c>
      <c r="D9" s="1" t="n">
        <v>1</v>
      </c>
      <c r="F9" s="1" t="n">
        <v>1</v>
      </c>
      <c r="G9" s="2" t="n">
        <f aca="false">SUM(D9:F9)</f>
        <v>2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n">
        <v>3</v>
      </c>
      <c r="G10" s="2" t="n">
        <f aca="false">SUM(D10:F10)</f>
        <v>0</v>
      </c>
    </row>
    <row r="11" customFormat="false" ht="15" hidden="false" customHeight="false" outlineLevel="0" collapsed="false">
      <c r="A11" s="1" t="n">
        <v>10</v>
      </c>
      <c r="B11" s="2" t="s">
        <v>36</v>
      </c>
      <c r="C11" s="1" t="n">
        <v>3</v>
      </c>
      <c r="G11" s="2" t="n">
        <f aca="false">SUM(D11:F11)</f>
        <v>0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n">
        <v>3</v>
      </c>
      <c r="D12" s="1" t="n">
        <v>1</v>
      </c>
      <c r="F12" s="1" t="n">
        <v>1</v>
      </c>
      <c r="G12" s="2" t="n">
        <f aca="false">SUM(D12:F12)</f>
        <v>2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n">
        <v>0</v>
      </c>
      <c r="G13" s="2" t="n">
        <f aca="false">SUM(D13:F13)</f>
        <v>0</v>
      </c>
    </row>
    <row r="14" customFormat="false" ht="15" hidden="false" customHeight="false" outlineLevel="0" collapsed="false">
      <c r="A14" s="1" t="n">
        <v>13</v>
      </c>
      <c r="B14" s="2" t="s">
        <v>45</v>
      </c>
      <c r="C14" s="1" t="n">
        <v>3</v>
      </c>
      <c r="D14" s="1" t="n">
        <v>1</v>
      </c>
      <c r="F14" s="1" t="n">
        <v>1</v>
      </c>
      <c r="G14" s="2" t="n">
        <f aca="false">SUM(D14:F14)</f>
        <v>2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n">
        <v>3</v>
      </c>
      <c r="D15" s="1" t="n">
        <v>1</v>
      </c>
      <c r="F15" s="1" t="n">
        <v>1</v>
      </c>
      <c r="G15" s="2" t="n">
        <f aca="false">SUM(D15:F15)</f>
        <v>2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n">
        <v>3</v>
      </c>
      <c r="D16" s="1" t="n">
        <v>1</v>
      </c>
      <c r="G16" s="2" t="n">
        <f aca="false">SUM(D16:F16)</f>
        <v>1</v>
      </c>
    </row>
    <row r="17" customFormat="false" ht="15" hidden="false" customHeight="false" outlineLevel="0" collapsed="false">
      <c r="A17" s="1" t="n">
        <v>16</v>
      </c>
      <c r="B17" s="2" t="s">
        <v>54</v>
      </c>
      <c r="C17" s="1" t="n">
        <v>0</v>
      </c>
      <c r="G17" s="2" t="n">
        <f aca="false">SUM(D17:F17)</f>
        <v>0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n">
        <v>3</v>
      </c>
      <c r="F18" s="1" t="n">
        <v>1</v>
      </c>
      <c r="G18" s="2" t="n">
        <f aca="false">SUM(D18:F18)</f>
        <v>1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n">
        <v>0</v>
      </c>
      <c r="F19" s="1" t="n">
        <v>1</v>
      </c>
      <c r="G19" s="2" t="n">
        <f aca="false">SUM(D19:F19)</f>
        <v>1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n">
        <v>3</v>
      </c>
      <c r="G20" s="2" t="n">
        <f aca="false">SUM(D20:F20)</f>
        <v>0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n">
        <v>3</v>
      </c>
      <c r="F21" s="1" t="n">
        <v>1</v>
      </c>
      <c r="G21" s="2" t="n">
        <f aca="false">SUM(D21:F21)</f>
        <v>1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n">
        <v>3</v>
      </c>
      <c r="F22" s="1" t="n">
        <v>1</v>
      </c>
      <c r="G22" s="2" t="n">
        <f aca="false">SUM(D22:F22)</f>
        <v>1</v>
      </c>
    </row>
    <row r="23" customFormat="false" ht="15" hidden="false" customHeight="false" outlineLevel="0" collapsed="false">
      <c r="A23" s="1" t="n">
        <v>22</v>
      </c>
      <c r="B23" s="2" t="s">
        <v>69</v>
      </c>
      <c r="C23" s="1" t="n">
        <v>3</v>
      </c>
      <c r="G23" s="2" t="n">
        <f aca="false">SUM(D23:F23)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1.64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85</v>
      </c>
      <c r="E2" s="1" t="s">
        <v>86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10</v>
      </c>
      <c r="C3" s="1" t="s">
        <v>10</v>
      </c>
      <c r="D3" s="1" t="s">
        <v>87</v>
      </c>
      <c r="E3" s="1" t="s">
        <v>88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13</v>
      </c>
      <c r="C4" s="1" t="s">
        <v>13</v>
      </c>
      <c r="D4" s="1" t="s">
        <v>89</v>
      </c>
      <c r="E4" s="1" t="s">
        <v>90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s">
        <v>91</v>
      </c>
      <c r="E5" s="1" t="s">
        <v>92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93</v>
      </c>
      <c r="E8" s="1" t="s">
        <v>94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95</v>
      </c>
      <c r="E9" s="1" t="s">
        <v>96</v>
      </c>
      <c r="F9" s="1" t="n">
        <v>10</v>
      </c>
      <c r="G9" s="1" t="n">
        <f aca="false">AVERAGE(F9:F10)</f>
        <v>9</v>
      </c>
      <c r="H9" s="1" t="n">
        <v>8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30</v>
      </c>
      <c r="D10" s="1" t="s">
        <v>97</v>
      </c>
      <c r="E10" s="1" t="s">
        <v>98</v>
      </c>
      <c r="F10" s="1" t="n">
        <v>8</v>
      </c>
    </row>
    <row r="11" customFormat="false" ht="15" hidden="false" customHeight="false" outlineLevel="0" collapsed="false">
      <c r="A11" s="1" t="n">
        <v>9</v>
      </c>
      <c r="B11" s="2" t="s">
        <v>33</v>
      </c>
      <c r="C11" s="1" t="s">
        <v>33</v>
      </c>
      <c r="D11" s="1" t="s">
        <v>89</v>
      </c>
      <c r="E11" s="1" t="s">
        <v>99</v>
      </c>
      <c r="F11" s="1" t="n">
        <v>10</v>
      </c>
      <c r="I11" s="1" t="n">
        <v>10</v>
      </c>
    </row>
    <row r="12" customFormat="false" ht="15" hidden="false" customHeight="false" outlineLevel="0" collapsed="false">
      <c r="A12" s="1" t="n">
        <v>10</v>
      </c>
      <c r="B12" s="2" t="s">
        <v>36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39</v>
      </c>
      <c r="C13" s="1" t="s">
        <v>39</v>
      </c>
      <c r="D13" s="1" t="s">
        <v>100</v>
      </c>
      <c r="E13" s="1" t="s">
        <v>101</v>
      </c>
      <c r="F13" s="1" t="n">
        <v>10</v>
      </c>
      <c r="I13" s="1" t="n">
        <v>10</v>
      </c>
    </row>
    <row r="14" customFormat="false" ht="15" hidden="false" customHeight="false" outlineLevel="0" collapsed="false">
      <c r="A14" s="1" t="n">
        <v>12</v>
      </c>
      <c r="B14" s="2" t="s">
        <v>42</v>
      </c>
      <c r="C14" s="1" t="s">
        <v>42</v>
      </c>
      <c r="D14" s="1" t="s">
        <v>102</v>
      </c>
      <c r="E14" s="1" t="s">
        <v>103</v>
      </c>
      <c r="F14" s="1" t="n">
        <v>7</v>
      </c>
      <c r="I14" s="1" t="n">
        <v>7</v>
      </c>
    </row>
    <row r="15" customFormat="false" ht="15" hidden="false" customHeight="false" outlineLevel="0" collapsed="false">
      <c r="A15" s="1" t="n">
        <v>13</v>
      </c>
      <c r="B15" s="2" t="s">
        <v>45</v>
      </c>
      <c r="C15" s="1" t="s">
        <v>45</v>
      </c>
      <c r="D15" s="1" t="s">
        <v>104</v>
      </c>
      <c r="E15" s="1" t="s">
        <v>105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48</v>
      </c>
      <c r="C16" s="1" t="s">
        <v>48</v>
      </c>
      <c r="D16" s="1" t="s">
        <v>106</v>
      </c>
      <c r="E16" s="1" t="s">
        <v>107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51</v>
      </c>
      <c r="C17" s="1" t="s">
        <v>51</v>
      </c>
      <c r="D17" s="1" t="s">
        <v>108</v>
      </c>
      <c r="E17" s="1" t="s">
        <v>109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16</v>
      </c>
      <c r="B18" s="2" t="s">
        <v>54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17</v>
      </c>
      <c r="B19" s="2" t="s">
        <v>57</v>
      </c>
      <c r="C19" s="1" t="s">
        <v>57</v>
      </c>
      <c r="D19" s="1" t="s">
        <v>110</v>
      </c>
      <c r="E19" s="1" t="s">
        <v>111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78</v>
      </c>
      <c r="C20" s="1" t="s">
        <v>78</v>
      </c>
      <c r="D20" s="1" t="s">
        <v>112</v>
      </c>
      <c r="E20" s="1" t="s">
        <v>113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60</v>
      </c>
      <c r="C21" s="1" t="s">
        <v>60</v>
      </c>
      <c r="D21" s="1" t="s">
        <v>114</v>
      </c>
      <c r="E21" s="1" t="s">
        <v>115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20</v>
      </c>
      <c r="B22" s="2" t="s">
        <v>63</v>
      </c>
      <c r="C22" s="1" t="s">
        <v>63</v>
      </c>
      <c r="D22" s="1" t="s">
        <v>116</v>
      </c>
      <c r="E22" s="1" t="s">
        <v>117</v>
      </c>
      <c r="F22" s="1" t="n">
        <v>10</v>
      </c>
      <c r="I22" s="1" t="n">
        <v>10</v>
      </c>
    </row>
    <row r="23" customFormat="false" ht="15" hidden="false" customHeight="false" outlineLevel="0" collapsed="false">
      <c r="A23" s="1" t="n">
        <v>21</v>
      </c>
      <c r="B23" s="2" t="s">
        <v>66</v>
      </c>
      <c r="C23" s="1" t="s">
        <v>66</v>
      </c>
      <c r="D23" s="1" t="s">
        <v>118</v>
      </c>
      <c r="E23" s="1" t="s">
        <v>119</v>
      </c>
      <c r="F23" s="1" t="n">
        <v>10</v>
      </c>
      <c r="G23" s="1" t="n">
        <f aca="false">AVERAGE(F23:F25)</f>
        <v>8.66666666666667</v>
      </c>
      <c r="H23" s="1" t="n">
        <v>9</v>
      </c>
      <c r="I23" s="1" t="n">
        <f aca="false">ROUND(MAX(H23,G23),0)</f>
        <v>9</v>
      </c>
    </row>
    <row r="24" customFormat="false" ht="15" hidden="false" customHeight="false" outlineLevel="0" collapsed="false">
      <c r="C24" s="1" t="s">
        <v>66</v>
      </c>
      <c r="D24" s="1" t="s">
        <v>120</v>
      </c>
      <c r="E24" s="1" t="s">
        <v>121</v>
      </c>
      <c r="F24" s="1" t="n">
        <v>9</v>
      </c>
    </row>
    <row r="25" customFormat="false" ht="15" hidden="false" customHeight="false" outlineLevel="0" collapsed="false">
      <c r="C25" s="1" t="s">
        <v>66</v>
      </c>
      <c r="D25" s="1" t="s">
        <v>97</v>
      </c>
      <c r="E25" s="1" t="s">
        <v>122</v>
      </c>
      <c r="F25" s="1" t="n">
        <v>7</v>
      </c>
    </row>
    <row r="26" customFormat="false" ht="15" hidden="false" customHeight="false" outlineLevel="0" collapsed="false">
      <c r="A26" s="1" t="n">
        <v>22</v>
      </c>
      <c r="B26" s="2" t="s">
        <v>69</v>
      </c>
      <c r="C26" s="1" t="s">
        <v>69</v>
      </c>
      <c r="D26" s="1" t="s">
        <v>123</v>
      </c>
      <c r="E26" s="1" t="s">
        <v>124</v>
      </c>
      <c r="F26" s="1" t="n">
        <v>10</v>
      </c>
      <c r="I26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8" activeCellId="0" sqref="B8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63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79</v>
      </c>
      <c r="C1" s="1" t="s">
        <v>80</v>
      </c>
      <c r="D1" s="1" t="s">
        <v>125</v>
      </c>
    </row>
    <row r="2" customFormat="false" ht="15" hidden="false" customHeight="false" outlineLevel="0" collapsed="false">
      <c r="A2" s="1" t="s">
        <v>20</v>
      </c>
      <c r="B2" s="1" t="s">
        <v>126</v>
      </c>
      <c r="C2" s="1" t="s">
        <v>127</v>
      </c>
      <c r="D2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" activeCellId="0" sqref="G1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13.62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128</v>
      </c>
      <c r="E2" s="1" t="s">
        <v>129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10</v>
      </c>
      <c r="C3" s="1" t="s">
        <v>10</v>
      </c>
      <c r="D3" s="1" t="s">
        <v>130</v>
      </c>
      <c r="E3" s="1" t="s">
        <v>131</v>
      </c>
      <c r="F3" s="1" t="n">
        <v>10</v>
      </c>
      <c r="I3" s="1" t="n">
        <v>10</v>
      </c>
    </row>
    <row r="4" customFormat="false" ht="15" hidden="false" customHeight="false" outlineLevel="0" collapsed="false">
      <c r="A4" s="1" t="n">
        <v>3</v>
      </c>
      <c r="B4" s="2" t="s">
        <v>13</v>
      </c>
      <c r="C4" s="1" t="s">
        <v>13</v>
      </c>
      <c r="D4" s="1" t="s">
        <v>132</v>
      </c>
      <c r="E4" s="1" t="s">
        <v>90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s">
        <v>133</v>
      </c>
      <c r="E5" s="1" t="s">
        <v>134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135</v>
      </c>
      <c r="E8" s="1" t="s">
        <v>136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137</v>
      </c>
      <c r="E9" s="1" t="s">
        <v>138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139</v>
      </c>
      <c r="E10" s="1" t="s">
        <v>138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36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140</v>
      </c>
      <c r="E12" s="1" t="s">
        <v>141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142</v>
      </c>
      <c r="E13" s="1" t="s">
        <v>143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13</v>
      </c>
      <c r="B14" s="2" t="s">
        <v>45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144</v>
      </c>
      <c r="E15" s="1" t="s">
        <v>145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146</v>
      </c>
      <c r="E16" s="1" t="s">
        <v>147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s">
        <v>57</v>
      </c>
      <c r="D18" s="1" t="s">
        <v>148</v>
      </c>
      <c r="E18" s="1" t="s">
        <v>149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s">
        <v>78</v>
      </c>
      <c r="D19" s="1" t="s">
        <v>150</v>
      </c>
      <c r="E19" s="1" t="s">
        <v>151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152</v>
      </c>
      <c r="E20" s="1" t="s">
        <v>153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s">
        <v>63</v>
      </c>
      <c r="D21" s="1" t="s">
        <v>154</v>
      </c>
      <c r="E21" s="1" t="s">
        <v>155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156</v>
      </c>
      <c r="E22" s="1" t="s">
        <v>157</v>
      </c>
      <c r="F22" s="1" t="n">
        <v>10</v>
      </c>
      <c r="G22" s="1" t="n">
        <f aca="false">AVERAGE(F22:F26)</f>
        <v>7.6</v>
      </c>
      <c r="H22" s="1" t="n">
        <v>9</v>
      </c>
      <c r="I22" s="1" t="n">
        <f aca="false">ROUND(MAX(H22,G22),0)</f>
        <v>9</v>
      </c>
    </row>
    <row r="23" customFormat="false" ht="15" hidden="false" customHeight="false" outlineLevel="0" collapsed="false">
      <c r="C23" s="1" t="s">
        <v>66</v>
      </c>
      <c r="D23" s="1" t="s">
        <v>158</v>
      </c>
      <c r="E23" s="1" t="s">
        <v>159</v>
      </c>
      <c r="F23" s="1" t="n">
        <v>9</v>
      </c>
    </row>
    <row r="24" customFormat="false" ht="15" hidden="false" customHeight="false" outlineLevel="0" collapsed="false">
      <c r="C24" s="1" t="s">
        <v>66</v>
      </c>
      <c r="D24" s="1" t="s">
        <v>160</v>
      </c>
      <c r="E24" s="1" t="s">
        <v>161</v>
      </c>
      <c r="F24" s="1" t="n">
        <v>8</v>
      </c>
    </row>
    <row r="25" customFormat="false" ht="15" hidden="false" customHeight="false" outlineLevel="0" collapsed="false">
      <c r="C25" s="1" t="s">
        <v>66</v>
      </c>
      <c r="D25" s="1" t="s">
        <v>162</v>
      </c>
      <c r="E25" s="1" t="s">
        <v>163</v>
      </c>
      <c r="F25" s="1" t="n">
        <v>6</v>
      </c>
    </row>
    <row r="26" customFormat="false" ht="15" hidden="false" customHeight="false" outlineLevel="0" collapsed="false">
      <c r="C26" s="1" t="s">
        <v>66</v>
      </c>
      <c r="D26" s="1" t="s">
        <v>164</v>
      </c>
      <c r="E26" s="1" t="s">
        <v>165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69</v>
      </c>
      <c r="C27" s="1" t="s">
        <v>69</v>
      </c>
      <c r="D27" s="1" t="s">
        <v>166</v>
      </c>
      <c r="E27" s="1" t="s">
        <v>167</v>
      </c>
      <c r="F27" s="1" t="n">
        <v>10</v>
      </c>
      <c r="I27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6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168</v>
      </c>
      <c r="E2" s="1" t="s">
        <v>169</v>
      </c>
      <c r="F2" s="1" t="n">
        <v>7</v>
      </c>
    </row>
    <row r="3" customFormat="false" ht="15" hidden="false" customHeight="false" outlineLevel="0" collapsed="false">
      <c r="A3" s="1" t="n">
        <v>2</v>
      </c>
      <c r="B3" s="2" t="s">
        <v>10</v>
      </c>
      <c r="C3" s="1" t="s">
        <v>10</v>
      </c>
      <c r="D3" s="1" t="s">
        <v>170</v>
      </c>
      <c r="E3" s="1" t="s">
        <v>171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13</v>
      </c>
      <c r="C4" s="1" t="s">
        <v>13</v>
      </c>
      <c r="D4" s="1" t="s">
        <v>172</v>
      </c>
      <c r="E4" s="1" t="s">
        <v>173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s">
        <v>174</v>
      </c>
      <c r="E5" s="1" t="s">
        <v>175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176</v>
      </c>
      <c r="E8" s="1" t="s">
        <v>177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178</v>
      </c>
      <c r="E9" s="1" t="s">
        <v>179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180</v>
      </c>
      <c r="E10" s="1" t="s">
        <v>181</v>
      </c>
      <c r="F10" s="1" t="n">
        <v>8</v>
      </c>
    </row>
    <row r="11" customFormat="false" ht="15" hidden="false" customHeight="false" outlineLevel="0" collapsed="false">
      <c r="A11" s="1" t="n">
        <v>10</v>
      </c>
      <c r="B11" s="2" t="s">
        <v>36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182</v>
      </c>
      <c r="E12" s="1" t="s">
        <v>183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184</v>
      </c>
      <c r="E13" s="1" t="s">
        <v>185</v>
      </c>
      <c r="F13" s="1" t="n">
        <v>9</v>
      </c>
    </row>
    <row r="14" customFormat="false" ht="15" hidden="false" customHeight="false" outlineLevel="0" collapsed="false">
      <c r="A14" s="1" t="n">
        <v>13</v>
      </c>
      <c r="B14" s="2" t="s">
        <v>45</v>
      </c>
      <c r="C14" s="1" t="s">
        <v>45</v>
      </c>
      <c r="D14" s="1" t="s">
        <v>186</v>
      </c>
      <c r="E14" s="1" t="s">
        <v>187</v>
      </c>
      <c r="F14" s="1" t="n">
        <v>7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188</v>
      </c>
      <c r="E15" s="1" t="s">
        <v>189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190</v>
      </c>
      <c r="E16" s="1" t="s">
        <v>191</v>
      </c>
      <c r="F16" s="1" t="n">
        <v>7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s">
        <v>57</v>
      </c>
      <c r="D18" s="1" t="s">
        <v>192</v>
      </c>
      <c r="E18" s="1" t="s">
        <v>193</v>
      </c>
      <c r="F18" s="1" t="n">
        <v>8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s">
        <v>78</v>
      </c>
      <c r="D19" s="1" t="s">
        <v>194</v>
      </c>
      <c r="E19" s="1" t="s">
        <v>195</v>
      </c>
      <c r="F19" s="1" t="n">
        <v>7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196</v>
      </c>
      <c r="E20" s="1" t="s">
        <v>197</v>
      </c>
      <c r="F20" s="1" t="n">
        <v>9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s">
        <v>63</v>
      </c>
      <c r="D21" s="1" t="s">
        <v>198</v>
      </c>
      <c r="E21" s="1" t="s">
        <v>199</v>
      </c>
      <c r="F21" s="1" t="n">
        <v>7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200</v>
      </c>
      <c r="E22" s="1" t="s">
        <v>201</v>
      </c>
      <c r="F22" s="1" t="n">
        <v>9</v>
      </c>
    </row>
    <row r="23" customFormat="false" ht="15" hidden="false" customHeight="false" outlineLevel="0" collapsed="false">
      <c r="A23" s="1" t="n">
        <v>22</v>
      </c>
      <c r="B23" s="2" t="s">
        <v>69</v>
      </c>
      <c r="C23" s="1" t="s">
        <v>69</v>
      </c>
      <c r="D23" s="1" t="s">
        <v>202</v>
      </c>
      <c r="E23" s="1" t="s">
        <v>203</v>
      </c>
      <c r="F23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8" colorId="64" zoomScale="90" zoomScaleNormal="90" zoomScalePageLayoutView="100" workbookViewId="0">
      <selection pane="topLeft" activeCell="F2" activeCellId="0" sqref="F2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</cols>
  <sheetData>
    <row r="1" customFormat="false" ht="15" hidden="false" customHeight="false" outlineLevel="0" collapsed="false">
      <c r="C1" s="1" t="s">
        <v>2</v>
      </c>
      <c r="D1" s="1" t="s">
        <v>79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5</v>
      </c>
      <c r="F2" s="1" t="n">
        <v>1</v>
      </c>
    </row>
    <row r="3" customFormat="false" ht="15" hidden="false" customHeight="false" outlineLevel="0" collapsed="false">
      <c r="A3" s="1" t="n">
        <v>2</v>
      </c>
      <c r="B3" s="2" t="s">
        <v>10</v>
      </c>
      <c r="C3" s="1" t="s">
        <v>10</v>
      </c>
      <c r="D3" s="1" t="s">
        <v>204</v>
      </c>
      <c r="E3" s="1" t="s">
        <v>205</v>
      </c>
      <c r="F3" s="1" t="n">
        <v>9</v>
      </c>
    </row>
    <row r="4" customFormat="false" ht="15" hidden="false" customHeight="false" outlineLevel="0" collapsed="false">
      <c r="A4" s="1" t="n">
        <v>3</v>
      </c>
      <c r="B4" s="2" t="s">
        <v>13</v>
      </c>
      <c r="F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s">
        <v>206</v>
      </c>
      <c r="E5" s="1" t="s">
        <v>207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208</v>
      </c>
      <c r="E8" s="1" t="s">
        <v>209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210</v>
      </c>
      <c r="E9" s="1" t="s">
        <v>211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212</v>
      </c>
      <c r="E10" s="1" t="s">
        <v>213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36</v>
      </c>
      <c r="F11" s="1" t="n">
        <v>1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214</v>
      </c>
      <c r="E12" s="1" t="s">
        <v>215</v>
      </c>
      <c r="F12" s="1" t="n">
        <v>7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216</v>
      </c>
      <c r="E13" s="1" t="s">
        <v>217</v>
      </c>
      <c r="F13" s="1" t="n">
        <v>7</v>
      </c>
    </row>
    <row r="14" customFormat="false" ht="15" hidden="false" customHeight="false" outlineLevel="0" collapsed="false">
      <c r="A14" s="1" t="n">
        <v>13</v>
      </c>
      <c r="B14" s="2" t="s">
        <v>45</v>
      </c>
      <c r="F14" s="1" t="n">
        <v>1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218</v>
      </c>
      <c r="E15" s="1" t="s">
        <v>219</v>
      </c>
      <c r="F15" s="1" t="n">
        <v>7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220</v>
      </c>
      <c r="E16" s="1" t="s">
        <v>221</v>
      </c>
      <c r="F16" s="1" t="n">
        <v>1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F18" s="1" t="n">
        <v>1</v>
      </c>
    </row>
    <row r="19" customFormat="false" ht="15" hidden="false" customHeight="false" outlineLevel="0" collapsed="false">
      <c r="A19" s="1" t="n">
        <v>18</v>
      </c>
      <c r="B19" s="2" t="s">
        <v>78</v>
      </c>
      <c r="F19" s="1" t="n">
        <v>1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222</v>
      </c>
      <c r="E20" s="1" t="s">
        <v>223</v>
      </c>
      <c r="F20" s="1" t="n">
        <v>1</v>
      </c>
    </row>
    <row r="21" customFormat="false" ht="15" hidden="false" customHeight="false" outlineLevel="0" collapsed="false">
      <c r="A21" s="1" t="n">
        <v>20</v>
      </c>
      <c r="B21" s="2" t="s">
        <v>63</v>
      </c>
      <c r="F21" s="1" t="n">
        <v>1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224</v>
      </c>
      <c r="E22" s="1" t="s">
        <v>225</v>
      </c>
      <c r="F22" s="1" t="n">
        <v>10</v>
      </c>
    </row>
    <row r="23" customFormat="false" ht="15" hidden="false" customHeight="false" outlineLevel="0" collapsed="false">
      <c r="C23" s="1" t="s">
        <v>66</v>
      </c>
      <c r="D23" s="1" t="s">
        <v>226</v>
      </c>
      <c r="E23" s="1" t="s">
        <v>227</v>
      </c>
      <c r="F23" s="1" t="n">
        <v>6</v>
      </c>
    </row>
    <row r="24" customFormat="false" ht="15" hidden="false" customHeight="false" outlineLevel="0" collapsed="false">
      <c r="A24" s="1" t="n">
        <v>22</v>
      </c>
      <c r="B24" s="2" t="s">
        <v>69</v>
      </c>
      <c r="F24" s="1" t="n">
        <v>1</v>
      </c>
    </row>
    <row r="25" customFormat="false" ht="15" hidden="false" customHeight="false" outlineLevel="0" collapsed="false">
      <c r="F25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13" activeCellId="0" sqref="G13"/>
    </sheetView>
  </sheetViews>
  <sheetFormatPr defaultColWidth="9.59765625" defaultRowHeight="15" zeroHeight="false" outlineLevelRow="0" outlineLevelCol="0"/>
  <cols>
    <col collapsed="false" customWidth="true" hidden="false" outlineLevel="0" max="1" min="1" style="1" width="15.56"/>
    <col collapsed="false" customWidth="true" hidden="false" outlineLevel="0" max="2" min="2" style="1" width="22.56"/>
    <col collapsed="false" customWidth="true" hidden="false" outlineLevel="0" max="3" min="3" style="1" width="21.19"/>
  </cols>
  <sheetData>
    <row r="1" customFormat="false" ht="15" hidden="false" customHeight="false" outlineLevel="0" collapsed="false">
      <c r="A1" s="1" t="s">
        <v>2</v>
      </c>
      <c r="B1" s="1" t="s">
        <v>79</v>
      </c>
      <c r="C1" s="1" t="s">
        <v>80</v>
      </c>
      <c r="D1" s="1" t="s">
        <v>125</v>
      </c>
      <c r="E1" s="1" t="s">
        <v>82</v>
      </c>
      <c r="F1" s="1" t="s">
        <v>83</v>
      </c>
      <c r="G1" s="1" t="s">
        <v>84</v>
      </c>
    </row>
    <row r="2" customFormat="false" ht="15" hidden="false" customHeight="false" outlineLevel="0" collapsed="false">
      <c r="A2" s="1" t="s">
        <v>5</v>
      </c>
      <c r="B2" s="1" t="s">
        <v>228</v>
      </c>
      <c r="C2" s="1" t="s">
        <v>229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13</v>
      </c>
      <c r="B3" s="1" t="s">
        <v>230</v>
      </c>
      <c r="C3" s="1" t="s">
        <v>231</v>
      </c>
      <c r="D3" s="1" t="n">
        <v>9</v>
      </c>
      <c r="G3" s="1" t="n">
        <v>9</v>
      </c>
    </row>
    <row r="4" customFormat="false" ht="15" hidden="false" customHeight="false" outlineLevel="0" collapsed="false">
      <c r="A4" s="1" t="s">
        <v>24</v>
      </c>
      <c r="B4" s="1" t="s">
        <v>232</v>
      </c>
      <c r="C4" s="1" t="s">
        <v>233</v>
      </c>
      <c r="D4" s="1" t="n">
        <v>6</v>
      </c>
      <c r="E4" s="1" t="n">
        <f aca="false">AVERAGE(D4:D10)</f>
        <v>4.71428571428571</v>
      </c>
      <c r="F4" s="1" t="n">
        <v>5</v>
      </c>
      <c r="G4" s="1" t="n">
        <f aca="false">ROUND(MAX(F4,E4),0)</f>
        <v>5</v>
      </c>
    </row>
    <row r="5" customFormat="false" ht="15" hidden="false" customHeight="false" outlineLevel="0" collapsed="false">
      <c r="A5" s="1" t="s">
        <v>24</v>
      </c>
      <c r="B5" s="1" t="s">
        <v>234</v>
      </c>
      <c r="C5" s="1" t="s">
        <v>235</v>
      </c>
      <c r="D5" s="1" t="n">
        <v>5</v>
      </c>
    </row>
    <row r="6" customFormat="false" ht="15" hidden="false" customHeight="false" outlineLevel="0" collapsed="false">
      <c r="A6" s="1" t="s">
        <v>24</v>
      </c>
      <c r="B6" s="1" t="s">
        <v>236</v>
      </c>
      <c r="C6" s="1" t="s">
        <v>237</v>
      </c>
      <c r="D6" s="1" t="n">
        <v>5</v>
      </c>
    </row>
    <row r="7" customFormat="false" ht="15" hidden="false" customHeight="false" outlineLevel="0" collapsed="false">
      <c r="A7" s="1" t="s">
        <v>24</v>
      </c>
      <c r="B7" s="1" t="s">
        <v>238</v>
      </c>
      <c r="C7" s="1" t="s">
        <v>239</v>
      </c>
      <c r="D7" s="1" t="n">
        <v>5</v>
      </c>
    </row>
    <row r="8" customFormat="false" ht="15" hidden="false" customHeight="false" outlineLevel="0" collapsed="false">
      <c r="A8" s="1" t="s">
        <v>24</v>
      </c>
      <c r="B8" s="1" t="s">
        <v>240</v>
      </c>
      <c r="C8" s="1" t="s">
        <v>241</v>
      </c>
      <c r="D8" s="1" t="n">
        <v>5</v>
      </c>
    </row>
    <row r="9" customFormat="false" ht="15" hidden="false" customHeight="false" outlineLevel="0" collapsed="false">
      <c r="A9" s="1" t="s">
        <v>24</v>
      </c>
      <c r="B9" s="1" t="s">
        <v>242</v>
      </c>
      <c r="C9" s="1" t="s">
        <v>239</v>
      </c>
      <c r="D9" s="1" t="n">
        <v>4</v>
      </c>
    </row>
    <row r="10" customFormat="false" ht="15" hidden="false" customHeight="false" outlineLevel="0" collapsed="false">
      <c r="A10" s="1" t="s">
        <v>24</v>
      </c>
      <c r="B10" s="1" t="s">
        <v>243</v>
      </c>
      <c r="C10" s="1" t="s">
        <v>244</v>
      </c>
      <c r="D10" s="1" t="n">
        <v>3</v>
      </c>
    </row>
    <row r="11" customFormat="false" ht="15" hidden="false" customHeight="false" outlineLevel="0" collapsed="false">
      <c r="A11" s="1" t="s">
        <v>51</v>
      </c>
      <c r="B11" s="1" t="s">
        <v>245</v>
      </c>
      <c r="C11" s="1" t="s">
        <v>246</v>
      </c>
      <c r="D11" s="1" t="n">
        <v>7</v>
      </c>
      <c r="G11" s="1" t="n">
        <v>7</v>
      </c>
    </row>
    <row r="12" customFormat="false" ht="15" hidden="false" customHeight="false" outlineLevel="0" collapsed="false">
      <c r="A12" s="1" t="s">
        <v>57</v>
      </c>
      <c r="B12" s="1" t="s">
        <v>236</v>
      </c>
      <c r="C12" s="1" t="s">
        <v>247</v>
      </c>
      <c r="D12" s="1" t="n">
        <v>6</v>
      </c>
      <c r="G12" s="1" t="n">
        <v>6</v>
      </c>
    </row>
    <row r="13" customFormat="false" ht="15" hidden="false" customHeight="false" outlineLevel="0" collapsed="false">
      <c r="A13" s="1" t="s">
        <v>63</v>
      </c>
      <c r="B13" s="1" t="s">
        <v>248</v>
      </c>
      <c r="C13" s="1" t="s">
        <v>127</v>
      </c>
      <c r="D13" s="1" t="n">
        <v>5</v>
      </c>
      <c r="G13" s="1" t="n">
        <v>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B1" colorId="64" zoomScale="90" zoomScaleNormal="90" zoomScalePageLayoutView="100" workbookViewId="0">
      <selection pane="topLeft" activeCell="I27" activeCellId="0" sqref="I27"/>
    </sheetView>
  </sheetViews>
  <sheetFormatPr defaultColWidth="9.44921875" defaultRowHeight="12.8" zeroHeight="false" outlineLevelRow="0" outlineLevelCol="0"/>
  <cols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16.35"/>
    <col collapsed="false" customWidth="true" hidden="false" outlineLevel="0" max="5" min="5" style="1" width="21.19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80</v>
      </c>
      <c r="F1" s="1" t="s">
        <v>81</v>
      </c>
      <c r="G1" s="1" t="s">
        <v>82</v>
      </c>
      <c r="H1" s="1" t="s">
        <v>83</v>
      </c>
      <c r="I1" s="1" t="s">
        <v>84</v>
      </c>
    </row>
    <row r="2" customFormat="false" ht="15" hidden="false" customHeight="false" outlineLevel="0" collapsed="false">
      <c r="A2" s="1" t="n">
        <v>1</v>
      </c>
      <c r="B2" s="2" t="s">
        <v>5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10</v>
      </c>
      <c r="C3" s="1" t="s">
        <v>10</v>
      </c>
      <c r="D3" s="1" t="s">
        <v>9</v>
      </c>
      <c r="E3" s="1" t="s">
        <v>249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13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s">
        <v>15</v>
      </c>
      <c r="E5" s="1" t="s">
        <v>250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26</v>
      </c>
      <c r="E8" s="1" t="s">
        <v>251</v>
      </c>
      <c r="F8" s="1" t="n">
        <v>6</v>
      </c>
      <c r="I8" s="1" t="n">
        <v>6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29</v>
      </c>
      <c r="E9" s="1" t="s">
        <v>252</v>
      </c>
      <c r="F9" s="1" t="n">
        <v>10</v>
      </c>
      <c r="G9" s="1" t="n">
        <f aca="false">AVERAGE(F9:F10)</f>
        <v>9.5</v>
      </c>
      <c r="H9" s="1" t="n">
        <v>9</v>
      </c>
      <c r="I9" s="1" t="n">
        <f aca="false">ROUND(MAX(H9,G9),0)</f>
        <v>10</v>
      </c>
    </row>
    <row r="10" customFormat="false" ht="15" hidden="false" customHeight="false" outlineLevel="0" collapsed="false">
      <c r="C10" s="1" t="s">
        <v>30</v>
      </c>
      <c r="D10" s="1" t="s">
        <v>29</v>
      </c>
      <c r="E10" s="1" t="s">
        <v>211</v>
      </c>
      <c r="F10" s="1" t="n">
        <v>9</v>
      </c>
    </row>
    <row r="11" customFormat="false" ht="15" hidden="false" customHeight="false" outlineLevel="0" collapsed="false">
      <c r="A11" s="1" t="n">
        <v>9</v>
      </c>
      <c r="B11" s="2" t="s">
        <v>33</v>
      </c>
      <c r="C11" s="1" t="s">
        <v>33</v>
      </c>
      <c r="D11" s="1" t="s">
        <v>32</v>
      </c>
      <c r="E11" s="1" t="s">
        <v>253</v>
      </c>
      <c r="F11" s="1" t="n">
        <v>7</v>
      </c>
      <c r="G11" s="1" t="n">
        <f aca="false">AVERAGE(F11:F12)</f>
        <v>6.5</v>
      </c>
      <c r="H11" s="1" t="n">
        <v>6</v>
      </c>
      <c r="I11" s="1" t="n">
        <f aca="false">ROUND(MAX(H11,G11),0)</f>
        <v>7</v>
      </c>
    </row>
    <row r="12" customFormat="false" ht="15" hidden="false" customHeight="false" outlineLevel="0" collapsed="false">
      <c r="C12" s="1" t="s">
        <v>33</v>
      </c>
      <c r="D12" s="1" t="s">
        <v>32</v>
      </c>
      <c r="E12" s="1" t="s">
        <v>254</v>
      </c>
      <c r="F12" s="1" t="n">
        <v>6</v>
      </c>
    </row>
    <row r="13" customFormat="false" ht="15" hidden="false" customHeight="false" outlineLevel="0" collapsed="false">
      <c r="A13" s="1" t="n">
        <v>10</v>
      </c>
      <c r="B13" s="2" t="s">
        <v>36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39</v>
      </c>
      <c r="C14" s="1" t="s">
        <v>39</v>
      </c>
      <c r="D14" s="1" t="s">
        <v>38</v>
      </c>
      <c r="E14" s="1" t="s">
        <v>255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42</v>
      </c>
      <c r="C15" s="1" t="s">
        <v>42</v>
      </c>
      <c r="D15" s="1" t="s">
        <v>41</v>
      </c>
      <c r="E15" s="1" t="s">
        <v>256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13</v>
      </c>
      <c r="B16" s="2" t="s">
        <v>45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48</v>
      </c>
      <c r="C17" s="1" t="s">
        <v>48</v>
      </c>
      <c r="D17" s="1" t="s">
        <v>47</v>
      </c>
      <c r="E17" s="1" t="s">
        <v>257</v>
      </c>
      <c r="F17" s="1" t="n">
        <v>6</v>
      </c>
      <c r="I17" s="1" t="n">
        <v>6</v>
      </c>
    </row>
    <row r="18" customFormat="false" ht="15" hidden="false" customHeight="false" outlineLevel="0" collapsed="false">
      <c r="A18" s="1" t="n">
        <v>15</v>
      </c>
      <c r="B18" s="2" t="s">
        <v>51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54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57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78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60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63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66</v>
      </c>
      <c r="C24" s="1" t="s">
        <v>66</v>
      </c>
      <c r="D24" s="1" t="s">
        <v>65</v>
      </c>
      <c r="E24" s="1" t="s">
        <v>258</v>
      </c>
      <c r="F24" s="1" t="n">
        <v>7</v>
      </c>
      <c r="G24" s="1" t="n">
        <f aca="false">AVERAGE(F24:F26)</f>
        <v>5.66666666666667</v>
      </c>
      <c r="H24" s="1" t="n">
        <v>5</v>
      </c>
      <c r="I24" s="1" t="n">
        <f aca="false">ROUND(MAX(H24,G24),0)</f>
        <v>6</v>
      </c>
    </row>
    <row r="25" customFormat="false" ht="15" hidden="false" customHeight="false" outlineLevel="0" collapsed="false">
      <c r="C25" s="1" t="s">
        <v>66</v>
      </c>
      <c r="D25" s="1" t="s">
        <v>65</v>
      </c>
      <c r="E25" s="1" t="s">
        <v>259</v>
      </c>
      <c r="F25" s="1" t="n">
        <v>5</v>
      </c>
    </row>
    <row r="26" customFormat="false" ht="15" hidden="false" customHeight="false" outlineLevel="0" collapsed="false">
      <c r="C26" s="1" t="s">
        <v>66</v>
      </c>
      <c r="D26" s="1" t="s">
        <v>65</v>
      </c>
      <c r="E26" s="1" t="s">
        <v>260</v>
      </c>
      <c r="F26" s="1" t="n">
        <v>5</v>
      </c>
    </row>
    <row r="27" customFormat="false" ht="15" hidden="false" customHeight="false" outlineLevel="0" collapsed="false">
      <c r="A27" s="1" t="n">
        <v>22</v>
      </c>
      <c r="B27" s="2" t="s">
        <v>69</v>
      </c>
      <c r="F27" s="1" t="n">
        <v>1</v>
      </c>
      <c r="I27" s="1" t="n">
        <v>1</v>
      </c>
    </row>
    <row r="28" customFormat="false" ht="15" hidden="false" customHeight="false" outlineLevel="0" collapsed="false">
      <c r="G28" s="1" t="s">
        <v>74</v>
      </c>
      <c r="I28" s="1" t="n">
        <f aca="false">COUNTIF(I2:I27,"&gt;0")</f>
        <v>22</v>
      </c>
    </row>
    <row r="29" customFormat="false" ht="15" hidden="false" customHeight="false" outlineLevel="0" collapsed="false"/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2" activeCellId="0" sqref="F2"/>
    </sheetView>
  </sheetViews>
  <sheetFormatPr defaultColWidth="9.44921875" defaultRowHeight="12.8" zeroHeight="false" outlineLevelRow="0" outlineLevelCol="0"/>
  <cols>
    <col collapsed="false" customWidth="true" hidden="false" outlineLevel="0" max="1" min="1" style="1" width="3.32"/>
    <col collapsed="false" customWidth="true" hidden="false" outlineLevel="0" max="4" min="2" style="1" width="20.2"/>
    <col collapsed="false" customWidth="true" hidden="false" outlineLevel="0" max="5" min="5" style="1" width="21.95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80</v>
      </c>
      <c r="F1" s="1" t="s">
        <v>81</v>
      </c>
    </row>
    <row r="2" customFormat="false" ht="15" hidden="false" customHeight="false" outlineLevel="0" collapsed="false">
      <c r="A2" s="1" t="n">
        <v>1</v>
      </c>
      <c r="B2" s="2" t="s">
        <v>5</v>
      </c>
      <c r="C2" s="1" t="s">
        <v>5</v>
      </c>
      <c r="D2" s="1" t="s">
        <v>4</v>
      </c>
      <c r="E2" s="1" t="s">
        <v>261</v>
      </c>
      <c r="F2" s="1" t="n">
        <v>8.5</v>
      </c>
    </row>
    <row r="3" customFormat="false" ht="15" hidden="false" customHeight="false" outlineLevel="0" collapsed="false">
      <c r="A3" s="1" t="n">
        <v>2</v>
      </c>
      <c r="B3" s="2" t="s">
        <v>10</v>
      </c>
      <c r="C3" s="1" t="s">
        <v>10</v>
      </c>
      <c r="D3" s="1" t="s">
        <v>9</v>
      </c>
      <c r="E3" s="1" t="s">
        <v>262</v>
      </c>
      <c r="F3" s="1" t="n">
        <v>7</v>
      </c>
    </row>
    <row r="4" customFormat="false" ht="15" hidden="false" customHeight="false" outlineLevel="0" collapsed="false">
      <c r="A4" s="1" t="n">
        <v>3</v>
      </c>
      <c r="B4" s="2" t="s">
        <v>13</v>
      </c>
      <c r="C4" s="1" t="s">
        <v>13</v>
      </c>
      <c r="D4" s="1" t="s">
        <v>12</v>
      </c>
      <c r="E4" s="1" t="s">
        <v>263</v>
      </c>
      <c r="F4" s="1" t="n">
        <v>9</v>
      </c>
    </row>
    <row r="5" customFormat="false" ht="15" hidden="false" customHeight="false" outlineLevel="0" collapsed="false">
      <c r="A5" s="1" t="n">
        <v>4</v>
      </c>
      <c r="B5" s="2" t="s">
        <v>16</v>
      </c>
      <c r="C5" s="1" t="s">
        <v>16</v>
      </c>
      <c r="D5" s="1" t="s">
        <v>15</v>
      </c>
      <c r="E5" s="1" t="s">
        <v>264</v>
      </c>
      <c r="F5" s="1" t="n">
        <v>9</v>
      </c>
    </row>
    <row r="6" customFormat="false" ht="15" hidden="false" customHeight="false" outlineLevel="0" collapsed="false">
      <c r="A6" s="1" t="n">
        <v>5</v>
      </c>
      <c r="B6" s="2" t="s">
        <v>20</v>
      </c>
      <c r="F6" s="1" t="n">
        <v>1</v>
      </c>
    </row>
    <row r="7" customFormat="false" ht="15" hidden="false" customHeight="false" outlineLevel="0" collapsed="false">
      <c r="A7" s="1" t="n">
        <v>6</v>
      </c>
      <c r="B7" s="2" t="s">
        <v>24</v>
      </c>
      <c r="C7" s="1" t="s">
        <v>24</v>
      </c>
      <c r="D7" s="1" t="s">
        <v>23</v>
      </c>
      <c r="E7" s="1" t="s">
        <v>265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27</v>
      </c>
      <c r="C8" s="1" t="s">
        <v>27</v>
      </c>
      <c r="D8" s="1" t="s">
        <v>26</v>
      </c>
      <c r="E8" s="1" t="s">
        <v>266</v>
      </c>
      <c r="F8" s="1" t="n">
        <v>8.75</v>
      </c>
    </row>
    <row r="9" customFormat="false" ht="15" hidden="false" customHeight="false" outlineLevel="0" collapsed="false">
      <c r="A9" s="1" t="n">
        <v>8</v>
      </c>
      <c r="B9" s="2" t="s">
        <v>30</v>
      </c>
      <c r="C9" s="1" t="s">
        <v>30</v>
      </c>
      <c r="D9" s="1" t="s">
        <v>29</v>
      </c>
      <c r="E9" s="1" t="s">
        <v>267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33</v>
      </c>
      <c r="C10" s="1" t="s">
        <v>33</v>
      </c>
      <c r="D10" s="1" t="s">
        <v>32</v>
      </c>
      <c r="E10" s="1" t="s">
        <v>268</v>
      </c>
      <c r="F10" s="1" t="n">
        <v>8.75</v>
      </c>
    </row>
    <row r="11" customFormat="false" ht="15" hidden="false" customHeight="false" outlineLevel="0" collapsed="false">
      <c r="A11" s="1" t="n">
        <v>10</v>
      </c>
      <c r="B11" s="2" t="s">
        <v>36</v>
      </c>
      <c r="C11" s="1" t="s">
        <v>36</v>
      </c>
      <c r="D11" s="1" t="s">
        <v>35</v>
      </c>
      <c r="E11" s="1" t="s">
        <v>269</v>
      </c>
      <c r="F11" s="1" t="n">
        <v>8.25</v>
      </c>
    </row>
    <row r="12" customFormat="false" ht="15" hidden="false" customHeight="false" outlineLevel="0" collapsed="false">
      <c r="A12" s="1" t="n">
        <v>11</v>
      </c>
      <c r="B12" s="2" t="s">
        <v>39</v>
      </c>
      <c r="C12" s="1" t="s">
        <v>39</v>
      </c>
      <c r="D12" s="1" t="s">
        <v>38</v>
      </c>
      <c r="E12" s="1" t="s">
        <v>270</v>
      </c>
      <c r="F12" s="1" t="n">
        <v>8.75</v>
      </c>
    </row>
    <row r="13" customFormat="false" ht="15" hidden="false" customHeight="false" outlineLevel="0" collapsed="false">
      <c r="A13" s="1" t="n">
        <v>12</v>
      </c>
      <c r="B13" s="2" t="s">
        <v>42</v>
      </c>
      <c r="C13" s="1" t="s">
        <v>42</v>
      </c>
      <c r="D13" s="1" t="s">
        <v>41</v>
      </c>
      <c r="E13" s="1" t="s">
        <v>271</v>
      </c>
      <c r="F13" s="1" t="n">
        <v>9.5</v>
      </c>
    </row>
    <row r="14" customFormat="false" ht="15" hidden="false" customHeight="false" outlineLevel="0" collapsed="false">
      <c r="A14" s="1" t="n">
        <v>13</v>
      </c>
      <c r="B14" s="2" t="s">
        <v>45</v>
      </c>
      <c r="C14" s="1" t="s">
        <v>45</v>
      </c>
      <c r="D14" s="1" t="s">
        <v>44</v>
      </c>
      <c r="E14" s="1" t="s">
        <v>272</v>
      </c>
      <c r="F14" s="1" t="n">
        <v>7.25</v>
      </c>
    </row>
    <row r="15" customFormat="false" ht="15" hidden="false" customHeight="false" outlineLevel="0" collapsed="false">
      <c r="A15" s="1" t="n">
        <v>14</v>
      </c>
      <c r="B15" s="2" t="s">
        <v>48</v>
      </c>
      <c r="C15" s="1" t="s">
        <v>48</v>
      </c>
      <c r="D15" s="1" t="s">
        <v>47</v>
      </c>
      <c r="E15" s="1" t="s">
        <v>273</v>
      </c>
      <c r="F15" s="1" t="n">
        <v>9.25</v>
      </c>
    </row>
    <row r="16" customFormat="false" ht="15" hidden="false" customHeight="false" outlineLevel="0" collapsed="false">
      <c r="A16" s="1" t="n">
        <v>15</v>
      </c>
      <c r="B16" s="2" t="s">
        <v>51</v>
      </c>
      <c r="C16" s="1" t="s">
        <v>51</v>
      </c>
      <c r="D16" s="1" t="s">
        <v>50</v>
      </c>
      <c r="E16" s="1" t="s">
        <v>274</v>
      </c>
      <c r="F16" s="1" t="n">
        <v>7.25</v>
      </c>
    </row>
    <row r="17" customFormat="false" ht="15" hidden="false" customHeight="false" outlineLevel="0" collapsed="false">
      <c r="A17" s="1" t="n">
        <v>16</v>
      </c>
      <c r="B17" s="2" t="s">
        <v>54</v>
      </c>
      <c r="F17" s="1" t="n">
        <v>1</v>
      </c>
    </row>
    <row r="18" customFormat="false" ht="15" hidden="false" customHeight="false" outlineLevel="0" collapsed="false">
      <c r="A18" s="1" t="n">
        <v>17</v>
      </c>
      <c r="B18" s="2" t="s">
        <v>57</v>
      </c>
      <c r="C18" s="1" t="s">
        <v>57</v>
      </c>
      <c r="D18" s="1" t="s">
        <v>56</v>
      </c>
      <c r="E18" s="1" t="s">
        <v>275</v>
      </c>
      <c r="F18" s="1" t="n">
        <v>9</v>
      </c>
    </row>
    <row r="19" customFormat="false" ht="15" hidden="false" customHeight="false" outlineLevel="0" collapsed="false">
      <c r="A19" s="1" t="n">
        <v>18</v>
      </c>
      <c r="B19" s="2" t="s">
        <v>78</v>
      </c>
      <c r="C19" s="1" t="s">
        <v>78</v>
      </c>
      <c r="D19" s="1" t="s">
        <v>276</v>
      </c>
      <c r="E19" s="1" t="s">
        <v>277</v>
      </c>
      <c r="F19" s="1" t="n">
        <v>8.5</v>
      </c>
    </row>
    <row r="20" customFormat="false" ht="15" hidden="false" customHeight="false" outlineLevel="0" collapsed="false">
      <c r="A20" s="1" t="n">
        <v>19</v>
      </c>
      <c r="B20" s="2" t="s">
        <v>60</v>
      </c>
      <c r="C20" s="1" t="s">
        <v>60</v>
      </c>
      <c r="D20" s="1" t="s">
        <v>59</v>
      </c>
      <c r="E20" s="1" t="s">
        <v>278</v>
      </c>
      <c r="F20" s="1" t="n">
        <v>8.5</v>
      </c>
    </row>
    <row r="21" customFormat="false" ht="15" hidden="false" customHeight="false" outlineLevel="0" collapsed="false">
      <c r="A21" s="1" t="n">
        <v>20</v>
      </c>
      <c r="B21" s="2" t="s">
        <v>63</v>
      </c>
      <c r="C21" s="1" t="s">
        <v>63</v>
      </c>
      <c r="D21" s="1" t="s">
        <v>62</v>
      </c>
      <c r="E21" s="1" t="s">
        <v>279</v>
      </c>
      <c r="F21" s="1" t="n">
        <v>9</v>
      </c>
    </row>
    <row r="22" customFormat="false" ht="15" hidden="false" customHeight="false" outlineLevel="0" collapsed="false">
      <c r="A22" s="1" t="n">
        <v>21</v>
      </c>
      <c r="B22" s="2" t="s">
        <v>66</v>
      </c>
      <c r="C22" s="1" t="s">
        <v>66</v>
      </c>
      <c r="D22" s="1" t="s">
        <v>65</v>
      </c>
      <c r="E22" s="1" t="s">
        <v>280</v>
      </c>
      <c r="F22" s="1" t="n">
        <v>9.25</v>
      </c>
    </row>
    <row r="23" customFormat="false" ht="15" hidden="false" customHeight="false" outlineLevel="0" collapsed="false">
      <c r="A23" s="1" t="n">
        <v>22</v>
      </c>
      <c r="B23" s="2" t="s">
        <v>69</v>
      </c>
      <c r="C23" s="1" t="s">
        <v>69</v>
      </c>
      <c r="D23" s="1" t="s">
        <v>68</v>
      </c>
      <c r="E23" s="1" t="s">
        <v>281</v>
      </c>
      <c r="F23" s="1" t="n">
        <v>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6440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2026-04-28T14:45:58Z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