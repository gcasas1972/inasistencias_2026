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positivos" sheetId="2" state="visible" r:id="rId4"/>
    <sheet name="notas" sheetId="3" state="visible" r:id="rId5"/>
    <sheet name="01-sist opera" sheetId="4" state="visible" r:id="rId6"/>
    <sheet name="02-comanodos" sheetId="5" state="visible" r:id="rId7"/>
    <sheet name="06-git" sheetId="6" state="visible" r:id="rId8"/>
    <sheet name="8-html" sheetId="7" state="visible" r:id="rId9"/>
    <sheet name="Evaluacion" sheetId="8" state="visible" r:id="rId10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<sst xmlns="http://schemas.openxmlformats.org/spreadsheetml/2006/main" count="685" uniqueCount="58">
  <si>
    <t xml:space="preserve">nro</t>
  </si>
  <si>
    <t xml:space="preserve">Apellido(s)</t>
  </si>
  <si>
    <t xml:space="preserve">obs</t>
  </si>
  <si>
    <t xml:space="preserve">presentes</t>
  </si>
  <si>
    <t xml:space="preserve">media</t>
  </si>
  <si>
    <t xml:space="preserve">tarde</t>
  </si>
  <si>
    <t xml:space="preserve">ausentes</t>
  </si>
  <si>
    <t xml:space="preserve">total</t>
  </si>
  <si>
    <t xml:space="preserve">nota</t>
  </si>
  <si>
    <t xml:space="preserve">AMIGO</t>
  </si>
  <si>
    <t xml:space="preserve">P</t>
  </si>
  <si>
    <t xml:space="preserve">T</t>
  </si>
  <si>
    <t xml:space="preserve">A</t>
  </si>
  <si>
    <t xml:space="preserve">ANDRADA BASCOPE</t>
  </si>
  <si>
    <t xml:space="preserve">p</t>
  </si>
  <si>
    <t xml:space="preserve">APURIL</t>
  </si>
  <si>
    <t xml:space="preserve">AYBAR</t>
  </si>
  <si>
    <t xml:space="preserve">bertola galizzi</t>
  </si>
  <si>
    <t xml:space="preserve">BIROCCO FRETES</t>
  </si>
  <si>
    <t xml:space="preserve">BRUNO</t>
  </si>
  <si>
    <t xml:space="preserve">Dellana</t>
  </si>
  <si>
    <t xml:space="preserve">DI FEBO</t>
  </si>
  <si>
    <t xml:space="preserve">Dimeo</t>
  </si>
  <si>
    <t xml:space="preserve">ENGERS GONZALEZ</t>
  </si>
  <si>
    <t xml:space="preserve">GERAGHTY</t>
  </si>
  <si>
    <t xml:space="preserve">Hoyos</t>
  </si>
  <si>
    <t xml:space="preserve">Ibarra Yegro</t>
  </si>
  <si>
    <t xml:space="preserve">LOPEZ BERZA</t>
  </si>
  <si>
    <t xml:space="preserve">MARTINEZ DEL PINO</t>
  </si>
  <si>
    <t xml:space="preserve">MEDINA</t>
  </si>
  <si>
    <t xml:space="preserve">SANTIBAÑEZ RAMÍREZ</t>
  </si>
  <si>
    <t xml:space="preserve">SUAREZ</t>
  </si>
  <si>
    <t xml:space="preserve">VILLCA</t>
  </si>
  <si>
    <t xml:space="preserve">M</t>
  </si>
  <si>
    <t xml:space="preserve">ZARRAGA</t>
  </si>
  <si>
    <t xml:space="preserve">media falta</t>
  </si>
  <si>
    <t xml:space="preserve">notas</t>
  </si>
  <si>
    <t xml:space="preserve">positivos</t>
  </si>
  <si>
    <t xml:space="preserve">RODRIGUEZ MIÑO</t>
  </si>
  <si>
    <t xml:space="preserve">01-siste opera</t>
  </si>
  <si>
    <t xml:space="preserve">Recup</t>
  </si>
  <si>
    <t xml:space="preserve">02-comandos</t>
  </si>
  <si>
    <t xml:space="preserve">06-git</t>
  </si>
  <si>
    <t xml:space="preserve">08-html</t>
  </si>
  <si>
    <t xml:space="preserve">recup</t>
  </si>
  <si>
    <t xml:space="preserve">evaluacion</t>
  </si>
  <si>
    <t xml:space="preserve">Asistencia</t>
  </si>
  <si>
    <t xml:space="preserve">promedio</t>
  </si>
  <si>
    <t xml:space="preserve">Valoracion</t>
  </si>
  <si>
    <t xml:space="preserve">Grupo</t>
  </si>
  <si>
    <t xml:space="preserve">reglamento</t>
  </si>
  <si>
    <t xml:space="preserve">valoreaion</t>
  </si>
  <si>
    <t xml:space="preserve">corregir en planilla</t>
  </si>
  <si>
    <t xml:space="preserve">Calificación/10,00</t>
  </si>
  <si>
    <t xml:space="preserve">segundo</t>
  </si>
  <si>
    <t xml:space="preserve">final</t>
  </si>
  <si>
    <t xml:space="preserve">toal</t>
  </si>
  <si>
    <t xml:space="preserve">totaol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</si>
</sst>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General"/>
    <numFmt numFmtId="167" formatCode="hh:mm:ss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BF00"/>
        <bgColor rgb="FFFF99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BF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DJ27"/>
  <sheetViews>
    <sheetView showFormulas="false" showGridLines="true" showRowColHeaders="true" showZeros="true" rightToLeft="false" tabSelected="true" showOutlineSymbols="true" defaultGridColor="true" view="normal" topLeftCell="A8" colorId="64" zoomScale="80" zoomScaleNormal="80" zoomScalePageLayoutView="100" workbookViewId="0">
      <selection pane="topLeft" activeCell="AE25" activeCellId="0" sqref="AE25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false" hidden="true" outlineLevel="0" max="23" min="3" style="1" width="9.6"/>
    <col collapsed="false" customWidth="true" hidden="false" outlineLevel="0" max="980" min="980" style="1" width="9.33"/>
    <col collapsed="false" customWidth="true" hidden="false" outlineLevel="0" max="16384" min="16338" style="1" width="10.58"/>
  </cols>
  <sheetData>
    <row r="1" customFormat="false" ht="15" hidden="false" customHeight="false" outlineLevel="0" collapsed="false">
      <c r="B1" s="2"/>
    </row>
    <row r="2" customFormat="false" ht="15" hidden="false" customHeight="false" outlineLevel="0" collapsed="false">
      <c r="A2" s="1" t="s">
        <v>0</v>
      </c>
      <c r="B2" s="2" t="s">
        <v>1</v>
      </c>
      <c r="C2" s="3" t="n">
        <v>46091</v>
      </c>
      <c r="D2" s="3" t="n">
        <v>46098</v>
      </c>
      <c r="E2" s="3" t="n">
        <v>46105</v>
      </c>
      <c r="F2" s="3" t="n">
        <v>46140</v>
      </c>
      <c r="G2" s="3" t="n">
        <v>46112</v>
      </c>
      <c r="H2" s="3" t="s">
        <v>2</v>
      </c>
      <c r="I2" s="3" t="n">
        <v>46119</v>
      </c>
      <c r="J2" s="3" t="s">
        <v>2</v>
      </c>
      <c r="K2" s="3" t="n">
        <v>46126</v>
      </c>
      <c r="L2" s="3" t="n">
        <v>46133</v>
      </c>
      <c r="M2" s="3" t="n">
        <v>46154</v>
      </c>
      <c r="N2" s="3" t="n">
        <v>46161</v>
      </c>
      <c r="O2" s="3" t="n">
        <v>46168</v>
      </c>
      <c r="P2" s="3" t="s">
        <v>2</v>
      </c>
      <c r="Q2" s="3" t="s">
        <v>3</v>
      </c>
      <c r="R2" s="3" t="s">
        <v>4</v>
      </c>
      <c r="S2" s="3" t="s">
        <v>5</v>
      </c>
      <c r="T2" s="3" t="s">
        <v>6</v>
      </c>
      <c r="U2" s="3" t="s">
        <v>7</v>
      </c>
      <c r="V2" s="4" t="s">
        <v>8</v>
      </c>
      <c r="W2" s="3" t="n">
        <v>46175</v>
      </c>
      <c r="X2" s="3" t="n">
        <v>46182</v>
      </c>
      <c r="Y2" s="3" t="s">
        <v>2</v>
      </c>
      <c r="Z2" s="3" t="n">
        <v>46189</v>
      </c>
      <c r="AA2" s="3"/>
      <c r="AB2" s="3" t="n">
        <v>46196</v>
      </c>
      <c r="AC2" s="3" t="s">
        <v>2</v>
      </c>
      <c r="AD2" s="3" t="n">
        <v>46217</v>
      </c>
      <c r="AE2" s="3" t="n">
        <v>46238</v>
      </c>
      <c r="AF2" s="3" t="n">
        <v>46245</v>
      </c>
      <c r="AG2" s="3" t="n">
        <v>46252</v>
      </c>
      <c r="AH2" s="3" t="n">
        <v>46259</v>
      </c>
      <c r="AI2" s="3" t="n">
        <v>46266</v>
      </c>
      <c r="AJ2" s="3" t="n">
        <v>46273</v>
      </c>
      <c r="AK2" s="3" t="n">
        <v>46280</v>
      </c>
      <c r="AL2" s="3" t="n">
        <v>46287</v>
      </c>
      <c r="AM2" s="3" t="n">
        <v>46294</v>
      </c>
      <c r="AN2" s="3" t="n">
        <v>46301</v>
      </c>
      <c r="AO2" s="3" t="n">
        <v>46308</v>
      </c>
      <c r="AP2" s="3" t="n">
        <v>46315</v>
      </c>
      <c r="AQ2" s="3" t="n">
        <v>46322</v>
      </c>
      <c r="AR2" s="3" t="n">
        <v>46329</v>
      </c>
      <c r="AS2" s="3" t="n">
        <v>46336</v>
      </c>
      <c r="AT2" s="3" t="n">
        <v>46343</v>
      </c>
      <c r="AU2" s="3" t="n">
        <v>46350</v>
      </c>
      <c r="AV2" s="3" t="n">
        <v>46357</v>
      </c>
      <c r="AW2" s="3" t="n">
        <v>46364</v>
      </c>
      <c r="AX2" s="3" t="n">
        <v>46371</v>
      </c>
      <c r="AY2" s="3" t="n">
        <v>46378</v>
      </c>
    </row>
    <row r="3" s="1" customFormat="true" ht="15" hidden="false" customHeight="false" outlineLevel="0" collapsed="false">
      <c r="A3" s="1" t="n">
        <v>1</v>
      </c>
      <c r="B3" s="2" t="s">
        <v>9</v>
      </c>
      <c r="C3" s="1" t="s">
        <v>10</v>
      </c>
      <c r="D3" s="1" t="s">
        <v>10</v>
      </c>
      <c r="E3" s="1" t="s">
        <v>10</v>
      </c>
      <c r="F3" s="2" t="s">
        <v>11</v>
      </c>
      <c r="G3" s="1" t="s">
        <v>10</v>
      </c>
      <c r="I3" s="1" t="s">
        <v>12</v>
      </c>
      <c r="K3" s="1" t="s">
        <v>10</v>
      </c>
      <c r="L3" s="1" t="s">
        <v>12</v>
      </c>
      <c r="M3" s="2" t="s">
        <v>10</v>
      </c>
      <c r="N3" s="1" t="s">
        <v>10</v>
      </c>
      <c r="O3" s="1" t="s">
        <v>10</v>
      </c>
      <c r="Q3" s="1" t="n">
        <f aca="false">COUNTIF(C3:O3,"P")</f>
        <v>8</v>
      </c>
      <c r="R3" s="1" t="n">
        <f aca="false">COUNTIF(C3:O3,"M")</f>
        <v>0</v>
      </c>
      <c r="S3" s="1" t="n">
        <f aca="false">COUNTIF(C3:O3,"T")</f>
        <v>1</v>
      </c>
      <c r="T3" s="1" t="n">
        <f aca="false">COUNTIF(C3:O3,"A")</f>
        <v>2</v>
      </c>
      <c r="U3" s="1" t="n">
        <f aca="false">SUM(Q3:T3)</f>
        <v>11</v>
      </c>
      <c r="V3" s="5" t="n">
        <f aca="false">ROUND((Q3+R3/2+S3/4)*10/U3,0)</f>
        <v>8</v>
      </c>
      <c r="W3" s="1" t="s">
        <v>12</v>
      </c>
      <c r="X3" s="1" t="s">
        <v>10</v>
      </c>
      <c r="Z3" s="1" t="s">
        <v>10</v>
      </c>
      <c r="AB3" s="1" t="s">
        <v>10</v>
      </c>
      <c r="AD3" s="1" t="s">
        <v>10</v>
      </c>
      <c r="AE3" s="1" t="s">
        <v>10</v>
      </c>
      <c r="AF3" s="1" t="s">
        <v>12</v>
      </c>
    </row>
    <row r="4" s="1" customFormat="true" ht="15" hidden="false" customHeight="false" outlineLevel="0" collapsed="false">
      <c r="A4" s="1" t="n">
        <v>2</v>
      </c>
      <c r="B4" s="2" t="s">
        <v>13</v>
      </c>
      <c r="C4" s="1" t="s">
        <v>10</v>
      </c>
      <c r="D4" s="1" t="s">
        <v>12</v>
      </c>
      <c r="E4" s="1" t="s">
        <v>10</v>
      </c>
      <c r="F4" s="2" t="s">
        <v>10</v>
      </c>
      <c r="G4" s="1" t="s">
        <v>10</v>
      </c>
      <c r="I4" s="1" t="s">
        <v>10</v>
      </c>
      <c r="K4" s="1" t="s">
        <v>10</v>
      </c>
      <c r="L4" s="1" t="s">
        <v>10</v>
      </c>
      <c r="M4" s="2" t="s">
        <v>10</v>
      </c>
      <c r="N4" s="1" t="s">
        <v>10</v>
      </c>
      <c r="O4" s="1" t="s">
        <v>10</v>
      </c>
      <c r="Q4" s="1" t="n">
        <f aca="false">COUNTIF(C4:O4,"P")</f>
        <v>10</v>
      </c>
      <c r="R4" s="1" t="n">
        <f aca="false">COUNTIF(C4:O4,"M")</f>
        <v>0</v>
      </c>
      <c r="S4" s="1" t="n">
        <f aca="false">COUNTIF(C4:O4,"T")</f>
        <v>0</v>
      </c>
      <c r="T4" s="1" t="n">
        <f aca="false">COUNTIF(C4:O4,"A")</f>
        <v>1</v>
      </c>
      <c r="U4" s="1" t="n">
        <f aca="false">SUM(Q4:T4)</f>
        <v>11</v>
      </c>
      <c r="V4" s="5" t="n">
        <f aca="false">ROUND((Q4+R4/2+S4/4)*10/U4,0)</f>
        <v>9</v>
      </c>
      <c r="W4" s="1" t="s">
        <v>10</v>
      </c>
      <c r="X4" s="1" t="s">
        <v>10</v>
      </c>
      <c r="Z4" s="1" t="s">
        <v>10</v>
      </c>
      <c r="AB4" s="1" t="s">
        <v>10</v>
      </c>
      <c r="AD4" s="1" t="s">
        <v>10</v>
      </c>
      <c r="AE4" s="1" t="s">
        <v>14</v>
      </c>
      <c r="AF4" s="1" t="s">
        <v>12</v>
      </c>
    </row>
    <row r="5" s="1" customFormat="true" ht="15" hidden="false" customHeight="false" outlineLevel="0" collapsed="false">
      <c r="A5" s="1" t="n">
        <v>3</v>
      </c>
      <c r="B5" s="2" t="s">
        <v>15</v>
      </c>
      <c r="C5" s="1" t="s">
        <v>10</v>
      </c>
      <c r="D5" s="1" t="s">
        <v>10</v>
      </c>
      <c r="E5" s="1" t="s">
        <v>10</v>
      </c>
      <c r="F5" s="2" t="s">
        <v>10</v>
      </c>
      <c r="G5" s="1" t="s">
        <v>10</v>
      </c>
      <c r="I5" s="1" t="s">
        <v>10</v>
      </c>
      <c r="K5" s="1" t="s">
        <v>10</v>
      </c>
      <c r="L5" s="1" t="s">
        <v>10</v>
      </c>
      <c r="M5" s="2" t="s">
        <v>10</v>
      </c>
      <c r="N5" s="1" t="s">
        <v>10</v>
      </c>
      <c r="O5" s="1" t="s">
        <v>10</v>
      </c>
      <c r="Q5" s="1" t="n">
        <f aca="false">COUNTIF(C5:O5,"P")</f>
        <v>11</v>
      </c>
      <c r="R5" s="1" t="n">
        <f aca="false">COUNTIF(C5:O5,"M")</f>
        <v>0</v>
      </c>
      <c r="S5" s="1" t="n">
        <f aca="false">COUNTIF(C5:O5,"T")</f>
        <v>0</v>
      </c>
      <c r="T5" s="1" t="n">
        <f aca="false">COUNTIF(C5:O5,"A")</f>
        <v>0</v>
      </c>
      <c r="U5" s="1" t="n">
        <f aca="false">SUM(Q5:T5)</f>
        <v>11</v>
      </c>
      <c r="V5" s="5" t="n">
        <f aca="false">ROUND((Q5+R5/2+S5/4)*10/U5,0)</f>
        <v>10</v>
      </c>
      <c r="W5" s="1" t="s">
        <v>10</v>
      </c>
      <c r="X5" s="1" t="s">
        <v>12</v>
      </c>
      <c r="Z5" s="1" t="s">
        <v>10</v>
      </c>
      <c r="AB5" s="1" t="s">
        <v>10</v>
      </c>
      <c r="AD5" s="1" t="s">
        <v>12</v>
      </c>
      <c r="AE5" s="1" t="s">
        <v>12</v>
      </c>
      <c r="AF5" s="1" t="s">
        <v>12</v>
      </c>
    </row>
    <row r="6" s="1" customFormat="true" ht="15" hidden="false" customHeight="false" outlineLevel="0" collapsed="false">
      <c r="A6" s="1" t="n">
        <v>4</v>
      </c>
      <c r="B6" s="2" t="s">
        <v>16</v>
      </c>
      <c r="C6" s="1" t="s">
        <v>10</v>
      </c>
      <c r="D6" s="1" t="s">
        <v>10</v>
      </c>
      <c r="E6" s="1" t="s">
        <v>10</v>
      </c>
      <c r="F6" s="2" t="s">
        <v>14</v>
      </c>
      <c r="G6" s="1" t="s">
        <v>10</v>
      </c>
      <c r="I6" s="1" t="s">
        <v>10</v>
      </c>
      <c r="K6" s="1" t="s">
        <v>10</v>
      </c>
      <c r="L6" s="1" t="s">
        <v>10</v>
      </c>
      <c r="M6" s="2" t="s">
        <v>10</v>
      </c>
      <c r="N6" s="1" t="s">
        <v>10</v>
      </c>
      <c r="O6" s="1" t="s">
        <v>10</v>
      </c>
      <c r="Q6" s="1" t="n">
        <f aca="false">COUNTIF(C6:O6,"P")</f>
        <v>11</v>
      </c>
      <c r="R6" s="1" t="n">
        <f aca="false">COUNTIF(C6:O6,"M")</f>
        <v>0</v>
      </c>
      <c r="S6" s="1" t="n">
        <f aca="false">COUNTIF(C6:O6,"T")</f>
        <v>0</v>
      </c>
      <c r="T6" s="1" t="n">
        <f aca="false">COUNTIF(C6:O6,"A")</f>
        <v>0</v>
      </c>
      <c r="U6" s="1" t="n">
        <f aca="false">SUM(Q6:T6)</f>
        <v>11</v>
      </c>
      <c r="V6" s="5" t="n">
        <f aca="false">ROUND((Q6+R6/2+S6/4)*10/U6,0)</f>
        <v>10</v>
      </c>
      <c r="W6" s="1" t="s">
        <v>10</v>
      </c>
      <c r="X6" s="1" t="s">
        <v>10</v>
      </c>
      <c r="Z6" s="1" t="s">
        <v>10</v>
      </c>
      <c r="AB6" s="1" t="s">
        <v>10</v>
      </c>
      <c r="AD6" s="1" t="s">
        <v>10</v>
      </c>
      <c r="AE6" s="1" t="s">
        <v>10</v>
      </c>
      <c r="AF6" s="1" t="s">
        <v>12</v>
      </c>
    </row>
    <row r="7" s="1" customFormat="true" ht="15" hidden="false" customHeight="false" outlineLevel="0" collapsed="false">
      <c r="A7" s="1" t="n">
        <v>5</v>
      </c>
      <c r="B7" s="2" t="s">
        <v>17</v>
      </c>
      <c r="C7" s="1" t="s">
        <v>10</v>
      </c>
      <c r="D7" s="1" t="s">
        <v>10</v>
      </c>
      <c r="E7" s="1" t="s">
        <v>10</v>
      </c>
      <c r="F7" s="2" t="s">
        <v>12</v>
      </c>
      <c r="G7" s="1" t="s">
        <v>11</v>
      </c>
      <c r="H7" s="6" t="n">
        <v>0.534722222222222</v>
      </c>
      <c r="I7" s="1" t="s">
        <v>12</v>
      </c>
      <c r="K7" s="1" t="s">
        <v>10</v>
      </c>
      <c r="L7" s="1" t="s">
        <v>10</v>
      </c>
      <c r="M7" s="2" t="s">
        <v>12</v>
      </c>
      <c r="N7" s="1" t="s">
        <v>12</v>
      </c>
      <c r="O7" s="1" t="s">
        <v>11</v>
      </c>
      <c r="P7" s="6" t="n">
        <v>0.5625</v>
      </c>
      <c r="Q7" s="1" t="n">
        <f aca="false">COUNTIF(C7:O7,"P")</f>
        <v>5</v>
      </c>
      <c r="R7" s="1" t="n">
        <f aca="false">COUNTIF(C7:O7,"M")</f>
        <v>0</v>
      </c>
      <c r="S7" s="1" t="n">
        <f aca="false">COUNTIF(C7:O7,"T")</f>
        <v>2</v>
      </c>
      <c r="T7" s="1" t="n">
        <f aca="false">COUNTIF(C7:O7,"A")</f>
        <v>4</v>
      </c>
      <c r="U7" s="1" t="n">
        <f aca="false">SUM(Q7:T7)</f>
        <v>11</v>
      </c>
      <c r="V7" s="5" t="n">
        <f aca="false">ROUND((Q7+R7/2+S7/4)*10/U7,0)</f>
        <v>5</v>
      </c>
      <c r="W7" s="1" t="s">
        <v>12</v>
      </c>
      <c r="X7" s="1" t="s">
        <v>10</v>
      </c>
      <c r="Z7" s="1" t="s">
        <v>12</v>
      </c>
      <c r="AB7" s="1" t="s">
        <v>12</v>
      </c>
      <c r="AD7" s="1" t="s">
        <v>12</v>
      </c>
      <c r="AE7" s="1" t="s">
        <v>12</v>
      </c>
      <c r="AF7" s="1" t="s">
        <v>12</v>
      </c>
    </row>
    <row r="8" s="2" customFormat="true" ht="15" hidden="false" customHeight="false" outlineLevel="0" collapsed="false">
      <c r="A8" s="1" t="n">
        <v>6</v>
      </c>
      <c r="B8" s="2" t="s">
        <v>18</v>
      </c>
      <c r="C8" s="1" t="s">
        <v>10</v>
      </c>
      <c r="D8" s="2" t="s">
        <v>10</v>
      </c>
      <c r="E8" s="1" t="s">
        <v>10</v>
      </c>
      <c r="F8" s="1" t="s">
        <v>12</v>
      </c>
      <c r="G8" s="2" t="s">
        <v>11</v>
      </c>
      <c r="H8" s="7" t="n">
        <v>0.5</v>
      </c>
      <c r="I8" s="1" t="s">
        <v>10</v>
      </c>
      <c r="J8" s="1"/>
      <c r="K8" s="2" t="s">
        <v>10</v>
      </c>
      <c r="L8" s="2" t="s">
        <v>10</v>
      </c>
      <c r="M8" s="1" t="s">
        <v>10</v>
      </c>
      <c r="N8" s="1" t="s">
        <v>10</v>
      </c>
      <c r="O8" s="2" t="s">
        <v>10</v>
      </c>
      <c r="Q8" s="1" t="n">
        <f aca="false">COUNTIF(C8:O8,"P")</f>
        <v>9</v>
      </c>
      <c r="R8" s="1" t="n">
        <f aca="false">COUNTIF(C8:O8,"M")</f>
        <v>0</v>
      </c>
      <c r="S8" s="1" t="n">
        <f aca="false">COUNTIF(C8:O8,"T")</f>
        <v>1</v>
      </c>
      <c r="T8" s="1" t="n">
        <f aca="false">COUNTIF(C8:O8,"A")</f>
        <v>1</v>
      </c>
      <c r="U8" s="1" t="n">
        <f aca="false">SUM(Q8:T8)</f>
        <v>11</v>
      </c>
      <c r="V8" s="5" t="n">
        <f aca="false">ROUND((Q8+R8/2+S8/4)*10/U8,0)</f>
        <v>8</v>
      </c>
      <c r="W8" s="2" t="s">
        <v>10</v>
      </c>
      <c r="X8" s="2" t="s">
        <v>10</v>
      </c>
      <c r="Z8" s="1" t="s">
        <v>10</v>
      </c>
      <c r="AA8" s="1"/>
      <c r="AB8" s="2" t="s">
        <v>10</v>
      </c>
      <c r="AD8" s="2" t="s">
        <v>10</v>
      </c>
      <c r="AE8" s="2" t="s">
        <v>10</v>
      </c>
      <c r="AF8" s="1" t="s">
        <v>12</v>
      </c>
      <c r="AKR8" s="1"/>
      <c r="AKS8" s="1"/>
      <c r="AKT8" s="1"/>
      <c r="AKU8" s="1"/>
      <c r="AKV8" s="1"/>
      <c r="AKW8" s="1"/>
      <c r="AKX8" s="1"/>
      <c r="AKY8" s="1"/>
      <c r="AKZ8" s="1"/>
      <c r="ALA8" s="1"/>
      <c r="ALB8" s="1"/>
      <c r="ALC8" s="1"/>
      <c r="ALD8" s="1"/>
      <c r="ALE8" s="1"/>
      <c r="ALF8" s="1"/>
      <c r="ALG8" s="1"/>
      <c r="ALH8" s="1"/>
      <c r="ALI8" s="1"/>
      <c r="ALJ8" s="1"/>
      <c r="ALK8" s="1"/>
      <c r="ALL8" s="1"/>
      <c r="ALM8" s="1"/>
      <c r="ALN8" s="1"/>
      <c r="ALO8" s="1"/>
      <c r="ALP8" s="1"/>
      <c r="ALQ8" s="1"/>
      <c r="ALR8" s="1"/>
      <c r="ALS8" s="1"/>
      <c r="ALT8" s="1"/>
      <c r="ALU8" s="1"/>
      <c r="ALV8" s="1"/>
      <c r="ALW8" s="1"/>
      <c r="ALX8" s="1"/>
      <c r="ALY8" s="1"/>
      <c r="ALZ8" s="1"/>
      <c r="AMA8" s="1"/>
      <c r="AMB8" s="1"/>
      <c r="AMC8" s="1"/>
      <c r="AMD8" s="1"/>
      <c r="AME8" s="1"/>
      <c r="AMF8" s="1"/>
      <c r="AMG8" s="1"/>
      <c r="AMH8" s="1"/>
      <c r="AMI8" s="1"/>
      <c r="AMJ8" s="1"/>
      <c r="AMK8" s="1"/>
      <c r="AML8" s="1"/>
      <c r="AMM8" s="1"/>
      <c r="AMN8" s="1"/>
      <c r="AMO8" s="1"/>
      <c r="AMP8" s="1"/>
      <c r="AMQ8" s="1"/>
      <c r="AMR8" s="1"/>
      <c r="AMS8" s="1"/>
      <c r="AMT8" s="1"/>
      <c r="XDJ8" s="1"/>
    </row>
    <row r="9" s="1" customFormat="true" ht="15" hidden="false" customHeight="false" outlineLevel="0" collapsed="false">
      <c r="A9" s="1" t="n">
        <v>7</v>
      </c>
      <c r="B9" s="2" t="s">
        <v>19</v>
      </c>
      <c r="C9" s="1" t="s">
        <v>10</v>
      </c>
      <c r="D9" s="1" t="s">
        <v>10</v>
      </c>
      <c r="E9" s="1" t="s">
        <v>10</v>
      </c>
      <c r="F9" s="2" t="s">
        <v>10</v>
      </c>
      <c r="G9" s="1" t="s">
        <v>10</v>
      </c>
      <c r="I9" s="1" t="s">
        <v>10</v>
      </c>
      <c r="K9" s="1" t="s">
        <v>10</v>
      </c>
      <c r="L9" s="1" t="s">
        <v>10</v>
      </c>
      <c r="M9" s="2" t="s">
        <v>10</v>
      </c>
      <c r="N9" s="1" t="s">
        <v>10</v>
      </c>
      <c r="O9" s="1" t="s">
        <v>10</v>
      </c>
      <c r="Q9" s="1" t="n">
        <f aca="false">COUNTIF(C9:O9,"P")</f>
        <v>11</v>
      </c>
      <c r="R9" s="1" t="n">
        <f aca="false">COUNTIF(C9:O9,"M")</f>
        <v>0</v>
      </c>
      <c r="S9" s="1" t="n">
        <f aca="false">COUNTIF(C9:O9,"T")</f>
        <v>0</v>
      </c>
      <c r="T9" s="1" t="n">
        <f aca="false">COUNTIF(C9:O9,"A")</f>
        <v>0</v>
      </c>
      <c r="U9" s="1" t="n">
        <f aca="false">SUM(Q9:T9)</f>
        <v>11</v>
      </c>
      <c r="V9" s="5" t="n">
        <f aca="false">ROUND((Q9+R9/2+S9/4)*10/U9,0)</f>
        <v>10</v>
      </c>
      <c r="W9" s="1" t="s">
        <v>10</v>
      </c>
      <c r="X9" s="1" t="s">
        <v>11</v>
      </c>
      <c r="Y9" s="6" t="n">
        <v>0.541666666666667</v>
      </c>
      <c r="Z9" s="1" t="s">
        <v>11</v>
      </c>
      <c r="AA9" s="6" t="n">
        <v>0.555555555555556</v>
      </c>
      <c r="AB9" s="1" t="s">
        <v>10</v>
      </c>
      <c r="AD9" s="1" t="s">
        <v>10</v>
      </c>
      <c r="AE9" s="1" t="s">
        <v>10</v>
      </c>
      <c r="AF9" s="1" t="s">
        <v>12</v>
      </c>
    </row>
    <row r="10" s="1" customFormat="true" ht="15" hidden="false" customHeight="false" outlineLevel="0" collapsed="false">
      <c r="A10" s="1" t="n">
        <v>8</v>
      </c>
      <c r="B10" s="2" t="s">
        <v>20</v>
      </c>
      <c r="C10" s="1" t="s">
        <v>10</v>
      </c>
      <c r="D10" s="1" t="s">
        <v>10</v>
      </c>
      <c r="E10" s="1" t="s">
        <v>10</v>
      </c>
      <c r="F10" s="2" t="s">
        <v>10</v>
      </c>
      <c r="G10" s="1" t="s">
        <v>10</v>
      </c>
      <c r="I10" s="1" t="s">
        <v>10</v>
      </c>
      <c r="K10" s="1" t="s">
        <v>10</v>
      </c>
      <c r="L10" s="1" t="s">
        <v>10</v>
      </c>
      <c r="M10" s="2" t="s">
        <v>10</v>
      </c>
      <c r="N10" s="1" t="s">
        <v>10</v>
      </c>
      <c r="O10" s="1" t="s">
        <v>10</v>
      </c>
      <c r="Q10" s="1" t="n">
        <f aca="false">COUNTIF(C10:O10,"P")</f>
        <v>11</v>
      </c>
      <c r="R10" s="1" t="n">
        <f aca="false">COUNTIF(C10:O10,"M")</f>
        <v>0</v>
      </c>
      <c r="S10" s="1" t="n">
        <f aca="false">COUNTIF(C10:O10,"T")</f>
        <v>0</v>
      </c>
      <c r="T10" s="1" t="n">
        <f aca="false">COUNTIF(C10:O10,"A")</f>
        <v>0</v>
      </c>
      <c r="U10" s="1" t="n">
        <f aca="false">SUM(Q10:T10)</f>
        <v>11</v>
      </c>
      <c r="V10" s="5" t="n">
        <f aca="false">ROUND((Q10+R10/2+S10/4)*10/U10,0)</f>
        <v>10</v>
      </c>
      <c r="W10" s="1" t="s">
        <v>10</v>
      </c>
      <c r="X10" s="1" t="s">
        <v>10</v>
      </c>
      <c r="Z10" s="1" t="s">
        <v>10</v>
      </c>
      <c r="AB10" s="1" t="s">
        <v>12</v>
      </c>
      <c r="AD10" s="1" t="s">
        <v>10</v>
      </c>
      <c r="AE10" s="1" t="s">
        <v>10</v>
      </c>
      <c r="AF10" s="1" t="s">
        <v>12</v>
      </c>
    </row>
    <row r="11" s="1" customFormat="true" ht="15" hidden="false" customHeight="false" outlineLevel="0" collapsed="false">
      <c r="A11" s="1" t="n">
        <v>9</v>
      </c>
      <c r="B11" s="2" t="s">
        <v>21</v>
      </c>
      <c r="C11" s="1" t="s">
        <v>12</v>
      </c>
      <c r="D11" s="1" t="s">
        <v>10</v>
      </c>
      <c r="E11" s="1" t="s">
        <v>10</v>
      </c>
      <c r="F11" s="2" t="s">
        <v>10</v>
      </c>
      <c r="G11" s="1" t="s">
        <v>10</v>
      </c>
      <c r="I11" s="1" t="s">
        <v>10</v>
      </c>
      <c r="K11" s="1" t="s">
        <v>12</v>
      </c>
      <c r="L11" s="1" t="s">
        <v>10</v>
      </c>
      <c r="M11" s="2" t="s">
        <v>10</v>
      </c>
      <c r="N11" s="1" t="s">
        <v>10</v>
      </c>
      <c r="O11" s="1" t="s">
        <v>10</v>
      </c>
      <c r="Q11" s="1" t="n">
        <f aca="false">COUNTIF(C11:O11,"P")</f>
        <v>9</v>
      </c>
      <c r="R11" s="1" t="n">
        <f aca="false">COUNTIF(C11:O11,"M")</f>
        <v>0</v>
      </c>
      <c r="S11" s="1" t="n">
        <f aca="false">COUNTIF(C11:O11,"T")</f>
        <v>0</v>
      </c>
      <c r="T11" s="1" t="n">
        <f aca="false">COUNTIF(C11:O11,"A")</f>
        <v>2</v>
      </c>
      <c r="U11" s="1" t="n">
        <f aca="false">SUM(Q11:T11)</f>
        <v>11</v>
      </c>
      <c r="V11" s="5" t="n">
        <f aca="false">ROUND((Q11+R11/2+S11/4)*10/U11,0)</f>
        <v>8</v>
      </c>
      <c r="W11" s="1" t="s">
        <v>10</v>
      </c>
      <c r="X11" s="1" t="s">
        <v>12</v>
      </c>
      <c r="Z11" s="1" t="s">
        <v>10</v>
      </c>
      <c r="AB11" s="1" t="s">
        <v>11</v>
      </c>
      <c r="AC11" s="6" t="n">
        <v>0.5625</v>
      </c>
      <c r="AD11" s="1" t="s">
        <v>12</v>
      </c>
      <c r="AE11" s="1" t="s">
        <v>12</v>
      </c>
      <c r="AF11" s="1" t="s">
        <v>12</v>
      </c>
    </row>
    <row r="12" s="2" customFormat="true" ht="15" hidden="false" customHeight="false" outlineLevel="0" collapsed="false">
      <c r="A12" s="1" t="n">
        <v>10</v>
      </c>
      <c r="B12" s="2" t="s">
        <v>22</v>
      </c>
      <c r="C12" s="1" t="s">
        <v>10</v>
      </c>
      <c r="D12" s="2" t="s">
        <v>10</v>
      </c>
      <c r="E12" s="1" t="s">
        <v>10</v>
      </c>
      <c r="F12" s="1" t="s">
        <v>12</v>
      </c>
      <c r="G12" s="2" t="s">
        <v>10</v>
      </c>
      <c r="I12" s="1" t="s">
        <v>10</v>
      </c>
      <c r="J12" s="1"/>
      <c r="K12" s="2" t="s">
        <v>10</v>
      </c>
      <c r="L12" s="2" t="s">
        <v>10</v>
      </c>
      <c r="M12" s="1" t="s">
        <v>10</v>
      </c>
      <c r="N12" s="1" t="s">
        <v>10</v>
      </c>
      <c r="O12" s="2" t="s">
        <v>10</v>
      </c>
      <c r="Q12" s="1" t="n">
        <f aca="false">COUNTIF(C12:O12,"P")</f>
        <v>10</v>
      </c>
      <c r="R12" s="1" t="n">
        <f aca="false">COUNTIF(C12:O12,"M")</f>
        <v>0</v>
      </c>
      <c r="S12" s="1" t="n">
        <f aca="false">COUNTIF(C12:O12,"T")</f>
        <v>0</v>
      </c>
      <c r="T12" s="1" t="n">
        <f aca="false">COUNTIF(C12:O12,"A")</f>
        <v>1</v>
      </c>
      <c r="U12" s="1" t="n">
        <f aca="false">SUM(Q12:T12)</f>
        <v>11</v>
      </c>
      <c r="V12" s="5" t="n">
        <f aca="false">ROUND((Q12+R12/2+S12/4)*10/U12,0)</f>
        <v>9</v>
      </c>
      <c r="W12" s="2" t="s">
        <v>10</v>
      </c>
      <c r="X12" s="2" t="s">
        <v>10</v>
      </c>
      <c r="Z12" s="1" t="s">
        <v>10</v>
      </c>
      <c r="AA12" s="1"/>
      <c r="AB12" s="2" t="s">
        <v>10</v>
      </c>
      <c r="AD12" s="2" t="s">
        <v>10</v>
      </c>
      <c r="AE12" s="2" t="s">
        <v>10</v>
      </c>
      <c r="AF12" s="1" t="s">
        <v>12</v>
      </c>
      <c r="AKR12" s="1"/>
      <c r="AKS12" s="1"/>
      <c r="AKT12" s="1"/>
      <c r="AKU12" s="1"/>
      <c r="AKV12" s="1"/>
      <c r="AKW12" s="1"/>
      <c r="AKX12" s="1"/>
      <c r="AKY12" s="1"/>
      <c r="AKZ12" s="1"/>
      <c r="ALA12" s="1"/>
      <c r="ALB12" s="1"/>
      <c r="ALC12" s="1"/>
      <c r="ALD12" s="1"/>
      <c r="ALE12" s="1"/>
      <c r="ALF12" s="1"/>
      <c r="ALG12" s="1"/>
      <c r="ALH12" s="1"/>
      <c r="ALI12" s="1"/>
      <c r="ALJ12" s="1"/>
      <c r="ALK12" s="1"/>
      <c r="ALL12" s="1"/>
      <c r="ALM12" s="1"/>
      <c r="ALN12" s="1"/>
      <c r="ALO12" s="1"/>
      <c r="ALP12" s="1"/>
      <c r="ALQ12" s="1"/>
      <c r="ALR12" s="1"/>
      <c r="ALS12" s="1"/>
      <c r="ALT12" s="1"/>
      <c r="ALU12" s="1"/>
      <c r="ALV12" s="1"/>
      <c r="ALW12" s="1"/>
      <c r="ALX12" s="1"/>
      <c r="ALY12" s="1"/>
      <c r="ALZ12" s="1"/>
      <c r="AMA12" s="1"/>
      <c r="AMB12" s="1"/>
      <c r="AMC12" s="1"/>
      <c r="AMD12" s="1"/>
      <c r="AME12" s="1"/>
      <c r="AMF12" s="1"/>
      <c r="AMG12" s="1"/>
      <c r="AMH12" s="1"/>
      <c r="AMI12" s="1"/>
      <c r="AMJ12" s="1"/>
      <c r="AMK12" s="1"/>
      <c r="AML12" s="1"/>
      <c r="AMM12" s="1"/>
      <c r="AMN12" s="1"/>
      <c r="AMO12" s="1"/>
      <c r="AMP12" s="1"/>
      <c r="AMQ12" s="1"/>
      <c r="AMR12" s="1"/>
      <c r="AMS12" s="1"/>
      <c r="AMT12" s="1"/>
      <c r="XDJ12" s="1"/>
    </row>
    <row r="13" s="1" customFormat="true" ht="15" hidden="false" customHeight="false" outlineLevel="0" collapsed="false">
      <c r="A13" s="1" t="n">
        <v>11</v>
      </c>
      <c r="B13" s="2" t="s">
        <v>23</v>
      </c>
      <c r="C13" s="1" t="s">
        <v>10</v>
      </c>
      <c r="D13" s="1" t="s">
        <v>10</v>
      </c>
      <c r="E13" s="1" t="s">
        <v>10</v>
      </c>
      <c r="F13" s="1" t="s">
        <v>10</v>
      </c>
      <c r="G13" s="1" t="s">
        <v>10</v>
      </c>
      <c r="I13" s="1" t="s">
        <v>10</v>
      </c>
      <c r="K13" s="1" t="s">
        <v>10</v>
      </c>
      <c r="L13" s="1" t="s">
        <v>10</v>
      </c>
      <c r="M13" s="1" t="s">
        <v>10</v>
      </c>
      <c r="N13" s="1" t="s">
        <v>10</v>
      </c>
      <c r="O13" s="1" t="s">
        <v>10</v>
      </c>
      <c r="Q13" s="1" t="n">
        <f aca="false">COUNTIF(C13:O13,"P")</f>
        <v>11</v>
      </c>
      <c r="R13" s="1" t="n">
        <f aca="false">COUNTIF(C13:O13,"M")</f>
        <v>0</v>
      </c>
      <c r="S13" s="1" t="n">
        <f aca="false">COUNTIF(C13:O13,"T")</f>
        <v>0</v>
      </c>
      <c r="T13" s="1" t="n">
        <f aca="false">COUNTIF(C13:O13,"A")</f>
        <v>0</v>
      </c>
      <c r="U13" s="1" t="n">
        <f aca="false">SUM(Q13:T13)</f>
        <v>11</v>
      </c>
      <c r="V13" s="5" t="n">
        <f aca="false">ROUND((Q13+R13/2+S13/4)*10/U13,0)</f>
        <v>10</v>
      </c>
      <c r="W13" s="1" t="s">
        <v>10</v>
      </c>
      <c r="X13" s="1" t="s">
        <v>10</v>
      </c>
      <c r="Z13" s="1" t="s">
        <v>10</v>
      </c>
      <c r="AB13" s="1" t="s">
        <v>11</v>
      </c>
      <c r="AC13" s="6" t="n">
        <v>0.5625</v>
      </c>
      <c r="AD13" s="1" t="s">
        <v>10</v>
      </c>
      <c r="AE13" s="1" t="s">
        <v>10</v>
      </c>
      <c r="AF13" s="1" t="s">
        <v>12</v>
      </c>
    </row>
    <row r="14" s="1" customFormat="true" ht="15" hidden="false" customHeight="false" outlineLevel="0" collapsed="false">
      <c r="A14" s="1" t="n">
        <v>12</v>
      </c>
      <c r="B14" s="2" t="s">
        <v>24</v>
      </c>
      <c r="C14" s="1" t="s">
        <v>10</v>
      </c>
      <c r="D14" s="1" t="s">
        <v>10</v>
      </c>
      <c r="E14" s="1" t="s">
        <v>10</v>
      </c>
      <c r="F14" s="1" t="s">
        <v>12</v>
      </c>
      <c r="G14" s="1" t="s">
        <v>10</v>
      </c>
      <c r="I14" s="1" t="s">
        <v>10</v>
      </c>
      <c r="K14" s="1" t="s">
        <v>10</v>
      </c>
      <c r="L14" s="1" t="s">
        <v>10</v>
      </c>
      <c r="M14" s="1" t="s">
        <v>10</v>
      </c>
      <c r="N14" s="1" t="s">
        <v>10</v>
      </c>
      <c r="O14" s="1" t="s">
        <v>10</v>
      </c>
      <c r="Q14" s="1" t="n">
        <f aca="false">COUNTIF(C14:O14,"P")</f>
        <v>10</v>
      </c>
      <c r="R14" s="1" t="n">
        <f aca="false">COUNTIF(C14:O14,"M")</f>
        <v>0</v>
      </c>
      <c r="S14" s="1" t="n">
        <f aca="false">COUNTIF(C14:O14,"T")</f>
        <v>0</v>
      </c>
      <c r="T14" s="1" t="n">
        <f aca="false">COUNTIF(C14:O14,"A")</f>
        <v>1</v>
      </c>
      <c r="U14" s="1" t="n">
        <f aca="false">SUM(Q14:T14)</f>
        <v>11</v>
      </c>
      <c r="V14" s="5" t="n">
        <f aca="false">ROUND((Q14+R14/2+S14/4)*10/U14,0)</f>
        <v>9</v>
      </c>
      <c r="W14" s="1" t="s">
        <v>10</v>
      </c>
      <c r="X14" s="1" t="s">
        <v>10</v>
      </c>
      <c r="Z14" s="1" t="s">
        <v>10</v>
      </c>
      <c r="AB14" s="1" t="s">
        <v>10</v>
      </c>
      <c r="AD14" s="1" t="s">
        <v>10</v>
      </c>
      <c r="AE14" s="1" t="s">
        <v>10</v>
      </c>
      <c r="AF14" s="1" t="s">
        <v>12</v>
      </c>
    </row>
    <row r="15" s="2" customFormat="true" ht="15" hidden="false" customHeight="false" outlineLevel="0" collapsed="false">
      <c r="A15" s="1" t="n">
        <v>13</v>
      </c>
      <c r="B15" s="2" t="s">
        <v>25</v>
      </c>
      <c r="C15" s="1" t="s">
        <v>10</v>
      </c>
      <c r="D15" s="2" t="s">
        <v>10</v>
      </c>
      <c r="E15" s="1" t="s">
        <v>10</v>
      </c>
      <c r="F15" s="1" t="s">
        <v>11</v>
      </c>
      <c r="G15" s="2" t="s">
        <v>10</v>
      </c>
      <c r="I15" s="1" t="s">
        <v>10</v>
      </c>
      <c r="J15" s="1"/>
      <c r="K15" s="2" t="s">
        <v>10</v>
      </c>
      <c r="L15" s="2" t="s">
        <v>10</v>
      </c>
      <c r="M15" s="1" t="s">
        <v>10</v>
      </c>
      <c r="N15" s="1" t="s">
        <v>10</v>
      </c>
      <c r="O15" s="2" t="s">
        <v>10</v>
      </c>
      <c r="Q15" s="1" t="n">
        <f aca="false">COUNTIF(C15:O15,"P")</f>
        <v>10</v>
      </c>
      <c r="R15" s="1" t="n">
        <f aca="false">COUNTIF(C15:O15,"M")</f>
        <v>0</v>
      </c>
      <c r="S15" s="1" t="n">
        <f aca="false">COUNTIF(C15:O15,"T")</f>
        <v>1</v>
      </c>
      <c r="T15" s="1" t="n">
        <f aca="false">COUNTIF(C15:O15,"A")</f>
        <v>0</v>
      </c>
      <c r="U15" s="1" t="n">
        <f aca="false">SUM(Q15:T15)</f>
        <v>11</v>
      </c>
      <c r="V15" s="5" t="n">
        <f aca="false">ROUND((Q15+R15/2+S15/4)*10/U15,0)</f>
        <v>9</v>
      </c>
      <c r="W15" s="2" t="s">
        <v>10</v>
      </c>
      <c r="X15" s="2" t="s">
        <v>10</v>
      </c>
      <c r="Z15" s="1" t="s">
        <v>11</v>
      </c>
      <c r="AA15" s="6" t="n">
        <v>0.555555555555556</v>
      </c>
      <c r="AB15" s="2" t="s">
        <v>11</v>
      </c>
      <c r="AC15" s="7" t="n">
        <v>0.5625</v>
      </c>
      <c r="AD15" s="2" t="s">
        <v>12</v>
      </c>
      <c r="AE15" s="2" t="s">
        <v>12</v>
      </c>
      <c r="AF15" s="1" t="s">
        <v>12</v>
      </c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  <c r="AMQ15" s="1"/>
      <c r="AMR15" s="1"/>
      <c r="AMS15" s="1"/>
      <c r="AMT15" s="1"/>
      <c r="XDJ15" s="1"/>
    </row>
    <row r="16" s="1" customFormat="true" ht="15" hidden="false" customHeight="false" outlineLevel="0" collapsed="false">
      <c r="A16" s="1" t="n">
        <v>14</v>
      </c>
      <c r="B16" s="2" t="s">
        <v>26</v>
      </c>
      <c r="C16" s="1" t="s">
        <v>10</v>
      </c>
      <c r="D16" s="1" t="s">
        <v>10</v>
      </c>
      <c r="E16" s="1" t="s">
        <v>10</v>
      </c>
      <c r="F16" s="1" t="s">
        <v>10</v>
      </c>
      <c r="G16" s="1" t="s">
        <v>10</v>
      </c>
      <c r="I16" s="1" t="s">
        <v>10</v>
      </c>
      <c r="K16" s="1" t="s">
        <v>10</v>
      </c>
      <c r="L16" s="1" t="s">
        <v>10</v>
      </c>
      <c r="M16" s="1" t="s">
        <v>10</v>
      </c>
      <c r="N16" s="1" t="s">
        <v>10</v>
      </c>
      <c r="O16" s="1" t="s">
        <v>10</v>
      </c>
      <c r="Q16" s="1" t="n">
        <f aca="false">COUNTIF(C16:O16,"P")</f>
        <v>11</v>
      </c>
      <c r="R16" s="1" t="n">
        <f aca="false">COUNTIF(C16:O16,"M")</f>
        <v>0</v>
      </c>
      <c r="S16" s="1" t="n">
        <f aca="false">COUNTIF(C16:O16,"T")</f>
        <v>0</v>
      </c>
      <c r="T16" s="1" t="n">
        <f aca="false">COUNTIF(C16:O16,"A")</f>
        <v>0</v>
      </c>
      <c r="U16" s="1" t="n">
        <f aca="false">SUM(Q16:T16)</f>
        <v>11</v>
      </c>
      <c r="V16" s="5" t="n">
        <f aca="false">ROUND((Q16+R16/2+S16/4)*10/U16,0)</f>
        <v>10</v>
      </c>
      <c r="W16" s="1" t="s">
        <v>10</v>
      </c>
      <c r="X16" s="1" t="s">
        <v>10</v>
      </c>
      <c r="Z16" s="1" t="s">
        <v>10</v>
      </c>
      <c r="AB16" s="1" t="s">
        <v>10</v>
      </c>
      <c r="AD16" s="1" t="s">
        <v>10</v>
      </c>
      <c r="AE16" s="1" t="s">
        <v>10</v>
      </c>
      <c r="AF16" s="1" t="s">
        <v>12</v>
      </c>
    </row>
    <row r="17" s="1" customFormat="true" ht="15" hidden="false" customHeight="false" outlineLevel="0" collapsed="false">
      <c r="A17" s="1" t="n">
        <v>15</v>
      </c>
      <c r="B17" s="2" t="s">
        <v>27</v>
      </c>
      <c r="C17" s="1" t="s">
        <v>10</v>
      </c>
      <c r="D17" s="1" t="s">
        <v>10</v>
      </c>
      <c r="E17" s="1" t="s">
        <v>10</v>
      </c>
      <c r="F17" s="1" t="s">
        <v>10</v>
      </c>
      <c r="G17" s="1" t="s">
        <v>10</v>
      </c>
      <c r="I17" s="1" t="s">
        <v>10</v>
      </c>
      <c r="K17" s="1" t="s">
        <v>10</v>
      </c>
      <c r="L17" s="1" t="s">
        <v>10</v>
      </c>
      <c r="M17" s="1" t="s">
        <v>10</v>
      </c>
      <c r="N17" s="1" t="s">
        <v>10</v>
      </c>
      <c r="O17" s="1" t="s">
        <v>10</v>
      </c>
      <c r="Q17" s="1" t="n">
        <f aca="false">COUNTIF(C17:O17,"P")</f>
        <v>11</v>
      </c>
      <c r="R17" s="1" t="n">
        <f aca="false">COUNTIF(C17:O17,"M")</f>
        <v>0</v>
      </c>
      <c r="S17" s="1" t="n">
        <f aca="false">COUNTIF(C17:O17,"T")</f>
        <v>0</v>
      </c>
      <c r="T17" s="1" t="n">
        <f aca="false">COUNTIF(C17:O17,"A")</f>
        <v>0</v>
      </c>
      <c r="U17" s="1" t="n">
        <f aca="false">SUM(Q17:T17)</f>
        <v>11</v>
      </c>
      <c r="V17" s="5" t="n">
        <f aca="false">ROUND((Q17+R17/2+S17/4)*10/U17,0)</f>
        <v>10</v>
      </c>
      <c r="W17" s="1" t="s">
        <v>10</v>
      </c>
      <c r="X17" s="1" t="s">
        <v>10</v>
      </c>
      <c r="Z17" s="1" t="s">
        <v>10</v>
      </c>
      <c r="AB17" s="1" t="s">
        <v>10</v>
      </c>
      <c r="AD17" s="1" t="s">
        <v>12</v>
      </c>
      <c r="AE17" s="1" t="s">
        <v>10</v>
      </c>
      <c r="AF17" s="1" t="s">
        <v>12</v>
      </c>
    </row>
    <row r="18" s="9" customFormat="true" ht="15" hidden="false" customHeight="false" outlineLevel="0" collapsed="false">
      <c r="A18" s="8" t="n">
        <v>16</v>
      </c>
      <c r="B18" s="9" t="s">
        <v>28</v>
      </c>
      <c r="C18" s="8" t="s">
        <v>10</v>
      </c>
      <c r="D18" s="9" t="s">
        <v>10</v>
      </c>
      <c r="E18" s="8" t="s">
        <v>10</v>
      </c>
      <c r="F18" s="8" t="s">
        <v>12</v>
      </c>
      <c r="G18" s="9" t="s">
        <v>10</v>
      </c>
      <c r="I18" s="8" t="s">
        <v>12</v>
      </c>
      <c r="J18" s="8"/>
      <c r="K18" s="9" t="s">
        <v>12</v>
      </c>
      <c r="L18" s="9" t="s">
        <v>12</v>
      </c>
      <c r="M18" s="8" t="s">
        <v>12</v>
      </c>
      <c r="N18" s="8" t="s">
        <v>12</v>
      </c>
      <c r="O18" s="9" t="s">
        <v>12</v>
      </c>
      <c r="Q18" s="1" t="n">
        <f aca="false">COUNTIF(C18:O18,"P")</f>
        <v>4</v>
      </c>
      <c r="R18" s="1" t="n">
        <f aca="false">COUNTIF(C18:O18,"M")</f>
        <v>0</v>
      </c>
      <c r="S18" s="1" t="n">
        <f aca="false">COUNTIF(C18:O18,"T")</f>
        <v>0</v>
      </c>
      <c r="T18" s="1" t="n">
        <f aca="false">COUNTIF(C18:O18,"A")</f>
        <v>7</v>
      </c>
      <c r="U18" s="1" t="n">
        <f aca="false">SUM(Q18:T18)</f>
        <v>11</v>
      </c>
      <c r="V18" s="5" t="n">
        <f aca="false">ROUND((Q18+R18/2+S18/4)*10/U18,0)</f>
        <v>4</v>
      </c>
      <c r="W18" s="9" t="s">
        <v>12</v>
      </c>
      <c r="X18" s="9" t="s">
        <v>12</v>
      </c>
      <c r="Z18" s="1" t="s">
        <v>12</v>
      </c>
      <c r="AA18" s="1"/>
      <c r="AB18" s="9" t="s">
        <v>12</v>
      </c>
      <c r="AD18" s="9" t="s">
        <v>10</v>
      </c>
      <c r="AE18" s="9" t="s">
        <v>12</v>
      </c>
      <c r="AF18" s="1" t="s">
        <v>12</v>
      </c>
      <c r="AKR18" s="8"/>
      <c r="AKS18" s="8"/>
      <c r="AKT18" s="8"/>
      <c r="AKU18" s="8"/>
      <c r="AKV18" s="8"/>
      <c r="AKW18" s="8"/>
      <c r="AKX18" s="8"/>
      <c r="AKY18" s="8"/>
      <c r="AKZ18" s="8"/>
      <c r="ALA18" s="8"/>
      <c r="ALB18" s="8"/>
      <c r="ALC18" s="8"/>
      <c r="ALD18" s="8"/>
      <c r="ALE18" s="8"/>
      <c r="ALF18" s="8"/>
      <c r="ALG18" s="8"/>
      <c r="ALH18" s="8"/>
      <c r="ALI18" s="8"/>
      <c r="ALJ18" s="8"/>
      <c r="ALK18" s="8"/>
      <c r="ALL18" s="8"/>
      <c r="ALM18" s="8"/>
      <c r="ALN18" s="8"/>
      <c r="ALO18" s="8"/>
      <c r="ALP18" s="8"/>
      <c r="ALQ18" s="8"/>
      <c r="ALR18" s="8"/>
      <c r="ALS18" s="8"/>
      <c r="ALT18" s="8"/>
      <c r="ALU18" s="8"/>
      <c r="ALV18" s="8"/>
      <c r="ALW18" s="8"/>
      <c r="ALX18" s="8"/>
      <c r="ALY18" s="8"/>
      <c r="ALZ18" s="8"/>
      <c r="AMA18" s="8"/>
      <c r="AMB18" s="8"/>
      <c r="AMC18" s="8"/>
      <c r="AMD18" s="8"/>
      <c r="AME18" s="8"/>
      <c r="AMF18" s="8"/>
      <c r="AMG18" s="8"/>
      <c r="AMH18" s="8"/>
      <c r="AMI18" s="8"/>
      <c r="AMJ18" s="8"/>
      <c r="AMK18" s="8"/>
      <c r="AML18" s="8"/>
      <c r="AMM18" s="8"/>
      <c r="AMN18" s="8"/>
      <c r="AMO18" s="8"/>
      <c r="AMP18" s="8"/>
      <c r="AMQ18" s="8"/>
      <c r="AMR18" s="8"/>
      <c r="AMS18" s="8"/>
      <c r="AMT18" s="8"/>
      <c r="XDJ18" s="1"/>
    </row>
    <row r="19" s="2" customFormat="true" ht="15" hidden="false" customHeight="false" outlineLevel="0" collapsed="false">
      <c r="A19" s="1" t="n">
        <v>17</v>
      </c>
      <c r="B19" s="2" t="s">
        <v>29</v>
      </c>
      <c r="C19" s="1" t="s">
        <v>10</v>
      </c>
      <c r="D19" s="2" t="s">
        <v>10</v>
      </c>
      <c r="E19" s="1" t="s">
        <v>10</v>
      </c>
      <c r="F19" s="1" t="s">
        <v>10</v>
      </c>
      <c r="G19" s="2" t="s">
        <v>12</v>
      </c>
      <c r="I19" s="1" t="s">
        <v>12</v>
      </c>
      <c r="J19" s="1"/>
      <c r="K19" s="2" t="s">
        <v>10</v>
      </c>
      <c r="L19" s="2" t="s">
        <v>10</v>
      </c>
      <c r="M19" s="1" t="s">
        <v>10</v>
      </c>
      <c r="N19" s="1" t="s">
        <v>10</v>
      </c>
      <c r="O19" s="2" t="s">
        <v>10</v>
      </c>
      <c r="Q19" s="1" t="n">
        <f aca="false">COUNTIF(C19:O19,"P")</f>
        <v>9</v>
      </c>
      <c r="R19" s="1" t="n">
        <f aca="false">COUNTIF(C19:O19,"M")</f>
        <v>0</v>
      </c>
      <c r="S19" s="1" t="n">
        <f aca="false">COUNTIF(C19:O19,"T")</f>
        <v>0</v>
      </c>
      <c r="T19" s="1" t="n">
        <f aca="false">COUNTIF(C19:O19,"A")</f>
        <v>2</v>
      </c>
      <c r="U19" s="1" t="n">
        <f aca="false">SUM(Q19:T19)</f>
        <v>11</v>
      </c>
      <c r="V19" s="5" t="n">
        <f aca="false">ROUND((Q19+R19/2+S19/4)*10/U19,0)</f>
        <v>8</v>
      </c>
      <c r="W19" s="2" t="s">
        <v>12</v>
      </c>
      <c r="X19" s="2" t="s">
        <v>10</v>
      </c>
      <c r="Z19" s="1" t="s">
        <v>10</v>
      </c>
      <c r="AA19" s="1"/>
      <c r="AB19" s="2" t="s">
        <v>12</v>
      </c>
      <c r="AD19" s="2" t="s">
        <v>10</v>
      </c>
      <c r="AE19" s="2" t="s">
        <v>12</v>
      </c>
      <c r="AF19" s="1" t="s">
        <v>12</v>
      </c>
      <c r="AKR19" s="1"/>
      <c r="AKS19" s="1"/>
      <c r="AKT19" s="1"/>
      <c r="AKU19" s="1"/>
      <c r="AKV19" s="1"/>
      <c r="AKW19" s="1"/>
      <c r="AKX19" s="1"/>
      <c r="AKY19" s="1"/>
      <c r="AKZ19" s="1"/>
      <c r="ALA19" s="1"/>
      <c r="ALB19" s="1"/>
      <c r="ALC19" s="1"/>
      <c r="ALD19" s="1"/>
      <c r="ALE19" s="1"/>
      <c r="ALF19" s="1"/>
      <c r="ALG19" s="1"/>
      <c r="ALH19" s="1"/>
      <c r="ALI19" s="1"/>
      <c r="ALJ19" s="1"/>
      <c r="ALK19" s="1"/>
      <c r="ALL19" s="1"/>
      <c r="ALM19" s="1"/>
      <c r="ALN19" s="1"/>
      <c r="ALO19" s="1"/>
      <c r="ALP19" s="1"/>
      <c r="ALQ19" s="1"/>
      <c r="ALR19" s="1"/>
      <c r="ALS19" s="1"/>
      <c r="ALT19" s="1"/>
      <c r="ALU19" s="1"/>
      <c r="ALV19" s="1"/>
      <c r="ALW19" s="1"/>
      <c r="ALX19" s="1"/>
      <c r="ALY19" s="1"/>
      <c r="ALZ19" s="1"/>
      <c r="AMA19" s="1"/>
      <c r="AMB19" s="1"/>
      <c r="AMC19" s="1"/>
      <c r="AMD19" s="1"/>
      <c r="AME19" s="1"/>
      <c r="AMF19" s="1"/>
      <c r="AMG19" s="1"/>
      <c r="AMH19" s="1"/>
      <c r="AMI19" s="1"/>
      <c r="AMJ19" s="1"/>
      <c r="AMK19" s="1"/>
      <c r="AML19" s="1"/>
      <c r="AMM19" s="1"/>
      <c r="AMN19" s="1"/>
      <c r="AMO19" s="1"/>
      <c r="AMP19" s="1"/>
      <c r="AMQ19" s="1"/>
      <c r="AMR19" s="1"/>
      <c r="AMS19" s="1"/>
      <c r="AMT19" s="1"/>
      <c r="XDJ19" s="1"/>
    </row>
    <row r="20" s="1" customFormat="true" ht="15" hidden="false" customHeight="false" outlineLevel="0" collapsed="false">
      <c r="A20" s="1" t="n">
        <v>18</v>
      </c>
      <c r="B20" s="2" t="s">
        <v>30</v>
      </c>
      <c r="C20" s="1" t="s">
        <v>10</v>
      </c>
      <c r="D20" s="1" t="s">
        <v>10</v>
      </c>
      <c r="E20" s="1" t="s">
        <v>10</v>
      </c>
      <c r="F20" s="1" t="s">
        <v>10</v>
      </c>
      <c r="G20" s="1" t="s">
        <v>11</v>
      </c>
      <c r="H20" s="6" t="n">
        <v>0.5625</v>
      </c>
      <c r="I20" s="1" t="s">
        <v>12</v>
      </c>
      <c r="K20" s="1" t="s">
        <v>12</v>
      </c>
      <c r="L20" s="1" t="s">
        <v>10</v>
      </c>
      <c r="M20" s="1" t="s">
        <v>14</v>
      </c>
      <c r="N20" s="1" t="s">
        <v>10</v>
      </c>
      <c r="O20" s="1" t="s">
        <v>10</v>
      </c>
      <c r="Q20" s="1" t="n">
        <f aca="false">COUNTIF(C20:O20,"P")</f>
        <v>8</v>
      </c>
      <c r="R20" s="1" t="n">
        <f aca="false">COUNTIF(C20:O20,"M")</f>
        <v>0</v>
      </c>
      <c r="S20" s="1" t="n">
        <f aca="false">COUNTIF(C20:O20,"T")</f>
        <v>1</v>
      </c>
      <c r="T20" s="1" t="n">
        <f aca="false">COUNTIF(C20:O20,"A")</f>
        <v>2</v>
      </c>
      <c r="U20" s="1" t="n">
        <f aca="false">SUM(Q20:T20)</f>
        <v>11</v>
      </c>
      <c r="V20" s="5" t="n">
        <f aca="false">ROUND((Q20+R20/2+S20/4)*10/U20,0)</f>
        <v>8</v>
      </c>
      <c r="W20" s="1" t="s">
        <v>10</v>
      </c>
      <c r="X20" s="1" t="s">
        <v>12</v>
      </c>
      <c r="Z20" s="1" t="s">
        <v>10</v>
      </c>
      <c r="AB20" s="1" t="s">
        <v>10</v>
      </c>
      <c r="AD20" s="1" t="s">
        <v>10</v>
      </c>
      <c r="AE20" s="1" t="s">
        <v>12</v>
      </c>
      <c r="AF20" s="1" t="s">
        <v>10</v>
      </c>
    </row>
    <row r="21" s="1" customFormat="true" ht="15" hidden="false" customHeight="false" outlineLevel="0" collapsed="false">
      <c r="A21" s="1" t="n">
        <v>19</v>
      </c>
      <c r="B21" s="2" t="s">
        <v>31</v>
      </c>
      <c r="C21" s="1" t="s">
        <v>10</v>
      </c>
      <c r="D21" s="1" t="s">
        <v>10</v>
      </c>
      <c r="E21" s="1" t="s">
        <v>10</v>
      </c>
      <c r="F21" s="1" t="s">
        <v>11</v>
      </c>
      <c r="G21" s="1" t="s">
        <v>10</v>
      </c>
      <c r="I21" s="1" t="s">
        <v>12</v>
      </c>
      <c r="K21" s="1" t="s">
        <v>10</v>
      </c>
      <c r="L21" s="1" t="s">
        <v>12</v>
      </c>
      <c r="M21" s="1" t="s">
        <v>10</v>
      </c>
      <c r="N21" s="1" t="s">
        <v>10</v>
      </c>
      <c r="O21" s="1" t="s">
        <v>10</v>
      </c>
      <c r="Q21" s="1" t="n">
        <f aca="false">COUNTIF(C21:O21,"P")</f>
        <v>8</v>
      </c>
      <c r="R21" s="1" t="n">
        <f aca="false">COUNTIF(C21:O21,"M")</f>
        <v>0</v>
      </c>
      <c r="S21" s="1" t="n">
        <f aca="false">COUNTIF(C21:O21,"T")</f>
        <v>1</v>
      </c>
      <c r="T21" s="1" t="n">
        <f aca="false">COUNTIF(C21:O21,"A")</f>
        <v>2</v>
      </c>
      <c r="U21" s="1" t="n">
        <f aca="false">SUM(Q21:T21)</f>
        <v>11</v>
      </c>
      <c r="V21" s="5" t="n">
        <f aca="false">ROUND((Q21+R21/2+S21/4)*10/U21,0)</f>
        <v>8</v>
      </c>
      <c r="W21" s="1" t="s">
        <v>12</v>
      </c>
      <c r="X21" s="1" t="s">
        <v>10</v>
      </c>
      <c r="Z21" s="1" t="s">
        <v>10</v>
      </c>
      <c r="AB21" s="1" t="s">
        <v>10</v>
      </c>
      <c r="AD21" s="1" t="s">
        <v>10</v>
      </c>
      <c r="AE21" s="1" t="s">
        <v>10</v>
      </c>
      <c r="AF21" s="1" t="s">
        <v>12</v>
      </c>
    </row>
    <row r="22" s="2" customFormat="true" ht="15" hidden="false" customHeight="false" outlineLevel="0" collapsed="false">
      <c r="A22" s="1" t="n">
        <v>20</v>
      </c>
      <c r="B22" s="2" t="s">
        <v>32</v>
      </c>
      <c r="C22" s="1" t="s">
        <v>10</v>
      </c>
      <c r="D22" s="1" t="s">
        <v>10</v>
      </c>
      <c r="E22" s="1" t="s">
        <v>10</v>
      </c>
      <c r="F22" s="1" t="s">
        <v>10</v>
      </c>
      <c r="G22" s="1" t="s">
        <v>10</v>
      </c>
      <c r="H22" s="1"/>
      <c r="I22" s="1" t="s">
        <v>33</v>
      </c>
      <c r="J22" s="6" t="n">
        <v>0.541666666666667</v>
      </c>
      <c r="K22" s="1" t="s">
        <v>10</v>
      </c>
      <c r="L22" s="1" t="s">
        <v>10</v>
      </c>
      <c r="M22" s="1" t="s">
        <v>10</v>
      </c>
      <c r="N22" s="1" t="s">
        <v>10</v>
      </c>
      <c r="O22" s="1" t="s">
        <v>10</v>
      </c>
      <c r="P22" s="1"/>
      <c r="Q22" s="1" t="n">
        <f aca="false">COUNTIF(C22:O22,"P")</f>
        <v>10</v>
      </c>
      <c r="R22" s="1" t="n">
        <f aca="false">COUNTIF(C22:O22,"M")</f>
        <v>1</v>
      </c>
      <c r="S22" s="1" t="n">
        <f aca="false">COUNTIF(C22:O22,"T")</f>
        <v>0</v>
      </c>
      <c r="T22" s="1" t="n">
        <f aca="false">COUNTIF(C22:O22,"A")</f>
        <v>0</v>
      </c>
      <c r="U22" s="1" t="n">
        <f aca="false">SUM(Q22:T22)</f>
        <v>11</v>
      </c>
      <c r="V22" s="5" t="n">
        <f aca="false">ROUND((Q22+R22/2+S22/4)*10/U22,0)</f>
        <v>10</v>
      </c>
      <c r="W22" s="1" t="s">
        <v>10</v>
      </c>
      <c r="X22" s="1" t="s">
        <v>11</v>
      </c>
      <c r="Y22" s="6" t="n">
        <v>0.569444444444444</v>
      </c>
      <c r="Z22" s="1" t="s">
        <v>11</v>
      </c>
      <c r="AA22" s="6" t="n">
        <v>0.555555555555556</v>
      </c>
      <c r="AB22" s="1" t="s">
        <v>10</v>
      </c>
      <c r="AC22" s="1"/>
      <c r="AD22" s="1" t="s">
        <v>10</v>
      </c>
      <c r="AE22" s="1" t="s">
        <v>10</v>
      </c>
      <c r="AF22" s="1" t="s">
        <v>10</v>
      </c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1"/>
      <c r="MJ22" s="1"/>
      <c r="MK22" s="1"/>
      <c r="ML22" s="1"/>
      <c r="MM22" s="1"/>
      <c r="MN22" s="1"/>
      <c r="MO22" s="1"/>
      <c r="MP22" s="1"/>
      <c r="MQ22" s="1"/>
      <c r="MR22" s="1"/>
      <c r="MS22" s="1"/>
      <c r="MT22" s="1"/>
      <c r="MU22" s="1"/>
      <c r="MV22" s="1"/>
      <c r="MW22" s="1"/>
      <c r="MX22" s="1"/>
      <c r="MY22" s="1"/>
      <c r="MZ22" s="1"/>
      <c r="NA22" s="1"/>
      <c r="NB22" s="1"/>
      <c r="NC22" s="1"/>
      <c r="ND22" s="1"/>
      <c r="NE22" s="1"/>
      <c r="NF22" s="1"/>
      <c r="NG22" s="1"/>
      <c r="NH22" s="1"/>
      <c r="NI22" s="1"/>
      <c r="NJ22" s="1"/>
      <c r="NK22" s="1"/>
      <c r="NL22" s="1"/>
      <c r="NM22" s="1"/>
      <c r="NN22" s="1"/>
      <c r="NO22" s="1"/>
      <c r="NP22" s="1"/>
      <c r="NQ22" s="1"/>
      <c r="NR22" s="1"/>
      <c r="NS22" s="1"/>
      <c r="NT22" s="1"/>
      <c r="NU22" s="1"/>
      <c r="NV22" s="1"/>
      <c r="NW22" s="1"/>
      <c r="NX22" s="1"/>
      <c r="NY22" s="1"/>
      <c r="NZ22" s="1"/>
      <c r="OA22" s="1"/>
      <c r="OB22" s="1"/>
      <c r="OC22" s="1"/>
      <c r="OD22" s="1"/>
      <c r="OE22" s="1"/>
      <c r="OF22" s="1"/>
      <c r="OG22" s="1"/>
      <c r="OH22" s="1"/>
      <c r="OI22" s="1"/>
      <c r="OJ22" s="1"/>
      <c r="OK22" s="1"/>
      <c r="OL22" s="1"/>
      <c r="OM22" s="1"/>
      <c r="ON22" s="1"/>
      <c r="OO22" s="1"/>
      <c r="OP22" s="1"/>
      <c r="OQ22" s="1"/>
      <c r="OR22" s="1"/>
      <c r="OS22" s="1"/>
      <c r="OT22" s="1"/>
      <c r="OU22" s="1"/>
      <c r="OV22" s="1"/>
      <c r="OW22" s="1"/>
      <c r="OX22" s="1"/>
      <c r="OY22" s="1"/>
      <c r="OZ22" s="1"/>
      <c r="PA22" s="1"/>
      <c r="PB22" s="1"/>
      <c r="PC22" s="1"/>
      <c r="PD22" s="1"/>
      <c r="PE22" s="1"/>
      <c r="PF22" s="1"/>
      <c r="PG22" s="1"/>
      <c r="PH22" s="1"/>
      <c r="PI22" s="1"/>
      <c r="PJ22" s="1"/>
      <c r="PK22" s="1"/>
      <c r="PL22" s="1"/>
      <c r="PM22" s="1"/>
      <c r="PN22" s="1"/>
      <c r="PO22" s="1"/>
      <c r="PP22" s="1"/>
      <c r="PQ22" s="1"/>
      <c r="PR22" s="1"/>
      <c r="PS22" s="1"/>
      <c r="PT22" s="1"/>
      <c r="PU22" s="1"/>
      <c r="PV22" s="1"/>
      <c r="PW22" s="1"/>
      <c r="PX22" s="1"/>
      <c r="PY22" s="1"/>
      <c r="PZ22" s="1"/>
      <c r="QA22" s="1"/>
      <c r="QB22" s="1"/>
      <c r="QC22" s="1"/>
      <c r="QD22" s="1"/>
      <c r="QE22" s="1"/>
      <c r="QF22" s="1"/>
      <c r="QG22" s="1"/>
      <c r="QH22" s="1"/>
      <c r="QI22" s="1"/>
      <c r="QJ22" s="1"/>
      <c r="QK22" s="1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  <c r="UU22" s="1"/>
      <c r="UV22" s="1"/>
      <c r="UW22" s="1"/>
      <c r="UX22" s="1"/>
      <c r="UY22" s="1"/>
      <c r="UZ22" s="1"/>
      <c r="VA22" s="1"/>
      <c r="VB22" s="1"/>
      <c r="VC22" s="1"/>
      <c r="VD22" s="1"/>
      <c r="VE22" s="1"/>
      <c r="VF22" s="1"/>
      <c r="VG22" s="1"/>
      <c r="VH22" s="1"/>
      <c r="VI22" s="1"/>
      <c r="VJ22" s="1"/>
      <c r="VK22" s="1"/>
      <c r="VL22" s="1"/>
      <c r="VM22" s="1"/>
      <c r="VN22" s="1"/>
      <c r="VO22" s="1"/>
      <c r="VP22" s="1"/>
      <c r="VQ22" s="1"/>
      <c r="VR22" s="1"/>
      <c r="VS22" s="1"/>
      <c r="VT22" s="1"/>
      <c r="VU22" s="1"/>
      <c r="VV22" s="1"/>
      <c r="VW22" s="1"/>
      <c r="VX22" s="1"/>
      <c r="VY22" s="1"/>
      <c r="VZ22" s="1"/>
      <c r="WA22" s="1"/>
      <c r="WB22" s="1"/>
      <c r="WC22" s="1"/>
      <c r="WD22" s="1"/>
      <c r="WE22" s="1"/>
      <c r="WF22" s="1"/>
      <c r="WG22" s="1"/>
      <c r="WH22" s="1"/>
      <c r="WI22" s="1"/>
      <c r="WJ22" s="1"/>
      <c r="WK22" s="1"/>
      <c r="WL22" s="1"/>
      <c r="WM22" s="1"/>
      <c r="WN22" s="1"/>
      <c r="WO22" s="1"/>
      <c r="WP22" s="1"/>
      <c r="WQ22" s="1"/>
      <c r="WR22" s="1"/>
      <c r="WS22" s="1"/>
      <c r="WT22" s="1"/>
      <c r="WU22" s="1"/>
      <c r="WV22" s="1"/>
      <c r="WW22" s="1"/>
      <c r="WX22" s="1"/>
      <c r="WY22" s="1"/>
      <c r="WZ22" s="1"/>
      <c r="XA22" s="1"/>
      <c r="XB22" s="1"/>
      <c r="XC22" s="1"/>
      <c r="XD22" s="1"/>
      <c r="XE22" s="1"/>
      <c r="XF22" s="1"/>
      <c r="XG22" s="1"/>
      <c r="XH22" s="1"/>
      <c r="XI22" s="1"/>
      <c r="XJ22" s="1"/>
      <c r="XK22" s="1"/>
      <c r="XL22" s="1"/>
      <c r="XM22" s="1"/>
      <c r="XN22" s="1"/>
      <c r="XO22" s="1"/>
      <c r="XP22" s="1"/>
      <c r="XQ22" s="1"/>
      <c r="XR22" s="1"/>
      <c r="XS22" s="1"/>
      <c r="XT22" s="1"/>
      <c r="XU22" s="1"/>
      <c r="XV22" s="1"/>
      <c r="XW22" s="1"/>
      <c r="XX22" s="1"/>
      <c r="XY22" s="1"/>
      <c r="XZ22" s="1"/>
      <c r="YA22" s="1"/>
      <c r="YB22" s="1"/>
      <c r="YC22" s="1"/>
      <c r="YD22" s="1"/>
      <c r="YE22" s="1"/>
      <c r="YF22" s="1"/>
      <c r="YG22" s="1"/>
      <c r="YH22" s="1"/>
      <c r="YI22" s="1"/>
      <c r="YJ22" s="1"/>
      <c r="YK22" s="1"/>
      <c r="YL22" s="1"/>
      <c r="YM22" s="1"/>
      <c r="YN22" s="1"/>
      <c r="YO22" s="1"/>
      <c r="YP22" s="1"/>
      <c r="YQ22" s="1"/>
      <c r="YR22" s="1"/>
      <c r="YS22" s="1"/>
      <c r="YT22" s="1"/>
      <c r="YU22" s="1"/>
      <c r="YV22" s="1"/>
      <c r="YW22" s="1"/>
      <c r="YX22" s="1"/>
      <c r="YY22" s="1"/>
      <c r="YZ22" s="1"/>
      <c r="ZA22" s="1"/>
      <c r="ZB22" s="1"/>
      <c r="ZC22" s="1"/>
      <c r="ZD22" s="1"/>
      <c r="ZE22" s="1"/>
      <c r="ZF22" s="1"/>
      <c r="ZG22" s="1"/>
      <c r="ZH22" s="1"/>
      <c r="ZI22" s="1"/>
      <c r="ZJ22" s="1"/>
      <c r="ZK22" s="1"/>
      <c r="ZL22" s="1"/>
      <c r="ZM22" s="1"/>
      <c r="ZN22" s="1"/>
      <c r="ZO22" s="1"/>
      <c r="ZP22" s="1"/>
      <c r="ZQ22" s="1"/>
      <c r="ZR22" s="1"/>
      <c r="ZS22" s="1"/>
      <c r="ZT22" s="1"/>
      <c r="ZU22" s="1"/>
      <c r="ZV22" s="1"/>
      <c r="ZW22" s="1"/>
      <c r="ZX22" s="1"/>
      <c r="ZY22" s="1"/>
      <c r="ZZ22" s="1"/>
      <c r="AAA22" s="1"/>
      <c r="AAB22" s="1"/>
      <c r="AAC22" s="1"/>
      <c r="AAD22" s="1"/>
      <c r="AAE22" s="1"/>
      <c r="AAF22" s="1"/>
      <c r="AAG22" s="1"/>
      <c r="AAH22" s="1"/>
      <c r="AAI22" s="1"/>
      <c r="AAJ22" s="1"/>
      <c r="AAK22" s="1"/>
      <c r="AAL22" s="1"/>
      <c r="AAM22" s="1"/>
      <c r="AAN22" s="1"/>
      <c r="AAO22" s="1"/>
      <c r="AAP22" s="1"/>
      <c r="AAQ22" s="1"/>
      <c r="AAR22" s="1"/>
      <c r="AAS22" s="1"/>
      <c r="AAT22" s="1"/>
      <c r="AAU22" s="1"/>
      <c r="AAV22" s="1"/>
      <c r="AAW22" s="1"/>
      <c r="AAX22" s="1"/>
      <c r="AAY22" s="1"/>
      <c r="AAZ22" s="1"/>
      <c r="ABA22" s="1"/>
      <c r="ABB22" s="1"/>
      <c r="ABC22" s="1"/>
      <c r="ABD22" s="1"/>
      <c r="ABE22" s="1"/>
      <c r="ABF22" s="1"/>
      <c r="ABG22" s="1"/>
      <c r="ABH22" s="1"/>
      <c r="ABI22" s="1"/>
      <c r="ABJ22" s="1"/>
      <c r="ABK22" s="1"/>
      <c r="ABL22" s="1"/>
      <c r="ABM22" s="1"/>
      <c r="ABN22" s="1"/>
      <c r="ABO22" s="1"/>
      <c r="ABP22" s="1"/>
      <c r="ABQ22" s="1"/>
      <c r="ABR22" s="1"/>
      <c r="ABS22" s="1"/>
      <c r="ABT22" s="1"/>
      <c r="ABU22" s="1"/>
      <c r="ABV22" s="1"/>
      <c r="ABW22" s="1"/>
      <c r="ABX22" s="1"/>
      <c r="ABY22" s="1"/>
      <c r="ABZ22" s="1"/>
      <c r="ACA22" s="1"/>
      <c r="ACB22" s="1"/>
      <c r="ACC22" s="1"/>
      <c r="ACD22" s="1"/>
      <c r="ACE22" s="1"/>
      <c r="ACF22" s="1"/>
      <c r="ACG22" s="1"/>
      <c r="ACH22" s="1"/>
      <c r="ACI22" s="1"/>
      <c r="ACJ22" s="1"/>
      <c r="ACK22" s="1"/>
      <c r="ACL22" s="1"/>
      <c r="ACM22" s="1"/>
      <c r="ACN22" s="1"/>
      <c r="ACO22" s="1"/>
      <c r="ACP22" s="1"/>
      <c r="ACQ22" s="1"/>
      <c r="ACR22" s="1"/>
      <c r="ACS22" s="1"/>
      <c r="ACT22" s="1"/>
      <c r="ACU22" s="1"/>
      <c r="ACV22" s="1"/>
      <c r="ACW22" s="1"/>
      <c r="ACX22" s="1"/>
      <c r="ACY22" s="1"/>
      <c r="ACZ22" s="1"/>
      <c r="ADA22" s="1"/>
      <c r="ADB22" s="1"/>
      <c r="ADC22" s="1"/>
      <c r="ADD22" s="1"/>
      <c r="ADE22" s="1"/>
      <c r="ADF22" s="1"/>
      <c r="ADG22" s="1"/>
      <c r="ADH22" s="1"/>
      <c r="ADI22" s="1"/>
      <c r="ADJ22" s="1"/>
      <c r="ADK22" s="1"/>
      <c r="ADL22" s="1"/>
      <c r="ADM22" s="1"/>
      <c r="ADN22" s="1"/>
      <c r="ADO22" s="1"/>
      <c r="ADP22" s="1"/>
      <c r="ADQ22" s="1"/>
      <c r="ADR22" s="1"/>
      <c r="ADS22" s="1"/>
      <c r="ADT22" s="1"/>
      <c r="ADU22" s="1"/>
      <c r="ADV22" s="1"/>
      <c r="ADW22" s="1"/>
      <c r="ADX22" s="1"/>
      <c r="ADY22" s="1"/>
      <c r="ADZ22" s="1"/>
      <c r="AEA22" s="1"/>
      <c r="AEB22" s="1"/>
      <c r="AEC22" s="1"/>
      <c r="AED22" s="1"/>
      <c r="AEE22" s="1"/>
      <c r="AEF22" s="1"/>
      <c r="AEG22" s="1"/>
      <c r="AEH22" s="1"/>
      <c r="AEI22" s="1"/>
      <c r="AEJ22" s="1"/>
      <c r="AEK22" s="1"/>
      <c r="AEL22" s="1"/>
      <c r="AEM22" s="1"/>
      <c r="AEN22" s="1"/>
      <c r="AEO22" s="1"/>
      <c r="AEP22" s="1"/>
      <c r="AEQ22" s="1"/>
      <c r="AER22" s="1"/>
      <c r="AES22" s="1"/>
      <c r="AET22" s="1"/>
      <c r="AEU22" s="1"/>
      <c r="AEV22" s="1"/>
      <c r="AEW22" s="1"/>
      <c r="AEX22" s="1"/>
      <c r="AEY22" s="1"/>
      <c r="AEZ22" s="1"/>
      <c r="AFA22" s="1"/>
      <c r="AFB22" s="1"/>
      <c r="AFC22" s="1"/>
      <c r="AFD22" s="1"/>
      <c r="AFE22" s="1"/>
      <c r="AFF22" s="1"/>
      <c r="AFG22" s="1"/>
      <c r="AFH22" s="1"/>
      <c r="AFI22" s="1"/>
      <c r="AFJ22" s="1"/>
      <c r="AFK22" s="1"/>
      <c r="AFL22" s="1"/>
      <c r="AFM22" s="1"/>
      <c r="AFN22" s="1"/>
      <c r="AFO22" s="1"/>
      <c r="AFP22" s="1"/>
      <c r="AFQ22" s="1"/>
      <c r="AFR22" s="1"/>
      <c r="AFS22" s="1"/>
      <c r="AFT22" s="1"/>
      <c r="AFU22" s="1"/>
      <c r="AFV22" s="1"/>
      <c r="AFW22" s="1"/>
      <c r="AFX22" s="1"/>
      <c r="AFY22" s="1"/>
      <c r="AFZ22" s="1"/>
      <c r="AGA22" s="1"/>
      <c r="AGB22" s="1"/>
      <c r="AGC22" s="1"/>
      <c r="AGD22" s="1"/>
      <c r="AGE22" s="1"/>
      <c r="AGF22" s="1"/>
      <c r="AGG22" s="1"/>
      <c r="AGH22" s="1"/>
      <c r="AGI22" s="1"/>
      <c r="AGJ22" s="1"/>
      <c r="AGK22" s="1"/>
      <c r="AGL22" s="1"/>
      <c r="AGM22" s="1"/>
      <c r="AGN22" s="1"/>
      <c r="AGO22" s="1"/>
      <c r="AGP22" s="1"/>
      <c r="AGQ22" s="1"/>
      <c r="AGR22" s="1"/>
      <c r="AGS22" s="1"/>
      <c r="AGT22" s="1"/>
      <c r="AGU22" s="1"/>
      <c r="AGV22" s="1"/>
      <c r="AGW22" s="1"/>
      <c r="AGX22" s="1"/>
      <c r="AGY22" s="1"/>
      <c r="AGZ22" s="1"/>
      <c r="AHA22" s="1"/>
      <c r="AHB22" s="1"/>
      <c r="AHC22" s="1"/>
      <c r="AHD22" s="1"/>
      <c r="AHE22" s="1"/>
      <c r="AHF22" s="1"/>
      <c r="AHG22" s="1"/>
      <c r="AHH22" s="1"/>
      <c r="AHI22" s="1"/>
      <c r="AHJ22" s="1"/>
      <c r="AHK22" s="1"/>
      <c r="AHL22" s="1"/>
      <c r="AHM22" s="1"/>
      <c r="AHN22" s="1"/>
      <c r="AHO22" s="1"/>
      <c r="AHP22" s="1"/>
      <c r="AHQ22" s="1"/>
      <c r="AHR22" s="1"/>
      <c r="AHS22" s="1"/>
      <c r="AHT22" s="1"/>
      <c r="AHU22" s="1"/>
      <c r="AHV22" s="1"/>
      <c r="AHW22" s="1"/>
      <c r="AHX22" s="1"/>
      <c r="AHY22" s="1"/>
      <c r="AHZ22" s="1"/>
      <c r="AIA22" s="1"/>
      <c r="AIB22" s="1"/>
      <c r="AIC22" s="1"/>
      <c r="AID22" s="1"/>
      <c r="AIE22" s="1"/>
      <c r="AIF22" s="1"/>
      <c r="AIG22" s="1"/>
      <c r="AIH22" s="1"/>
      <c r="AII22" s="1"/>
      <c r="AIJ22" s="1"/>
      <c r="AIK22" s="1"/>
      <c r="AIL22" s="1"/>
      <c r="AIM22" s="1"/>
      <c r="AIN22" s="1"/>
      <c r="AIO22" s="1"/>
      <c r="AIP22" s="1"/>
      <c r="AIQ22" s="1"/>
      <c r="AIR22" s="1"/>
      <c r="AIS22" s="1"/>
      <c r="AIT22" s="1"/>
      <c r="AIU22" s="1"/>
      <c r="AIV22" s="1"/>
      <c r="AIW22" s="1"/>
      <c r="AIX22" s="1"/>
      <c r="AIY22" s="1"/>
      <c r="AIZ22" s="1"/>
      <c r="AJA22" s="1"/>
      <c r="AJB22" s="1"/>
      <c r="AJC22" s="1"/>
      <c r="AJD22" s="1"/>
      <c r="AJE22" s="1"/>
      <c r="AJF22" s="1"/>
      <c r="AJG22" s="1"/>
      <c r="AJH22" s="1"/>
      <c r="AJI22" s="1"/>
      <c r="AJJ22" s="1"/>
      <c r="AJK22" s="1"/>
      <c r="AJL22" s="1"/>
      <c r="AJM22" s="1"/>
      <c r="AJN22" s="1"/>
      <c r="AJO22" s="1"/>
      <c r="AJP22" s="1"/>
      <c r="AJQ22" s="1"/>
      <c r="AJR22" s="1"/>
      <c r="AJS22" s="1"/>
      <c r="AJT22" s="1"/>
      <c r="AJU22" s="1"/>
      <c r="AJV22" s="1"/>
      <c r="AJW22" s="1"/>
      <c r="AJX22" s="1"/>
      <c r="AJY22" s="1"/>
      <c r="AJZ22" s="1"/>
      <c r="AKA22" s="1"/>
      <c r="AKB22" s="1"/>
      <c r="AKC22" s="1"/>
      <c r="AKD22" s="1"/>
      <c r="AKE22" s="1"/>
      <c r="AKF22" s="1"/>
      <c r="AKG22" s="1"/>
      <c r="AKH22" s="1"/>
      <c r="AKI22" s="1"/>
      <c r="AKJ22" s="1"/>
      <c r="AKK22" s="1"/>
      <c r="AKL22" s="1"/>
      <c r="AKM22" s="1"/>
      <c r="AKN22" s="1"/>
      <c r="AKO22" s="1"/>
      <c r="AKP22" s="1"/>
      <c r="AKQ22" s="1"/>
      <c r="AKR22" s="1"/>
      <c r="AKS22" s="1"/>
      <c r="AKT22" s="1"/>
      <c r="AKU22" s="1"/>
      <c r="AKV22" s="1"/>
      <c r="AKW22" s="1"/>
      <c r="AKX22" s="1"/>
      <c r="AKY22" s="1"/>
      <c r="AKZ22" s="1"/>
      <c r="ALA22" s="1"/>
      <c r="ALB22" s="1"/>
      <c r="ALC22" s="1"/>
      <c r="ALD22" s="1"/>
      <c r="ALE22" s="1"/>
      <c r="ALF22" s="1"/>
      <c r="ALG22" s="1"/>
      <c r="ALH22" s="1"/>
      <c r="ALI22" s="1"/>
      <c r="ALJ22" s="1"/>
      <c r="ALK22" s="1"/>
      <c r="ALL22" s="1"/>
      <c r="ALM22" s="1"/>
      <c r="ALN22" s="1"/>
      <c r="ALO22" s="1"/>
      <c r="ALP22" s="1"/>
      <c r="ALQ22" s="1"/>
      <c r="ALR22" s="1"/>
      <c r="ALS22" s="1"/>
      <c r="ALT22" s="1"/>
      <c r="ALU22" s="1"/>
      <c r="ALV22" s="1"/>
      <c r="ALW22" s="1"/>
      <c r="ALX22" s="1"/>
      <c r="ALY22" s="1"/>
      <c r="ALZ22" s="1"/>
      <c r="AMA22" s="1"/>
      <c r="AMB22" s="1"/>
      <c r="AMC22" s="1"/>
      <c r="AMD22" s="1"/>
      <c r="AME22" s="1"/>
      <c r="AMF22" s="1"/>
      <c r="AMG22" s="1"/>
      <c r="AMH22" s="1"/>
      <c r="AMI22" s="1"/>
      <c r="AMJ22" s="1"/>
      <c r="AMK22" s="1"/>
      <c r="AML22" s="1"/>
      <c r="AMM22" s="1"/>
      <c r="AMN22" s="1"/>
      <c r="AMO22" s="1"/>
      <c r="AMP22" s="1"/>
      <c r="AMQ22" s="1"/>
      <c r="AMR22" s="1"/>
      <c r="AMS22" s="1"/>
      <c r="AMT22" s="1"/>
      <c r="XDJ22" s="1"/>
    </row>
    <row r="23" s="1" customFormat="true" ht="15" hidden="false" customHeight="false" outlineLevel="0" collapsed="false">
      <c r="A23" s="1" t="n">
        <v>21</v>
      </c>
      <c r="B23" s="2" t="s">
        <v>34</v>
      </c>
      <c r="C23" s="1" t="s">
        <v>10</v>
      </c>
      <c r="D23" s="2" t="s">
        <v>10</v>
      </c>
      <c r="E23" s="1" t="s">
        <v>10</v>
      </c>
      <c r="F23" s="1" t="s">
        <v>10</v>
      </c>
      <c r="G23" s="2" t="s">
        <v>10</v>
      </c>
      <c r="H23" s="2"/>
      <c r="I23" s="1" t="s">
        <v>10</v>
      </c>
      <c r="K23" s="2" t="s">
        <v>10</v>
      </c>
      <c r="L23" s="2" t="s">
        <v>10</v>
      </c>
      <c r="M23" s="1" t="s">
        <v>10</v>
      </c>
      <c r="N23" s="1" t="s">
        <v>10</v>
      </c>
      <c r="O23" s="2" t="s">
        <v>10</v>
      </c>
      <c r="P23" s="2"/>
      <c r="Q23" s="1" t="n">
        <f aca="false">COUNTIF(C23:O23,"P")</f>
        <v>11</v>
      </c>
      <c r="R23" s="1" t="n">
        <f aca="false">COUNTIF(C23:O23,"M")</f>
        <v>0</v>
      </c>
      <c r="S23" s="1" t="n">
        <f aca="false">COUNTIF(C23:O23,"T")</f>
        <v>0</v>
      </c>
      <c r="T23" s="1" t="n">
        <f aca="false">COUNTIF(C23:O23,"A")</f>
        <v>0</v>
      </c>
      <c r="U23" s="1" t="n">
        <f aca="false">SUM(Q23:T23)</f>
        <v>11</v>
      </c>
      <c r="V23" s="5" t="n">
        <f aca="false">ROUND((Q23+R23/2+S23/4)*10/U23,0)</f>
        <v>10</v>
      </c>
      <c r="W23" s="2" t="s">
        <v>10</v>
      </c>
      <c r="X23" s="2" t="s">
        <v>10</v>
      </c>
      <c r="Y23" s="2"/>
      <c r="Z23" s="1" t="s">
        <v>10</v>
      </c>
      <c r="AB23" s="2" t="s">
        <v>10</v>
      </c>
      <c r="AC23" s="2"/>
      <c r="AD23" s="2" t="s">
        <v>10</v>
      </c>
      <c r="AE23" s="2" t="s">
        <v>12</v>
      </c>
      <c r="AF23" s="1" t="s">
        <v>12</v>
      </c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</row>
    <row r="24" customFormat="false" ht="15" hidden="false" customHeight="false" outlineLevel="0" collapsed="false">
      <c r="B24" s="1" t="s">
        <v>3</v>
      </c>
      <c r="C24" s="1" t="n">
        <f aca="false">COUNTIF(C3:C23,"P")</f>
        <v>20</v>
      </c>
      <c r="D24" s="1" t="n">
        <f aca="false">COUNTIF(D3:D23,"P")</f>
        <v>20</v>
      </c>
      <c r="E24" s="1" t="n">
        <f aca="false">COUNTIF(E3:E23,"P")</f>
        <v>21</v>
      </c>
      <c r="F24" s="1" t="n">
        <f aca="false">COUNTIF(F3:F23,"P")</f>
        <v>13</v>
      </c>
      <c r="G24" s="1" t="n">
        <f aca="false">COUNTIF(G3:G23,"P")</f>
        <v>17</v>
      </c>
      <c r="I24" s="1" t="n">
        <f aca="false">COUNTIF(I3:I23,"P")</f>
        <v>14</v>
      </c>
      <c r="K24" s="1" t="n">
        <f aca="false">COUNTIF(K3:K23,"P")</f>
        <v>18</v>
      </c>
      <c r="L24" s="1" t="n">
        <f aca="false">COUNTIF(L3:L23,"P")</f>
        <v>18</v>
      </c>
      <c r="M24" s="1" t="n">
        <f aca="false">COUNTIF(M3:M23,"P")</f>
        <v>19</v>
      </c>
      <c r="N24" s="1" t="n">
        <f aca="false">COUNTIF(N3:N23,"P")</f>
        <v>19</v>
      </c>
      <c r="O24" s="1" t="n">
        <f aca="false">COUNTIF(O3:O23,"P")</f>
        <v>19</v>
      </c>
      <c r="W24" s="1" t="n">
        <f aca="false">COUNTIF(W3:W23,"P")</f>
        <v>16</v>
      </c>
      <c r="X24" s="1" t="n">
        <f aca="false">COUNTIF(X3:X23,"P")</f>
        <v>15</v>
      </c>
      <c r="Y24" s="1"/>
      <c r="Z24" s="1" t="n">
        <f aca="false">COUNTIF(Z3:Z23,"P")</f>
        <v>16</v>
      </c>
      <c r="AB24" s="1" t="n">
        <f aca="false">COUNTIF(AB3:AB23,"P")</f>
        <v>14</v>
      </c>
      <c r="AD24" s="1" t="n">
        <f aca="false">COUNTIF(AD3:AD23,"P")</f>
        <v>16</v>
      </c>
      <c r="AE24" s="1" t="n">
        <f aca="false">COUNTIF(AE3:AE23,"P")</f>
        <v>13</v>
      </c>
      <c r="AF24" s="1" t="n">
        <f aca="false">COUNTIF(AF3:AF23,"P")</f>
        <v>2</v>
      </c>
    </row>
    <row r="25" customFormat="false" ht="15" hidden="false" customHeight="false" outlineLevel="0" collapsed="false">
      <c r="B25" s="1" t="s">
        <v>35</v>
      </c>
      <c r="C25" s="1" t="n">
        <f aca="false">COUNTIF(C3:C23,"M")</f>
        <v>0</v>
      </c>
      <c r="D25" s="1" t="n">
        <f aca="false">COUNTIF(D3:D23,"M")</f>
        <v>0</v>
      </c>
      <c r="E25" s="1" t="n">
        <f aca="false">COUNTIF(E3:E23,"M")</f>
        <v>0</v>
      </c>
      <c r="F25" s="1" t="n">
        <f aca="false">COUNTIF(F3:F23,"M")</f>
        <v>0</v>
      </c>
      <c r="G25" s="1" t="n">
        <f aca="false">COUNTIF(G3:G23,"M")</f>
        <v>0</v>
      </c>
      <c r="I25" s="1" t="n">
        <f aca="false">COUNTIF(I3:I23,"M")</f>
        <v>1</v>
      </c>
      <c r="K25" s="1" t="n">
        <f aca="false">COUNTIF(K3:K23,"M")</f>
        <v>0</v>
      </c>
      <c r="L25" s="1" t="n">
        <f aca="false">COUNTIF(L3:L23,"M")</f>
        <v>0</v>
      </c>
      <c r="M25" s="1" t="n">
        <f aca="false">COUNTIF(M3:M23,"M")</f>
        <v>0</v>
      </c>
      <c r="N25" s="1" t="n">
        <f aca="false">COUNTIF(N3:N23,"M")</f>
        <v>0</v>
      </c>
      <c r="O25" s="1" t="n">
        <f aca="false">COUNTIF(O3:O23,"M")</f>
        <v>0</v>
      </c>
      <c r="W25" s="1" t="n">
        <f aca="false">COUNTIF(W3:W23,"M")</f>
        <v>0</v>
      </c>
      <c r="X25" s="1" t="n">
        <f aca="false">COUNTIF(X3:X23,"M")</f>
        <v>0</v>
      </c>
      <c r="Y25" s="1"/>
      <c r="Z25" s="1" t="n">
        <f aca="false">COUNTIF(Z3:Z23,"M")</f>
        <v>0</v>
      </c>
      <c r="AB25" s="1" t="n">
        <f aca="false">COUNTIF(AB3:AB23,"M")</f>
        <v>0</v>
      </c>
      <c r="AD25" s="1" t="n">
        <f aca="false">COUNTIF(AD3:AD23,"M")</f>
        <v>0</v>
      </c>
      <c r="AE25" s="1" t="n">
        <f aca="false">COUNTIF(AE3:AE23,"M")</f>
        <v>0</v>
      </c>
      <c r="AF25" s="1" t="n">
        <f aca="false">COUNTIF(AF3:AF23,"M")</f>
        <v>0</v>
      </c>
    </row>
    <row r="26" customFormat="false" ht="15" hidden="false" customHeight="false" outlineLevel="0" collapsed="false">
      <c r="B26" s="1" t="s">
        <v>5</v>
      </c>
      <c r="C26" s="1" t="n">
        <f aca="false">COUNTIF(C3:C23,"T")</f>
        <v>0</v>
      </c>
      <c r="D26" s="1" t="n">
        <f aca="false">COUNTIF(D3:D23,"T")</f>
        <v>0</v>
      </c>
      <c r="E26" s="1" t="n">
        <f aca="false">COUNTIF(E3:E23,"T")</f>
        <v>0</v>
      </c>
      <c r="F26" s="1" t="n">
        <f aca="false">COUNTIF(F3:F23,"T")</f>
        <v>3</v>
      </c>
      <c r="G26" s="1" t="n">
        <f aca="false">COUNTIF(G3:G23,"T")</f>
        <v>3</v>
      </c>
      <c r="I26" s="1" t="n">
        <f aca="false">COUNTIF(I3:I23,"T")</f>
        <v>0</v>
      </c>
      <c r="K26" s="1" t="n">
        <f aca="false">COUNTIF(K3:K23,"T")</f>
        <v>0</v>
      </c>
      <c r="L26" s="1" t="n">
        <f aca="false">COUNTIF(L3:L23,"T")</f>
        <v>0</v>
      </c>
      <c r="M26" s="1" t="n">
        <f aca="false">COUNTIF(M3:M23,"t")</f>
        <v>0</v>
      </c>
      <c r="N26" s="1" t="n">
        <f aca="false">COUNTIF(N3:N23,"t")</f>
        <v>0</v>
      </c>
      <c r="O26" s="1" t="n">
        <f aca="false">COUNTIF(O3:O23,"t")</f>
        <v>1</v>
      </c>
      <c r="W26" s="1" t="n">
        <f aca="false">COUNTIF(W3:W23,"t")</f>
        <v>0</v>
      </c>
      <c r="X26" s="1" t="n">
        <f aca="false">COUNTIF(X3:X23,"t")</f>
        <v>2</v>
      </c>
      <c r="Y26" s="1"/>
      <c r="Z26" s="1" t="n">
        <f aca="false">COUNTIF(Z3:Z23,"t")</f>
        <v>3</v>
      </c>
      <c r="AB26" s="1" t="n">
        <f aca="false">COUNTIF(AB3:AB23,"t")</f>
        <v>3</v>
      </c>
      <c r="AD26" s="1" t="n">
        <f aca="false">COUNTIF(AD3:AD23,"t")</f>
        <v>0</v>
      </c>
      <c r="AE26" s="1" t="n">
        <f aca="false">COUNTIF(AE3:AE23,"t")</f>
        <v>0</v>
      </c>
      <c r="AF26" s="1" t="n">
        <f aca="false">COUNTIF(AF3:AF23,"t")</f>
        <v>0</v>
      </c>
    </row>
    <row r="27" customFormat="false" ht="15" hidden="false" customHeight="false" outlineLevel="0" collapsed="false">
      <c r="B27" s="1" t="s">
        <v>7</v>
      </c>
      <c r="C27" s="1" t="n">
        <f aca="false">SUM(C24:C26)</f>
        <v>20</v>
      </c>
      <c r="D27" s="1" t="n">
        <f aca="false">SUM(D24:D26)</f>
        <v>20</v>
      </c>
      <c r="E27" s="1" t="n">
        <f aca="false">SUM(E24:E26)</f>
        <v>21</v>
      </c>
      <c r="F27" s="1" t="n">
        <f aca="false">SUM(F24:F26)</f>
        <v>16</v>
      </c>
      <c r="G27" s="1" t="n">
        <f aca="false">SUM(G24:G26)</f>
        <v>20</v>
      </c>
      <c r="I27" s="1" t="n">
        <f aca="false">SUM(I24:I26)</f>
        <v>15</v>
      </c>
      <c r="K27" s="1" t="n">
        <f aca="false">SUM(K24:K26)</f>
        <v>18</v>
      </c>
      <c r="L27" s="1" t="n">
        <f aca="false">SUM(L24:L26)</f>
        <v>18</v>
      </c>
      <c r="M27" s="1" t="n">
        <f aca="false">SUM(M24:M26)</f>
        <v>19</v>
      </c>
      <c r="N27" s="1" t="n">
        <f aca="false">SUM(N24:N26)</f>
        <v>19</v>
      </c>
      <c r="O27" s="1" t="n">
        <f aca="false">SUM(O24:O26)</f>
        <v>20</v>
      </c>
      <c r="W27" s="1" t="n">
        <f aca="false">SUM(W24:W26)</f>
        <v>16</v>
      </c>
      <c r="X27" s="1" t="n">
        <f aca="false">SUM(X24:X26)</f>
        <v>17</v>
      </c>
      <c r="Y27" s="1"/>
      <c r="Z27" s="1" t="n">
        <f aca="false">SUM(Z24:Z26)</f>
        <v>19</v>
      </c>
      <c r="AB27" s="1" t="n">
        <f aca="false">SUM(AB24:AB26)</f>
        <v>17</v>
      </c>
      <c r="AD27" s="1" t="n">
        <f aca="false">SUM(AD24:AD26)</f>
        <v>16</v>
      </c>
      <c r="AE27" s="1" t="n">
        <f aca="false">SUM(AE24:AE26)</f>
        <v>13</v>
      </c>
      <c r="AF27" s="1" t="n">
        <f aca="false">SUM(AF24:AF26)</f>
        <v>2</v>
      </c>
    </row>
  </sheetData>
  <conditionalFormatting sqref="V2:V23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1" activeCellId="0" sqref="D1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false" hidden="true" outlineLevel="0" max="3" min="3" style="1" width="9.58"/>
    <col collapsed="false" customWidth="true" hidden="false" outlineLevel="0" max="16384" min="16361" style="1" width="10.58"/>
  </cols>
  <sheetData>
    <row r="1" customFormat="false" ht="15" hidden="false" customHeight="false" outlineLevel="0" collapsed="false">
      <c r="A1" s="1" t="s">
        <v>0</v>
      </c>
      <c r="B1" s="2" t="s">
        <v>1</v>
      </c>
      <c r="C1" s="3" t="n">
        <v>45737</v>
      </c>
      <c r="D1" s="3" t="s">
        <v>36</v>
      </c>
      <c r="E1" s="3" t="n">
        <v>45954</v>
      </c>
      <c r="F1" s="3" t="n">
        <v>45961</v>
      </c>
      <c r="G1" s="2" t="s">
        <v>37</v>
      </c>
    </row>
    <row r="2" customFormat="false" ht="15" hidden="false" customHeight="false" outlineLevel="0" collapsed="false">
      <c r="A2" s="1" t="n">
        <v>1</v>
      </c>
      <c r="B2" s="2" t="s">
        <v>9</v>
      </c>
      <c r="C2" s="1" t="n">
        <v>3</v>
      </c>
      <c r="F2" s="1" t="n">
        <v>1</v>
      </c>
      <c r="G2" s="2" t="n">
        <f aca="false">SUM(D2:F2)</f>
        <v>1</v>
      </c>
    </row>
    <row r="3" customFormat="false" ht="15" hidden="false" customHeight="false" outlineLevel="0" collapsed="false">
      <c r="A3" s="1" t="n">
        <v>2</v>
      </c>
      <c r="B3" s="2" t="s">
        <v>13</v>
      </c>
      <c r="C3" s="1" t="n">
        <v>0</v>
      </c>
      <c r="D3" s="1" t="n">
        <v>1</v>
      </c>
      <c r="F3" s="1" t="n">
        <v>2</v>
      </c>
      <c r="G3" s="2" t="n">
        <f aca="false">SUM(D3:F3)</f>
        <v>3</v>
      </c>
    </row>
    <row r="4" customFormat="false" ht="15" hidden="false" customHeight="false" outlineLevel="0" collapsed="false">
      <c r="A4" s="1" t="n">
        <v>3</v>
      </c>
      <c r="B4" s="2" t="s">
        <v>15</v>
      </c>
      <c r="C4" s="1" t="n">
        <v>3</v>
      </c>
      <c r="G4" s="2" t="n">
        <f aca="false">SUM(D4:F4)</f>
        <v>0</v>
      </c>
    </row>
    <row r="5" customFormat="false" ht="15" hidden="false" customHeight="false" outlineLevel="0" collapsed="false">
      <c r="A5" s="1" t="n">
        <v>4</v>
      </c>
      <c r="B5" s="2" t="s">
        <v>16</v>
      </c>
      <c r="C5" s="1" t="n">
        <v>4</v>
      </c>
      <c r="F5" s="1" t="n">
        <v>1</v>
      </c>
      <c r="G5" s="2" t="n">
        <f aca="false">SUM(D5:F5)</f>
        <v>1</v>
      </c>
    </row>
    <row r="6" customFormat="false" ht="15" hidden="false" customHeight="false" outlineLevel="0" collapsed="false">
      <c r="A6" s="1" t="n">
        <v>5</v>
      </c>
      <c r="B6" s="2" t="s">
        <v>17</v>
      </c>
      <c r="C6" s="1" t="n">
        <v>0</v>
      </c>
      <c r="D6" s="1" t="n">
        <v>1</v>
      </c>
      <c r="G6" s="2" t="n">
        <f aca="false">SUM(D6:F6)</f>
        <v>1</v>
      </c>
    </row>
    <row r="7" customFormat="false" ht="15" hidden="false" customHeight="false" outlineLevel="0" collapsed="false">
      <c r="A7" s="1" t="n">
        <v>6</v>
      </c>
      <c r="B7" s="2" t="s">
        <v>18</v>
      </c>
      <c r="C7" s="1" t="n">
        <v>0</v>
      </c>
      <c r="D7" s="1" t="n">
        <v>1</v>
      </c>
      <c r="G7" s="2" t="n">
        <f aca="false">SUM(D7:F7)</f>
        <v>1</v>
      </c>
    </row>
    <row r="8" customFormat="false" ht="15" hidden="false" customHeight="false" outlineLevel="0" collapsed="false">
      <c r="A8" s="1" t="n">
        <v>7</v>
      </c>
      <c r="B8" s="2" t="s">
        <v>19</v>
      </c>
      <c r="C8" s="1" t="n">
        <v>3</v>
      </c>
      <c r="D8" s="1" t="n">
        <v>1</v>
      </c>
      <c r="G8" s="2" t="n">
        <f aca="false">SUM(D8:F8)</f>
        <v>1</v>
      </c>
    </row>
    <row r="9" customFormat="false" ht="15" hidden="false" customHeight="false" outlineLevel="0" collapsed="false">
      <c r="A9" s="1" t="n">
        <v>8</v>
      </c>
      <c r="B9" s="2" t="s">
        <v>20</v>
      </c>
      <c r="C9" s="1" t="n">
        <v>4</v>
      </c>
      <c r="D9" s="1" t="n">
        <v>1</v>
      </c>
      <c r="F9" s="1" t="n">
        <v>1</v>
      </c>
      <c r="G9" s="2" t="n">
        <f aca="false">SUM(D9:F9)</f>
        <v>2</v>
      </c>
    </row>
    <row r="10" customFormat="false" ht="15" hidden="false" customHeight="false" outlineLevel="0" collapsed="false">
      <c r="A10" s="1" t="n">
        <v>9</v>
      </c>
      <c r="B10" s="2" t="s">
        <v>21</v>
      </c>
      <c r="C10" s="1" t="n">
        <v>3</v>
      </c>
      <c r="G10" s="2" t="n">
        <f aca="false">SUM(D10:F10)</f>
        <v>0</v>
      </c>
    </row>
    <row r="11" customFormat="false" ht="15" hidden="false" customHeight="false" outlineLevel="0" collapsed="false">
      <c r="A11" s="1" t="n">
        <v>10</v>
      </c>
      <c r="B11" s="2" t="s">
        <v>22</v>
      </c>
      <c r="C11" s="1" t="n">
        <v>3</v>
      </c>
      <c r="G11" s="2" t="n">
        <f aca="false">SUM(D11:F11)</f>
        <v>0</v>
      </c>
    </row>
    <row r="12" customFormat="false" ht="15" hidden="false" customHeight="false" outlineLevel="0" collapsed="false">
      <c r="A12" s="1" t="n">
        <v>11</v>
      </c>
      <c r="B12" s="2" t="s">
        <v>23</v>
      </c>
      <c r="C12" s="1" t="n">
        <v>3</v>
      </c>
      <c r="D12" s="1" t="n">
        <v>1</v>
      </c>
      <c r="F12" s="1" t="n">
        <v>1</v>
      </c>
      <c r="G12" s="2" t="n">
        <f aca="false">SUM(D12:F12)</f>
        <v>2</v>
      </c>
    </row>
    <row r="13" customFormat="false" ht="15" hidden="false" customHeight="false" outlineLevel="0" collapsed="false">
      <c r="A13" s="1" t="n">
        <v>12</v>
      </c>
      <c r="B13" s="2" t="s">
        <v>24</v>
      </c>
      <c r="C13" s="1" t="n">
        <v>0</v>
      </c>
      <c r="G13" s="2" t="n">
        <f aca="false">SUM(D13:F13)</f>
        <v>0</v>
      </c>
    </row>
    <row r="14" customFormat="false" ht="15" hidden="false" customHeight="false" outlineLevel="0" collapsed="false">
      <c r="A14" s="1" t="n">
        <v>13</v>
      </c>
      <c r="B14" s="2" t="s">
        <v>25</v>
      </c>
      <c r="C14" s="1" t="n">
        <v>3</v>
      </c>
      <c r="D14" s="1" t="n">
        <v>1</v>
      </c>
      <c r="F14" s="1" t="n">
        <v>1</v>
      </c>
      <c r="G14" s="2" t="n">
        <f aca="false">SUM(D14:F14)</f>
        <v>2</v>
      </c>
    </row>
    <row r="15" customFormat="false" ht="15" hidden="false" customHeight="false" outlineLevel="0" collapsed="false">
      <c r="A15" s="1" t="n">
        <v>14</v>
      </c>
      <c r="B15" s="2" t="s">
        <v>26</v>
      </c>
      <c r="C15" s="1" t="n">
        <v>3</v>
      </c>
      <c r="D15" s="1" t="n">
        <v>1</v>
      </c>
      <c r="F15" s="1" t="n">
        <v>1</v>
      </c>
      <c r="G15" s="2" t="n">
        <f aca="false">SUM(D15:F15)</f>
        <v>2</v>
      </c>
    </row>
    <row r="16" customFormat="false" ht="15" hidden="false" customHeight="false" outlineLevel="0" collapsed="false">
      <c r="A16" s="1" t="n">
        <v>15</v>
      </c>
      <c r="B16" s="2" t="s">
        <v>27</v>
      </c>
      <c r="C16" s="1" t="n">
        <v>3</v>
      </c>
      <c r="D16" s="1" t="n">
        <v>1</v>
      </c>
      <c r="G16" s="2" t="n">
        <f aca="false">SUM(D16:F16)</f>
        <v>1</v>
      </c>
    </row>
    <row r="17" customFormat="false" ht="15" hidden="false" customHeight="false" outlineLevel="0" collapsed="false">
      <c r="A17" s="1" t="n">
        <v>16</v>
      </c>
      <c r="B17" s="2" t="s">
        <v>28</v>
      </c>
      <c r="C17" s="1" t="n">
        <v>0</v>
      </c>
      <c r="G17" s="2" t="n">
        <f aca="false">SUM(D17:F17)</f>
        <v>0</v>
      </c>
    </row>
    <row r="18" customFormat="false" ht="15" hidden="false" customHeight="false" outlineLevel="0" collapsed="false">
      <c r="A18" s="1" t="n">
        <v>17</v>
      </c>
      <c r="B18" s="2" t="s">
        <v>29</v>
      </c>
      <c r="C18" s="1" t="n">
        <v>3</v>
      </c>
      <c r="F18" s="1" t="n">
        <v>1</v>
      </c>
      <c r="G18" s="2" t="n">
        <f aca="false">SUM(D18:F18)</f>
        <v>1</v>
      </c>
    </row>
    <row r="19" customFormat="false" ht="15" hidden="false" customHeight="false" outlineLevel="0" collapsed="false">
      <c r="A19" s="1" t="n">
        <v>18</v>
      </c>
      <c r="B19" s="2" t="s">
        <v>38</v>
      </c>
      <c r="C19" s="1" t="n">
        <v>0</v>
      </c>
      <c r="F19" s="1" t="n">
        <v>1</v>
      </c>
      <c r="G19" s="2" t="n">
        <f aca="false">SUM(D19:F19)</f>
        <v>1</v>
      </c>
    </row>
    <row r="20" customFormat="false" ht="15" hidden="false" customHeight="false" outlineLevel="0" collapsed="false">
      <c r="A20" s="1" t="n">
        <v>19</v>
      </c>
      <c r="B20" s="2" t="s">
        <v>30</v>
      </c>
      <c r="C20" s="1" t="n">
        <v>3</v>
      </c>
      <c r="G20" s="2" t="n">
        <f aca="false">SUM(D20:F20)</f>
        <v>0</v>
      </c>
    </row>
    <row r="21" customFormat="false" ht="15" hidden="false" customHeight="false" outlineLevel="0" collapsed="false">
      <c r="A21" s="1" t="n">
        <v>20</v>
      </c>
      <c r="B21" s="2" t="s">
        <v>31</v>
      </c>
      <c r="C21" s="1" t="n">
        <v>3</v>
      </c>
      <c r="F21" s="1" t="n">
        <v>1</v>
      </c>
      <c r="G21" s="2" t="n">
        <f aca="false">SUM(D21:F21)</f>
        <v>1</v>
      </c>
    </row>
    <row r="22" customFormat="false" ht="15" hidden="false" customHeight="false" outlineLevel="0" collapsed="false">
      <c r="A22" s="1" t="n">
        <v>21</v>
      </c>
      <c r="B22" s="2" t="s">
        <v>32</v>
      </c>
      <c r="C22" s="1" t="n">
        <v>3</v>
      </c>
      <c r="F22" s="1" t="n">
        <v>1</v>
      </c>
      <c r="G22" s="2" t="n">
        <f aca="false">SUM(D22:F22)</f>
        <v>1</v>
      </c>
    </row>
    <row r="23" customFormat="false" ht="15" hidden="false" customHeight="false" outlineLevel="0" collapsed="false">
      <c r="A23" s="1" t="n">
        <v>22</v>
      </c>
      <c r="B23" s="2" t="s">
        <v>34</v>
      </c>
      <c r="C23" s="1" t="n">
        <v>3</v>
      </c>
      <c r="G23" s="2" t="n">
        <f aca="false">SUM(D23:F23)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2"/>
  <sheetViews>
    <sheetView showFormulas="false" showGridLines="true" showRowColHeaders="true" showZeros="true" rightToLeft="false" tabSelected="false" showOutlineSymbols="true" defaultGridColor="true" view="normal" topLeftCell="U1" colorId="64" zoomScale="80" zoomScaleNormal="80" zoomScalePageLayoutView="100" workbookViewId="0">
      <selection pane="topLeft" activeCell="D22" activeCellId="0" sqref="D2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19.94"/>
    <col collapsed="false" customWidth="false" hidden="false" outlineLevel="0" max="4" min="3" style="1" width="10.58"/>
    <col collapsed="false" customWidth="true" hidden="false" outlineLevel="0" max="5" min="5" style="1" width="12.55"/>
    <col collapsed="false" customWidth="false" hidden="false" outlineLevel="0" max="17" min="6" style="1" width="10.58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39</v>
      </c>
      <c r="D1" s="2" t="s">
        <v>40</v>
      </c>
      <c r="E1" s="2" t="s">
        <v>41</v>
      </c>
      <c r="F1" s="2" t="s">
        <v>40</v>
      </c>
      <c r="G1" s="2" t="s">
        <v>40</v>
      </c>
      <c r="H1" s="2" t="s">
        <v>42</v>
      </c>
      <c r="I1" s="2" t="s">
        <v>40</v>
      </c>
      <c r="J1" s="2" t="s">
        <v>43</v>
      </c>
      <c r="K1" s="2" t="s">
        <v>44</v>
      </c>
      <c r="L1" s="2" t="s">
        <v>45</v>
      </c>
      <c r="M1" s="2" t="s">
        <v>46</v>
      </c>
      <c r="N1" s="1" t="s">
        <v>47</v>
      </c>
      <c r="O1" s="1" t="s">
        <v>48</v>
      </c>
      <c r="P1" s="2" t="s">
        <v>49</v>
      </c>
      <c r="Q1" s="2" t="s">
        <v>50</v>
      </c>
      <c r="R1" s="2" t="s">
        <v>47</v>
      </c>
      <c r="S1" s="2" t="s">
        <v>51</v>
      </c>
      <c r="T1" s="1" t="s">
        <v>2</v>
      </c>
    </row>
    <row r="2" customFormat="false" ht="15" hidden="false" customHeight="false" outlineLevel="0" collapsed="false">
      <c r="A2" s="1" t="n">
        <v>1</v>
      </c>
      <c r="B2" s="2" t="s">
        <v>9</v>
      </c>
      <c r="C2" s="2" t="n">
        <v>7</v>
      </c>
      <c r="D2" s="3" t="n">
        <v>46168</v>
      </c>
      <c r="E2" s="2" t="n">
        <v>7</v>
      </c>
      <c r="F2" s="4" t="n">
        <v>46168</v>
      </c>
      <c r="G2" s="2"/>
      <c r="H2" s="2" t="n">
        <v>6</v>
      </c>
      <c r="I2" s="3" t="n">
        <v>46168</v>
      </c>
      <c r="J2" s="2" t="n">
        <v>7</v>
      </c>
      <c r="K2" s="3" t="n">
        <v>46168</v>
      </c>
      <c r="L2" s="2" t="n">
        <v>9.67</v>
      </c>
      <c r="M2" s="2" t="n">
        <v>8</v>
      </c>
      <c r="N2" s="5" t="n">
        <f aca="false">ROUND(AVERAGE(C2,E2,H2,J2,L2,M2),0)</f>
        <v>7</v>
      </c>
      <c r="O2" s="5" t="str">
        <f aca="false">IF(N2&gt;6,"TEA",IF(N2&gt;3,"TEP","TED"))</f>
        <v>TEA</v>
      </c>
      <c r="P2" s="1" t="n">
        <v>4</v>
      </c>
      <c r="Q2" s="1" t="n">
        <v>7</v>
      </c>
      <c r="R2" s="5" t="n">
        <f aca="false">ROUND(AVERAGE(N2,Q2),0)</f>
        <v>7</v>
      </c>
      <c r="S2" s="5" t="str">
        <f aca="false">IF(R2&gt;6,"TEA",IF(R2&gt;3,"TEP","TED"))</f>
        <v>TEA</v>
      </c>
    </row>
    <row r="3" customFormat="false" ht="15" hidden="false" customHeight="false" outlineLevel="0" collapsed="false">
      <c r="A3" s="1" t="n">
        <v>2</v>
      </c>
      <c r="B3" s="2" t="s">
        <v>13</v>
      </c>
      <c r="C3" s="2" t="n">
        <v>10</v>
      </c>
      <c r="D3" s="2"/>
      <c r="E3" s="2" t="n">
        <v>6</v>
      </c>
      <c r="F3" s="4" t="n">
        <v>46168</v>
      </c>
      <c r="G3" s="2"/>
      <c r="H3" s="2" t="n">
        <v>6</v>
      </c>
      <c r="I3" s="3" t="n">
        <v>46168</v>
      </c>
      <c r="J3" s="2" t="n">
        <v>7</v>
      </c>
      <c r="K3" s="3" t="n">
        <v>46168</v>
      </c>
      <c r="L3" s="2" t="n">
        <v>9.33</v>
      </c>
      <c r="M3" s="2" t="n">
        <v>9</v>
      </c>
      <c r="N3" s="5" t="n">
        <f aca="false">ROUND(AVERAGE(C3,E3,H3,J3,L3,M3),0)</f>
        <v>8</v>
      </c>
      <c r="O3" s="5" t="str">
        <f aca="false">IF(N3&gt;6,"TEA",IF(N3&gt;3,"TEP","TED"))</f>
        <v>TEA</v>
      </c>
      <c r="P3" s="1" t="n">
        <v>2</v>
      </c>
      <c r="Q3" s="1" t="n">
        <v>10</v>
      </c>
      <c r="R3" s="5" t="n">
        <f aca="false">ROUND(AVERAGE(N3,Q3),0)</f>
        <v>9</v>
      </c>
      <c r="S3" s="5" t="str">
        <f aca="false">IF(R3&gt;6,"TEA",IF(R3&gt;3,"TEP","TED"))</f>
        <v>TEA</v>
      </c>
    </row>
    <row r="4" customFormat="false" ht="15" hidden="false" customHeight="false" outlineLevel="0" collapsed="false">
      <c r="A4" s="1" t="n">
        <v>3</v>
      </c>
      <c r="B4" s="2" t="s">
        <v>15</v>
      </c>
      <c r="C4" s="2" t="n">
        <v>6</v>
      </c>
      <c r="D4" s="3" t="n">
        <v>46168</v>
      </c>
      <c r="E4" s="2" t="n">
        <v>7</v>
      </c>
      <c r="F4" s="4" t="n">
        <v>46168</v>
      </c>
      <c r="G4" s="2"/>
      <c r="H4" s="2" t="n">
        <v>6</v>
      </c>
      <c r="I4" s="4" t="n">
        <v>46217</v>
      </c>
      <c r="J4" s="2" t="n">
        <v>7</v>
      </c>
      <c r="K4" s="3" t="n">
        <v>46168</v>
      </c>
      <c r="L4" s="2" t="n">
        <v>9</v>
      </c>
      <c r="M4" s="2" t="n">
        <v>10</v>
      </c>
      <c r="N4" s="5" t="n">
        <f aca="false">ROUND(AVERAGE(C4,E4,H4,J4,L4,M4),0)</f>
        <v>8</v>
      </c>
      <c r="O4" s="5" t="str">
        <f aca="false">IF(N4&gt;6,"TEA",IF(N4&gt;3,"TEP","TED"))</f>
        <v>TEA</v>
      </c>
      <c r="P4" s="1" t="n">
        <v>4</v>
      </c>
      <c r="Q4" s="1" t="n">
        <v>7</v>
      </c>
      <c r="R4" s="5" t="n">
        <f aca="false">ROUND(AVERAGE(N4,Q4),0)</f>
        <v>8</v>
      </c>
      <c r="S4" s="5" t="str">
        <f aca="false">IF(R4&gt;6,"TEA",IF(R4&gt;3,"TEP","TED"))</f>
        <v>TEA</v>
      </c>
    </row>
    <row r="5" customFormat="false" ht="15" hidden="false" customHeight="false" outlineLevel="0" collapsed="false">
      <c r="A5" s="1" t="n">
        <v>4</v>
      </c>
      <c r="B5" s="2" t="s">
        <v>16</v>
      </c>
      <c r="C5" s="2" t="n">
        <v>8</v>
      </c>
      <c r="D5" s="2"/>
      <c r="E5" s="2" t="n">
        <v>10</v>
      </c>
      <c r="F5" s="2"/>
      <c r="G5" s="2"/>
      <c r="H5" s="2" t="n">
        <v>9</v>
      </c>
      <c r="I5" s="2"/>
      <c r="J5" s="2" t="n">
        <v>10</v>
      </c>
      <c r="K5" s="2"/>
      <c r="L5" s="2" t="n">
        <v>10</v>
      </c>
      <c r="M5" s="2" t="n">
        <v>10</v>
      </c>
      <c r="N5" s="5" t="n">
        <f aca="false">ROUND(AVERAGE(C5,E5,H5,J5,L5,M5),0)</f>
        <v>10</v>
      </c>
      <c r="O5" s="5" t="str">
        <f aca="false">IF(N5&gt;6,"TEA",IF(N5&gt;3,"TEP","TED"))</f>
        <v>TEA</v>
      </c>
      <c r="P5" s="1" t="n">
        <v>1</v>
      </c>
      <c r="Q5" s="1" t="n">
        <v>10</v>
      </c>
      <c r="R5" s="5" t="n">
        <f aca="false">ROUND(AVERAGE(N5,Q5),0)</f>
        <v>10</v>
      </c>
      <c r="S5" s="5" t="str">
        <f aca="false">IF(R5&gt;6,"TEA",IF(R5&gt;3,"TEP","TED"))</f>
        <v>TEA</v>
      </c>
    </row>
    <row r="6" customFormat="false" ht="15" hidden="false" customHeight="false" outlineLevel="0" collapsed="false">
      <c r="A6" s="1" t="n">
        <v>5</v>
      </c>
      <c r="B6" s="2" t="s">
        <v>17</v>
      </c>
      <c r="C6" s="2" t="n">
        <v>8</v>
      </c>
      <c r="D6" s="2"/>
      <c r="E6" s="2" t="n">
        <v>10</v>
      </c>
      <c r="F6" s="2"/>
      <c r="G6" s="2"/>
      <c r="H6" s="2" t="n">
        <v>8</v>
      </c>
      <c r="I6" s="2"/>
      <c r="J6" s="2" t="n">
        <v>4</v>
      </c>
      <c r="K6" s="3" t="n">
        <v>46168</v>
      </c>
      <c r="L6" s="2" t="n">
        <v>9.67</v>
      </c>
      <c r="M6" s="2" t="n">
        <v>5</v>
      </c>
      <c r="N6" s="5" t="n">
        <f aca="false">ROUND(AVERAGE(C6,E6,H6,J6,L6,M6),0)</f>
        <v>7</v>
      </c>
      <c r="O6" s="5" t="str">
        <f aca="false">IF(N6&gt;6,"TEA",IF(N6&gt;3,"TEP","TED"))</f>
        <v>TEA</v>
      </c>
      <c r="P6" s="1" t="n">
        <v>3</v>
      </c>
      <c r="Q6" s="1" t="n">
        <v>10</v>
      </c>
      <c r="R6" s="5" t="n">
        <f aca="false">ROUND(AVERAGE(N6,Q6),0)</f>
        <v>9</v>
      </c>
      <c r="S6" s="5" t="str">
        <f aca="false">IF(R6&gt;6,"TEA",IF(R6&gt;3,"TEP","TED"))</f>
        <v>TEA</v>
      </c>
    </row>
    <row r="7" customFormat="false" ht="15" hidden="false" customHeight="false" outlineLevel="0" collapsed="false">
      <c r="A7" s="1" t="n">
        <v>6</v>
      </c>
      <c r="B7" s="2" t="s">
        <v>18</v>
      </c>
      <c r="C7" s="2" t="n">
        <v>10</v>
      </c>
      <c r="D7" s="2"/>
      <c r="E7" s="2" t="n">
        <v>10</v>
      </c>
      <c r="F7" s="2"/>
      <c r="G7" s="2"/>
      <c r="H7" s="2" t="n">
        <v>9</v>
      </c>
      <c r="I7" s="2"/>
      <c r="J7" s="2" t="n">
        <v>9</v>
      </c>
      <c r="K7" s="2"/>
      <c r="L7" s="2" t="n">
        <v>9.67</v>
      </c>
      <c r="M7" s="2" t="n">
        <v>8</v>
      </c>
      <c r="N7" s="5" t="n">
        <f aca="false">ROUND(AVERAGE(C7,E7,H7,J7,L7,M7),0)</f>
        <v>9</v>
      </c>
      <c r="O7" s="5" t="str">
        <f aca="false">IF(N7&gt;6,"TEA",IF(N7&gt;3,"TEP","TED"))</f>
        <v>TEA</v>
      </c>
      <c r="P7" s="1" t="n">
        <v>1</v>
      </c>
      <c r="Q7" s="1" t="n">
        <v>10</v>
      </c>
      <c r="R7" s="5" t="n">
        <f aca="false">ROUND(AVERAGE(N7,Q7),0)</f>
        <v>10</v>
      </c>
      <c r="S7" s="5" t="str">
        <f aca="false">IF(R7&gt;6,"TEA",IF(R7&gt;3,"TEP","TED"))</f>
        <v>TEA</v>
      </c>
    </row>
    <row r="8" customFormat="false" ht="15" hidden="false" customHeight="false" outlineLevel="0" collapsed="false">
      <c r="A8" s="1" t="n">
        <v>7</v>
      </c>
      <c r="B8" s="2" t="s">
        <v>19</v>
      </c>
      <c r="C8" s="2" t="n">
        <v>7</v>
      </c>
      <c r="D8" s="4" t="n">
        <v>46217</v>
      </c>
      <c r="E8" s="2" t="n">
        <v>7</v>
      </c>
      <c r="F8" s="4" t="n">
        <v>46217</v>
      </c>
      <c r="G8" s="2"/>
      <c r="H8" s="2" t="n">
        <v>7</v>
      </c>
      <c r="I8" s="4" t="n">
        <v>46217</v>
      </c>
      <c r="J8" s="2" t="n">
        <v>7</v>
      </c>
      <c r="K8" s="4" t="n">
        <v>46217</v>
      </c>
      <c r="L8" s="2" t="n">
        <v>10</v>
      </c>
      <c r="M8" s="2" t="n">
        <v>10</v>
      </c>
      <c r="N8" s="5" t="n">
        <f aca="false">ROUND(AVERAGE(C8,E8,H8,J8,L8,M8),0)</f>
        <v>8</v>
      </c>
      <c r="O8" s="5" t="str">
        <f aca="false">IF(N8&gt;6,"TEA",IF(N8&gt;3,"TEP","TED"))</f>
        <v>TEA</v>
      </c>
      <c r="P8" s="1" t="n">
        <v>2</v>
      </c>
      <c r="Q8" s="1" t="n">
        <v>10</v>
      </c>
      <c r="R8" s="5" t="n">
        <f aca="false">ROUND(AVERAGE(N8,Q8),0)</f>
        <v>9</v>
      </c>
      <c r="S8" s="5" t="str">
        <f aca="false">IF(R8&gt;6,"TEA",IF(R8&gt;3,"TEP","TED"))</f>
        <v>TEA</v>
      </c>
    </row>
    <row r="9" customFormat="false" ht="15" hidden="false" customHeight="false" outlineLevel="0" collapsed="false">
      <c r="A9" s="1" t="n">
        <v>8</v>
      </c>
      <c r="B9" s="2" t="s">
        <v>20</v>
      </c>
      <c r="C9" s="2" t="n">
        <v>9</v>
      </c>
      <c r="D9" s="2"/>
      <c r="E9" s="2" t="n">
        <v>10</v>
      </c>
      <c r="F9" s="2"/>
      <c r="G9" s="2"/>
      <c r="H9" s="2" t="n">
        <v>10</v>
      </c>
      <c r="I9" s="2"/>
      <c r="J9" s="2" t="n">
        <v>9</v>
      </c>
      <c r="K9" s="2"/>
      <c r="L9" s="2" t="n">
        <v>10</v>
      </c>
      <c r="M9" s="2" t="n">
        <v>10</v>
      </c>
      <c r="N9" s="5" t="n">
        <f aca="false">ROUND(AVERAGE(C9,E9,H9,J9,L9,M9),0)</f>
        <v>10</v>
      </c>
      <c r="O9" s="5" t="str">
        <f aca="false">IF(N9&gt;6,"TEA",IF(N9&gt;3,"TEP","TED"))</f>
        <v>TEA</v>
      </c>
      <c r="P9" s="1" t="n">
        <v>1</v>
      </c>
      <c r="Q9" s="1" t="n">
        <v>10</v>
      </c>
      <c r="R9" s="5" t="n">
        <f aca="false">ROUND(AVERAGE(N9,Q9),0)</f>
        <v>10</v>
      </c>
      <c r="S9" s="5" t="str">
        <f aca="false">IF(R9&gt;6,"TEA",IF(R9&gt;3,"TEP","TED"))</f>
        <v>TEA</v>
      </c>
    </row>
    <row r="10" customFormat="false" ht="15" hidden="false" customHeight="false" outlineLevel="0" collapsed="false">
      <c r="A10" s="1" t="n">
        <v>9</v>
      </c>
      <c r="B10" s="2" t="s">
        <v>21</v>
      </c>
      <c r="C10" s="2" t="n">
        <v>9</v>
      </c>
      <c r="D10" s="2"/>
      <c r="E10" s="2" t="n">
        <v>9</v>
      </c>
      <c r="F10" s="2"/>
      <c r="G10" s="3" t="n">
        <v>46168</v>
      </c>
      <c r="H10" s="2" t="n">
        <v>9</v>
      </c>
      <c r="I10" s="2"/>
      <c r="J10" s="2" t="n">
        <v>10</v>
      </c>
      <c r="K10" s="2"/>
      <c r="L10" s="2" t="n">
        <v>9.33</v>
      </c>
      <c r="M10" s="2" t="n">
        <v>8</v>
      </c>
      <c r="N10" s="5" t="n">
        <f aca="false">ROUND(AVERAGE(C10,E10,H10,J10,L10,M10),0)</f>
        <v>9</v>
      </c>
      <c r="O10" s="5" t="str">
        <f aca="false">IF(N10&gt;6,"TEA",IF(N10&gt;3,"TEP","TED"))</f>
        <v>TEA</v>
      </c>
      <c r="P10" s="1" t="n">
        <v>1</v>
      </c>
      <c r="Q10" s="1" t="n">
        <v>10</v>
      </c>
      <c r="R10" s="5" t="n">
        <f aca="false">ROUND(AVERAGE(N10,Q10),0)</f>
        <v>10</v>
      </c>
      <c r="S10" s="5" t="str">
        <f aca="false">IF(R10&gt;6,"TEA",IF(R10&gt;3,"TEP","TED"))</f>
        <v>TEA</v>
      </c>
    </row>
    <row r="11" customFormat="false" ht="15" hidden="false" customHeight="false" outlineLevel="0" collapsed="false">
      <c r="A11" s="1" t="n">
        <v>10</v>
      </c>
      <c r="B11" s="2" t="s">
        <v>22</v>
      </c>
      <c r="C11" s="2" t="n">
        <v>6</v>
      </c>
      <c r="D11" s="4" t="n">
        <v>46217</v>
      </c>
      <c r="E11" s="2" t="n">
        <v>7</v>
      </c>
      <c r="F11" s="4" t="n">
        <v>46217</v>
      </c>
      <c r="G11" s="2"/>
      <c r="H11" s="2" t="n">
        <v>10</v>
      </c>
      <c r="I11" s="2"/>
      <c r="J11" s="2" t="n">
        <v>7</v>
      </c>
      <c r="K11" s="4" t="n">
        <v>46217</v>
      </c>
      <c r="L11" s="2" t="n">
        <v>10</v>
      </c>
      <c r="M11" s="2" t="n">
        <v>9</v>
      </c>
      <c r="N11" s="5" t="n">
        <f aca="false">ROUND(AVERAGE(C11,E11,H11,J11,L11,M11),0)</f>
        <v>8</v>
      </c>
      <c r="O11" s="5" t="str">
        <f aca="false">IF(N11&gt;6,"TEA",IF(N11&gt;3,"TEP","TED"))</f>
        <v>TEA</v>
      </c>
      <c r="P11" s="1" t="n">
        <v>4</v>
      </c>
      <c r="Q11" s="1" t="n">
        <v>10</v>
      </c>
      <c r="R11" s="5" t="n">
        <f aca="false">ROUND(AVERAGE(N11,Q11),0)</f>
        <v>9</v>
      </c>
      <c r="S11" s="5" t="str">
        <f aca="false">IF(R11&gt;6,"TEA",IF(R11&gt;3,"TEP","TED"))</f>
        <v>TEA</v>
      </c>
    </row>
    <row r="12" customFormat="false" ht="15" hidden="false" customHeight="false" outlineLevel="0" collapsed="false">
      <c r="A12" s="1" t="n">
        <v>11</v>
      </c>
      <c r="B12" s="2" t="s">
        <v>23</v>
      </c>
      <c r="C12" s="2" t="n">
        <v>8</v>
      </c>
      <c r="D12" s="2"/>
      <c r="E12" s="2" t="n">
        <v>10</v>
      </c>
      <c r="F12" s="2"/>
      <c r="G12" s="2"/>
      <c r="H12" s="2" t="n">
        <v>6</v>
      </c>
      <c r="I12" s="2"/>
      <c r="J12" s="2" t="n">
        <v>8</v>
      </c>
      <c r="K12" s="2"/>
      <c r="L12" s="2" t="n">
        <v>9.33</v>
      </c>
      <c r="M12" s="2" t="n">
        <v>10</v>
      </c>
      <c r="N12" s="5" t="n">
        <f aca="false">ROUND(AVERAGE(C12,E12,H12,J12,L12,M12),0)</f>
        <v>9</v>
      </c>
      <c r="O12" s="5" t="str">
        <f aca="false">IF(N12&gt;6,"TEA",IF(N12&gt;3,"TEP","TED"))</f>
        <v>TEA</v>
      </c>
      <c r="P12" s="1" t="n">
        <v>2</v>
      </c>
      <c r="Q12" s="1" t="n">
        <v>10</v>
      </c>
      <c r="R12" s="5" t="n">
        <f aca="false">ROUND(AVERAGE(N12,Q12),0)</f>
        <v>10</v>
      </c>
      <c r="S12" s="5" t="str">
        <f aca="false">IF(R12&gt;6,"TEA",IF(R12&gt;3,"TEP","TED"))</f>
        <v>TEA</v>
      </c>
    </row>
    <row r="13" customFormat="false" ht="15" hidden="false" customHeight="false" outlineLevel="0" collapsed="false">
      <c r="A13" s="1" t="n">
        <v>12</v>
      </c>
      <c r="B13" s="2" t="s">
        <v>24</v>
      </c>
      <c r="C13" s="2" t="n">
        <v>9</v>
      </c>
      <c r="D13" s="2"/>
      <c r="E13" s="2" t="n">
        <v>10</v>
      </c>
      <c r="F13" s="2"/>
      <c r="G13" s="2"/>
      <c r="H13" s="2" t="n">
        <v>9</v>
      </c>
      <c r="I13" s="2"/>
      <c r="J13" s="2" t="n">
        <v>10</v>
      </c>
      <c r="K13" s="2"/>
      <c r="L13" s="2" t="n">
        <v>10</v>
      </c>
      <c r="M13" s="2" t="n">
        <v>9</v>
      </c>
      <c r="N13" s="5" t="n">
        <f aca="false">ROUND(AVERAGE(C13,E13,H13,J13,L13,M13),0)</f>
        <v>10</v>
      </c>
      <c r="O13" s="5" t="str">
        <f aca="false">IF(N13&gt;6,"TEA",IF(N13&gt;3,"TEP","TED"))</f>
        <v>TEA</v>
      </c>
      <c r="P13" s="1" t="n">
        <v>1</v>
      </c>
      <c r="Q13" s="1" t="n">
        <v>10</v>
      </c>
      <c r="R13" s="5" t="n">
        <f aca="false">ROUND(AVERAGE(N13,Q13),0)</f>
        <v>10</v>
      </c>
      <c r="S13" s="5" t="str">
        <f aca="false">IF(R13&gt;6,"TEA",IF(R13&gt;3,"TEP","TED"))</f>
        <v>TEA</v>
      </c>
    </row>
    <row r="14" customFormat="false" ht="15" hidden="false" customHeight="false" outlineLevel="0" collapsed="false">
      <c r="A14" s="1" t="n">
        <v>13</v>
      </c>
      <c r="B14" s="2" t="s">
        <v>25</v>
      </c>
      <c r="C14" s="2" t="n">
        <v>1</v>
      </c>
      <c r="D14" s="2"/>
      <c r="E14" s="2" t="n">
        <v>1</v>
      </c>
      <c r="F14" s="2"/>
      <c r="G14" s="2"/>
      <c r="H14" s="2" t="n">
        <v>1</v>
      </c>
      <c r="I14" s="2"/>
      <c r="J14" s="2" t="n">
        <v>6</v>
      </c>
      <c r="K14" s="3" t="n">
        <v>46168</v>
      </c>
      <c r="L14" s="2" t="n">
        <v>9.67</v>
      </c>
      <c r="M14" s="2" t="n">
        <v>9</v>
      </c>
      <c r="N14" s="5" t="n">
        <f aca="false">ROUND(AVERAGE(C14,E14,H14,J14,L14,M14),0)</f>
        <v>5</v>
      </c>
      <c r="O14" s="5" t="str">
        <f aca="false">IF(N14&gt;6,"TEA",IF(N14&gt;3,"TEP","TED"))</f>
        <v>TEP</v>
      </c>
      <c r="P14" s="1" t="n">
        <v>3</v>
      </c>
      <c r="Q14" s="1" t="n">
        <v>1</v>
      </c>
      <c r="R14" s="5" t="n">
        <f aca="false">ROUND(AVERAGE(N14,Q14),0)</f>
        <v>3</v>
      </c>
      <c r="S14" s="5" t="str">
        <f aca="false">IF(R14&gt;6,"TEA",IF(R14&gt;3,"TEP","TED"))</f>
        <v>TED</v>
      </c>
    </row>
    <row r="15" customFormat="false" ht="15" hidden="false" customHeight="false" outlineLevel="0" collapsed="false">
      <c r="A15" s="1" t="n">
        <v>14</v>
      </c>
      <c r="B15" s="2" t="s">
        <v>26</v>
      </c>
      <c r="C15" s="2" t="n">
        <v>10</v>
      </c>
      <c r="D15" s="2"/>
      <c r="E15" s="2" t="n">
        <v>9</v>
      </c>
      <c r="F15" s="2"/>
      <c r="G15" s="3" t="n">
        <v>46168</v>
      </c>
      <c r="H15" s="2" t="n">
        <v>9</v>
      </c>
      <c r="I15" s="3" t="n">
        <v>46168</v>
      </c>
      <c r="J15" s="2" t="n">
        <v>8</v>
      </c>
      <c r="K15" s="3" t="n">
        <v>46168</v>
      </c>
      <c r="L15" s="2" t="n">
        <v>10</v>
      </c>
      <c r="M15" s="2" t="n">
        <v>10</v>
      </c>
      <c r="N15" s="5" t="n">
        <f aca="false">ROUND(AVERAGE(C15,E15,H15,J15,L15,M15),0)</f>
        <v>9</v>
      </c>
      <c r="O15" s="5" t="str">
        <f aca="false">IF(N15&gt;6,"TEA",IF(N15&gt;3,"TEP","TED"))</f>
        <v>TEA</v>
      </c>
      <c r="P15" s="1" t="n">
        <v>3</v>
      </c>
      <c r="Q15" s="1" t="n">
        <v>10</v>
      </c>
      <c r="R15" s="5" t="n">
        <f aca="false">ROUND(AVERAGE(N15,Q15),0)</f>
        <v>10</v>
      </c>
      <c r="S15" s="5" t="str">
        <f aca="false">IF(R15&gt;6,"TEA",IF(R15&gt;3,"TEP","TED"))</f>
        <v>TEA</v>
      </c>
    </row>
    <row r="16" customFormat="false" ht="15" hidden="false" customHeight="false" outlineLevel="0" collapsed="false">
      <c r="A16" s="1" t="n">
        <v>15</v>
      </c>
      <c r="B16" s="2" t="s">
        <v>27</v>
      </c>
      <c r="C16" s="2" t="n">
        <v>9</v>
      </c>
      <c r="D16" s="3" t="n">
        <v>46168</v>
      </c>
      <c r="E16" s="2" t="n">
        <v>9</v>
      </c>
      <c r="F16" s="2"/>
      <c r="G16" s="3" t="n">
        <v>46168</v>
      </c>
      <c r="H16" s="2" t="n">
        <v>7</v>
      </c>
      <c r="I16" s="3" t="n">
        <v>46168</v>
      </c>
      <c r="J16" s="2" t="n">
        <v>6</v>
      </c>
      <c r="K16" s="3" t="n">
        <v>46168</v>
      </c>
      <c r="L16" s="2" t="n">
        <v>9.33</v>
      </c>
      <c r="M16" s="2" t="n">
        <v>10</v>
      </c>
      <c r="N16" s="5" t="n">
        <f aca="false">ROUND(AVERAGE(C16,E16,H16,J16,L16,M16),0)</f>
        <v>8</v>
      </c>
      <c r="O16" s="5" t="str">
        <f aca="false">IF(N16&gt;6,"TEA",IF(N16&gt;3,"TEP","TED"))</f>
        <v>TEA</v>
      </c>
      <c r="P16" s="1" t="n">
        <v>4</v>
      </c>
      <c r="Q16" s="1" t="n">
        <v>10</v>
      </c>
      <c r="R16" s="5" t="n">
        <f aca="false">ROUND(AVERAGE(N16,Q16),0)</f>
        <v>9</v>
      </c>
      <c r="S16" s="5" t="str">
        <f aca="false">IF(R16&gt;6,"TEA",IF(R16&gt;3,"TEP","TED"))</f>
        <v>TEA</v>
      </c>
    </row>
    <row r="17" s="9" customFormat="true" ht="15" hidden="false" customHeight="false" outlineLevel="0" collapsed="false">
      <c r="A17" s="8" t="n">
        <v>16</v>
      </c>
      <c r="B17" s="9" t="s">
        <v>28</v>
      </c>
      <c r="C17" s="8" t="n">
        <v>7</v>
      </c>
      <c r="D17" s="4" t="n">
        <v>46217</v>
      </c>
      <c r="E17" s="8" t="n">
        <v>1</v>
      </c>
      <c r="F17" s="8"/>
      <c r="G17" s="8"/>
      <c r="H17" s="8" t="n">
        <v>1</v>
      </c>
      <c r="I17" s="8"/>
      <c r="J17" s="8" t="n">
        <v>1</v>
      </c>
      <c r="K17" s="8"/>
      <c r="L17" s="8" t="n">
        <v>1</v>
      </c>
      <c r="M17" s="8" t="n">
        <v>4</v>
      </c>
      <c r="N17" s="10" t="n">
        <f aca="false">ROUND(AVERAGE(C17,E17,H17,J17,L17,M17),0)</f>
        <v>3</v>
      </c>
      <c r="O17" s="5" t="str">
        <f aca="false">IF(N17&gt;6,"TEA",IF(N17&gt;3,"TEP","TED"))</f>
        <v>TED</v>
      </c>
      <c r="P17" s="9" t="n">
        <v>3</v>
      </c>
      <c r="Q17" s="1" t="n">
        <v>1</v>
      </c>
      <c r="R17" s="5" t="n">
        <f aca="false">ROUND(AVERAGE(N17,Q17),0)</f>
        <v>2</v>
      </c>
      <c r="S17" s="5" t="str">
        <f aca="false">IF(R17&gt;6,"TEA",IF(R17&gt;3,"TEP","TED"))</f>
        <v>TED</v>
      </c>
      <c r="XFD17" s="1"/>
    </row>
    <row r="18" customFormat="false" ht="15" hidden="false" customHeight="false" outlineLevel="0" collapsed="false">
      <c r="A18" s="1" t="n">
        <v>17</v>
      </c>
      <c r="B18" s="2" t="s">
        <v>29</v>
      </c>
      <c r="C18" s="2" t="n">
        <v>1</v>
      </c>
      <c r="D18" s="2"/>
      <c r="E18" s="2" t="n">
        <v>1</v>
      </c>
      <c r="F18" s="2"/>
      <c r="G18" s="2"/>
      <c r="H18" s="2" t="n">
        <v>1</v>
      </c>
      <c r="I18" s="2"/>
      <c r="J18" s="2" t="n">
        <v>1</v>
      </c>
      <c r="K18" s="2"/>
      <c r="L18" s="2" t="n">
        <v>9.33</v>
      </c>
      <c r="M18" s="2" t="n">
        <v>8</v>
      </c>
      <c r="N18" s="5" t="n">
        <f aca="false">ROUND(AVERAGE(C18,E18,H18,J18,L18,M18),0)</f>
        <v>4</v>
      </c>
      <c r="O18" s="5" t="str">
        <f aca="false">IF(N18&gt;6,"TEA",IF(N18&gt;3,"TEP","TED"))</f>
        <v>TEP</v>
      </c>
      <c r="P18" s="1" t="n">
        <v>3</v>
      </c>
      <c r="Q18" s="1" t="n">
        <v>10</v>
      </c>
      <c r="R18" s="5" t="n">
        <f aca="false">ROUND(AVERAGE(N18,Q18),0)</f>
        <v>7</v>
      </c>
      <c r="S18" s="5" t="str">
        <f aca="false">IF(R18&gt;6,"TEA",IF(R18&gt;3,"TEP","TED"))</f>
        <v>TEA</v>
      </c>
    </row>
    <row r="19" customFormat="false" ht="15" hidden="false" customHeight="false" outlineLevel="0" collapsed="false">
      <c r="A19" s="1" t="n">
        <v>18</v>
      </c>
      <c r="B19" s="2" t="s">
        <v>30</v>
      </c>
      <c r="C19" s="2" t="n">
        <v>7</v>
      </c>
      <c r="D19" s="3" t="n">
        <v>46168</v>
      </c>
      <c r="E19" s="2" t="n">
        <v>9</v>
      </c>
      <c r="F19" s="2"/>
      <c r="G19" s="3" t="n">
        <v>46168</v>
      </c>
      <c r="H19" s="2" t="n">
        <v>6</v>
      </c>
      <c r="I19" s="3" t="n">
        <v>46168</v>
      </c>
      <c r="J19" s="2" t="n">
        <v>6</v>
      </c>
      <c r="K19" s="3" t="n">
        <v>46168</v>
      </c>
      <c r="L19" s="2" t="n">
        <v>9.33</v>
      </c>
      <c r="M19" s="2" t="n">
        <v>8</v>
      </c>
      <c r="N19" s="5" t="n">
        <f aca="false">ROUND(AVERAGE(C19,E19,H19,J19,L19,M19),0)</f>
        <v>8</v>
      </c>
      <c r="O19" s="5" t="str">
        <f aca="false">IF(N19&gt;6,"TEA",IF(N19&gt;3,"TEP","TED"))</f>
        <v>TEA</v>
      </c>
      <c r="P19" s="1" t="n">
        <v>2</v>
      </c>
      <c r="Q19" s="1" t="n">
        <v>10</v>
      </c>
      <c r="R19" s="5" t="n">
        <f aca="false">ROUND(AVERAGE(N19,Q19),0)</f>
        <v>9</v>
      </c>
      <c r="S19" s="5" t="str">
        <f aca="false">IF(R19&gt;6,"TEA",IF(R19&gt;3,"TEP","TED"))</f>
        <v>TEA</v>
      </c>
    </row>
    <row r="20" customFormat="false" ht="15" hidden="false" customHeight="false" outlineLevel="0" collapsed="false">
      <c r="A20" s="1" t="n">
        <v>19</v>
      </c>
      <c r="B20" s="2" t="s">
        <v>31</v>
      </c>
      <c r="C20" s="2" t="n">
        <v>7</v>
      </c>
      <c r="D20" s="3" t="n">
        <v>46168</v>
      </c>
      <c r="E20" s="2" t="n">
        <v>6</v>
      </c>
      <c r="F20" s="4" t="n">
        <v>46168</v>
      </c>
      <c r="G20" s="2"/>
      <c r="H20" s="2" t="n">
        <v>7</v>
      </c>
      <c r="I20" s="3" t="n">
        <v>46168</v>
      </c>
      <c r="J20" s="2" t="n">
        <v>7</v>
      </c>
      <c r="K20" s="3" t="n">
        <v>46168</v>
      </c>
      <c r="L20" s="2" t="n">
        <v>9</v>
      </c>
      <c r="M20" s="2" t="n">
        <v>8</v>
      </c>
      <c r="N20" s="5" t="n">
        <f aca="false">ROUND(AVERAGE(C20,E20,H20,J20,L20,M20),0)</f>
        <v>7</v>
      </c>
      <c r="O20" s="5" t="str">
        <f aca="false">IF(N20&gt;6,"TEA",IF(N20&gt;3,"TEP","TED"))</f>
        <v>TEA</v>
      </c>
      <c r="P20" s="1" t="n">
        <v>4</v>
      </c>
      <c r="Q20" s="1" t="n">
        <v>7</v>
      </c>
      <c r="R20" s="5" t="n">
        <f aca="false">ROUND(AVERAGE(N20,Q20),0)</f>
        <v>7</v>
      </c>
      <c r="S20" s="5" t="str">
        <f aca="false">IF(R20&gt;6,"TEA",IF(R20&gt;3,"TEP","TED"))</f>
        <v>TEA</v>
      </c>
    </row>
    <row r="21" customFormat="false" ht="15" hidden="false" customHeight="false" outlineLevel="0" collapsed="false">
      <c r="A21" s="1" t="n">
        <v>20</v>
      </c>
      <c r="B21" s="2" t="s">
        <v>32</v>
      </c>
      <c r="C21" s="2" t="n">
        <v>9</v>
      </c>
      <c r="D21" s="3" t="n">
        <v>46168</v>
      </c>
      <c r="E21" s="2" t="n">
        <v>9</v>
      </c>
      <c r="F21" s="2"/>
      <c r="G21" s="3" t="n">
        <v>46168</v>
      </c>
      <c r="H21" s="2" t="n">
        <v>6</v>
      </c>
      <c r="I21" s="3" t="n">
        <v>46168</v>
      </c>
      <c r="J21" s="2" t="n">
        <v>10</v>
      </c>
      <c r="K21" s="2"/>
      <c r="L21" s="2" t="n">
        <v>8.33</v>
      </c>
      <c r="M21" s="2" t="n">
        <v>10</v>
      </c>
      <c r="N21" s="5" t="n">
        <f aca="false">ROUND(AVERAGE(C21,E21,H21,J21,L21,M21),0)</f>
        <v>9</v>
      </c>
      <c r="O21" s="5" t="str">
        <f aca="false">IF(N21&gt;6,"TEA",IF(N21&gt;3,"TEP","TED"))</f>
        <v>TEA</v>
      </c>
      <c r="P21" s="1" t="n">
        <v>2</v>
      </c>
      <c r="Q21" s="1" t="n">
        <v>10</v>
      </c>
      <c r="R21" s="5" t="n">
        <f aca="false">ROUND(AVERAGE(N21,Q21),0)</f>
        <v>10</v>
      </c>
      <c r="S21" s="5" t="str">
        <f aca="false">IF(R21&gt;6,"TEA",IF(R21&gt;3,"TEP","TED"))</f>
        <v>TEA</v>
      </c>
    </row>
    <row r="22" s="12" customFormat="true" ht="15" hidden="false" customHeight="false" outlineLevel="0" collapsed="false">
      <c r="A22" s="11" t="n">
        <v>21</v>
      </c>
      <c r="B22" s="12" t="s">
        <v>34</v>
      </c>
      <c r="C22" s="12" t="n">
        <v>6</v>
      </c>
      <c r="D22" s="13" t="n">
        <v>46126</v>
      </c>
      <c r="E22" s="12" t="n">
        <v>7</v>
      </c>
      <c r="F22" s="13" t="n">
        <v>46126</v>
      </c>
      <c r="H22" s="12" t="n">
        <v>7</v>
      </c>
      <c r="I22" s="13" t="n">
        <v>46126</v>
      </c>
      <c r="J22" s="12" t="n">
        <v>7</v>
      </c>
      <c r="K22" s="13" t="n">
        <v>46126</v>
      </c>
      <c r="L22" s="12" t="n">
        <v>9.33</v>
      </c>
      <c r="M22" s="12" t="n">
        <v>10</v>
      </c>
      <c r="N22" s="14" t="n">
        <f aca="false">ROUND(AVERAGE(C22,E22,H22,J22,L22,M22),0)</f>
        <v>8</v>
      </c>
      <c r="O22" s="14" t="str">
        <f aca="false">IF(N22&gt;6,"TEA",IF(N22&gt;3,"TEP","TED"))</f>
        <v>TEA</v>
      </c>
      <c r="P22" s="11" t="n">
        <v>3</v>
      </c>
      <c r="Q22" s="12" t="n">
        <v>7</v>
      </c>
      <c r="R22" s="14" t="n">
        <f aca="false">ROUND(AVERAGE(N22,Q22),0)</f>
        <v>8</v>
      </c>
      <c r="S22" s="14" t="str">
        <f aca="false">IF(R22&gt;6,"TEA",IF(R22&gt;3,"TEP","TED"))</f>
        <v>TEA</v>
      </c>
      <c r="T22" s="12" t="s">
        <v>52</v>
      </c>
    </row>
  </sheetData>
  <conditionalFormatting sqref="N2:O22 S2:S22">
    <cfRule type="cellIs" priority="2" operator="greaterThan" aboveAverage="0" equalAverage="0" bottom="0" percent="0" rank="0" text="" dxfId="0">
      <formula>7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  <cfRule type="cellIs" priority="5" operator="equal" aboveAverage="0" equalAverage="0" bottom="0" percent="0" rank="0" text="" dxfId="3">
      <formula>"TEA"</formula>
    </cfRule>
    <cfRule type="cellIs" priority="6" operator="equal" aboveAverage="0" equalAverage="0" bottom="0" percent="0" rank="0" text="" dxfId="4">
      <formula>"TEP"</formula>
    </cfRule>
    <cfRule type="cellIs" priority="7" operator="equal" aboveAverage="0" equalAverage="0" bottom="0" percent="0" rank="0" text="" dxfId="5">
      <formula>"TED"</formula>
    </cfRule>
  </conditionalFormatting>
  <conditionalFormatting sqref="C1:M22">
    <cfRule type="cellIs" priority="8" operator="greaterThan" aboveAverage="0" equalAverage="0" bottom="0" percent="0" rank="0" text="" dxfId="3">
      <formula>6</formula>
    </cfRule>
    <cfRule type="cellIs" priority="9" operator="between" aboveAverage="0" equalAverage="0" bottom="0" percent="0" rank="0" text="" dxfId="4">
      <formula>4</formula>
      <formula>6</formula>
    </cfRule>
    <cfRule type="cellIs" priority="10" operator="lessThan" aboveAverage="0" equalAverage="0" bottom="0" percent="0" rank="0" text="" dxfId="5">
      <formula>4</formula>
    </cfRule>
  </conditionalFormatting>
  <conditionalFormatting sqref="R2:R22">
    <cfRule type="cellIs" priority="11" operator="greaterThan" aboveAverage="0" equalAverage="0" bottom="0" percent="0" rank="0" text="" dxfId="6">
      <formula>6</formula>
    </cfRule>
    <cfRule type="cellIs" priority="12" operator="between" aboveAverage="0" equalAverage="0" bottom="0" percent="0" rank="0" text="" dxfId="7">
      <formula>4</formula>
      <formula>6</formula>
    </cfRule>
    <cfRule type="cellIs" priority="13" operator="lessThan" aboveAverage="0" equalAverage="0" bottom="0" percent="0" rank="0" text="" dxfId="8">
      <formula>4</formula>
    </cfRule>
  </conditionalFormatting>
  <conditionalFormatting sqref="Q2:Q22">
    <cfRule type="cellIs" priority="14" operator="greaterThan" aboveAverage="0" equalAverage="0" bottom="0" percent="0" rank="0" text="" dxfId="6">
      <formula>6</formula>
    </cfRule>
    <cfRule type="cellIs" priority="15" operator="between" aboveAverage="0" equalAverage="0" bottom="0" percent="0" rank="0" text="" dxfId="7">
      <formula>4</formula>
      <formula>6</formula>
    </cfRule>
    <cfRule type="cellIs" priority="16" operator="lessThan" aboveAverage="0" equalAverage="0" bottom="0" percent="0" rank="0" text="" dxfId="8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6" activeCellId="0" sqref="B6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19.94"/>
    <col collapsed="false" customWidth="true" hidden="false" outlineLevel="0" max="3" min="3" style="1" width="18.16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1</v>
      </c>
      <c r="D1" s="1" t="s">
        <v>53</v>
      </c>
      <c r="E1" s="1" t="s">
        <v>47</v>
      </c>
      <c r="F1" s="1" t="s">
        <v>54</v>
      </c>
      <c r="G1" s="1" t="s">
        <v>55</v>
      </c>
    </row>
    <row r="2" customFormat="false" ht="15" hidden="false" customHeight="false" outlineLevel="0" collapsed="false">
      <c r="A2" s="1" t="n">
        <v>1</v>
      </c>
      <c r="B2" s="2" t="s">
        <v>9</v>
      </c>
      <c r="D2" s="1" t="n">
        <v>1</v>
      </c>
      <c r="G2" s="1" t="n">
        <v>1</v>
      </c>
    </row>
    <row r="3" customFormat="false" ht="15" hidden="false" customHeight="false" outlineLevel="0" collapsed="false">
      <c r="A3" s="1" t="n">
        <v>2</v>
      </c>
      <c r="B3" s="2" t="s">
        <v>13</v>
      </c>
      <c r="C3" s="1" t="s">
        <v>13</v>
      </c>
      <c r="D3" s="1" t="n">
        <v>10</v>
      </c>
      <c r="G3" s="1" t="n">
        <v>10</v>
      </c>
    </row>
    <row r="4" customFormat="false" ht="15" hidden="false" customHeight="false" outlineLevel="0" collapsed="false">
      <c r="A4" s="1" t="n">
        <v>3</v>
      </c>
      <c r="B4" s="2" t="s">
        <v>15</v>
      </c>
      <c r="D4" s="1" t="n">
        <v>1</v>
      </c>
      <c r="G4" s="1" t="n">
        <v>1</v>
      </c>
    </row>
    <row r="5" customFormat="false" ht="15" hidden="false" customHeight="false" outlineLevel="0" collapsed="false">
      <c r="A5" s="1" t="n">
        <v>4</v>
      </c>
      <c r="B5" s="2" t="s">
        <v>16</v>
      </c>
      <c r="C5" s="1" t="s">
        <v>16</v>
      </c>
      <c r="D5" s="1" t="n">
        <v>8</v>
      </c>
      <c r="G5" s="1" t="n">
        <v>8</v>
      </c>
    </row>
    <row r="6" customFormat="false" ht="15" hidden="false" customHeight="false" outlineLevel="0" collapsed="false">
      <c r="A6" s="1" t="n">
        <v>5</v>
      </c>
      <c r="B6" s="2" t="s">
        <v>17</v>
      </c>
      <c r="C6" s="1" t="s">
        <v>17</v>
      </c>
      <c r="D6" s="1" t="n">
        <v>8</v>
      </c>
      <c r="G6" s="1" t="n">
        <v>8</v>
      </c>
    </row>
    <row r="7" customFormat="false" ht="15" hidden="false" customHeight="false" outlineLevel="0" collapsed="false">
      <c r="A7" s="1" t="n">
        <v>6</v>
      </c>
      <c r="B7" s="2" t="s">
        <v>18</v>
      </c>
      <c r="C7" s="1" t="s">
        <v>18</v>
      </c>
      <c r="D7" s="1" t="n">
        <v>10</v>
      </c>
      <c r="G7" s="1" t="n">
        <v>10</v>
      </c>
    </row>
    <row r="8" customFormat="false" ht="15" hidden="false" customHeight="false" outlineLevel="0" collapsed="false">
      <c r="A8" s="1" t="n">
        <v>7</v>
      </c>
      <c r="B8" s="2" t="s">
        <v>19</v>
      </c>
      <c r="D8" s="1" t="n">
        <v>1</v>
      </c>
      <c r="G8" s="1" t="n">
        <v>1</v>
      </c>
    </row>
    <row r="9" customFormat="false" ht="15" hidden="false" customHeight="false" outlineLevel="0" collapsed="false">
      <c r="A9" s="1" t="n">
        <v>8</v>
      </c>
      <c r="B9" s="2" t="s">
        <v>20</v>
      </c>
      <c r="C9" s="1" t="s">
        <v>20</v>
      </c>
      <c r="D9" s="1" t="n">
        <v>10</v>
      </c>
      <c r="E9" s="1" t="n">
        <f aca="false">ROUND(AVERAGE(D9:D13),0)</f>
        <v>8</v>
      </c>
      <c r="F9" s="1" t="n">
        <v>9</v>
      </c>
      <c r="G9" s="1" t="n">
        <f aca="false">MAX(F9,E9)</f>
        <v>9</v>
      </c>
    </row>
    <row r="10" customFormat="false" ht="15" hidden="false" customHeight="false" outlineLevel="0" collapsed="false">
      <c r="C10" s="1" t="s">
        <v>20</v>
      </c>
      <c r="D10" s="1" t="n">
        <v>9</v>
      </c>
    </row>
    <row r="11" customFormat="false" ht="15" hidden="false" customHeight="false" outlineLevel="0" collapsed="false">
      <c r="C11" s="1" t="s">
        <v>20</v>
      </c>
      <c r="D11" s="1" t="n">
        <v>8</v>
      </c>
    </row>
    <row r="12" customFormat="false" ht="15" hidden="false" customHeight="false" outlineLevel="0" collapsed="false">
      <c r="C12" s="1" t="s">
        <v>20</v>
      </c>
      <c r="D12" s="1" t="n">
        <v>6</v>
      </c>
    </row>
    <row r="13" customFormat="false" ht="15" hidden="false" customHeight="false" outlineLevel="0" collapsed="false">
      <c r="C13" s="1" t="s">
        <v>20</v>
      </c>
      <c r="D13" s="1" t="n">
        <v>6</v>
      </c>
    </row>
    <row r="14" customFormat="false" ht="15" hidden="false" customHeight="false" outlineLevel="0" collapsed="false">
      <c r="A14" s="1" t="n">
        <v>9</v>
      </c>
      <c r="B14" s="2" t="s">
        <v>21</v>
      </c>
      <c r="C14" s="1" t="s">
        <v>21</v>
      </c>
      <c r="D14" s="1" t="n">
        <v>9</v>
      </c>
      <c r="G14" s="1" t="n">
        <v>9</v>
      </c>
    </row>
    <row r="15" customFormat="false" ht="15" hidden="false" customHeight="false" outlineLevel="0" collapsed="false">
      <c r="A15" s="1" t="n">
        <v>10</v>
      </c>
      <c r="B15" s="2" t="s">
        <v>22</v>
      </c>
      <c r="D15" s="1" t="n">
        <v>1</v>
      </c>
      <c r="G15" s="1" t="n">
        <v>1</v>
      </c>
    </row>
    <row r="16" customFormat="false" ht="15" hidden="false" customHeight="false" outlineLevel="0" collapsed="false">
      <c r="A16" s="1" t="n">
        <v>11</v>
      </c>
      <c r="B16" s="2" t="s">
        <v>23</v>
      </c>
      <c r="C16" s="1" t="s">
        <v>23</v>
      </c>
      <c r="D16" s="1" t="n">
        <v>8</v>
      </c>
      <c r="G16" s="1" t="n">
        <v>8</v>
      </c>
    </row>
    <row r="17" customFormat="false" ht="15" hidden="false" customHeight="false" outlineLevel="0" collapsed="false">
      <c r="A17" s="1" t="n">
        <v>12</v>
      </c>
      <c r="B17" s="2" t="s">
        <v>24</v>
      </c>
      <c r="C17" s="1" t="s">
        <v>24</v>
      </c>
      <c r="D17" s="1" t="n">
        <v>9</v>
      </c>
      <c r="G17" s="1" t="n">
        <v>9</v>
      </c>
    </row>
    <row r="18" customFormat="false" ht="15" hidden="false" customHeight="false" outlineLevel="0" collapsed="false">
      <c r="A18" s="1" t="n">
        <v>13</v>
      </c>
      <c r="B18" s="2" t="s">
        <v>25</v>
      </c>
      <c r="D18" s="1" t="n">
        <v>1</v>
      </c>
      <c r="G18" s="1" t="n">
        <v>1</v>
      </c>
    </row>
    <row r="19" customFormat="false" ht="15" hidden="false" customHeight="false" outlineLevel="0" collapsed="false">
      <c r="A19" s="1" t="n">
        <v>14</v>
      </c>
      <c r="B19" s="2" t="s">
        <v>26</v>
      </c>
      <c r="C19" s="1" t="s">
        <v>26</v>
      </c>
      <c r="D19" s="1" t="n">
        <v>10</v>
      </c>
      <c r="G19" s="1" t="n">
        <v>10</v>
      </c>
    </row>
    <row r="20" customFormat="false" ht="15" hidden="false" customHeight="false" outlineLevel="0" collapsed="false">
      <c r="A20" s="1" t="n">
        <v>15</v>
      </c>
      <c r="B20" s="2" t="s">
        <v>27</v>
      </c>
      <c r="D20" s="1" t="n">
        <v>1</v>
      </c>
      <c r="G20" s="1" t="n">
        <v>1</v>
      </c>
    </row>
    <row r="21" customFormat="false" ht="15" hidden="false" customHeight="false" outlineLevel="0" collapsed="false">
      <c r="A21" s="8" t="n">
        <v>16</v>
      </c>
      <c r="B21" s="9" t="s">
        <v>28</v>
      </c>
      <c r="D21" s="1" t="n">
        <v>1</v>
      </c>
      <c r="G21" s="1" t="n">
        <v>1</v>
      </c>
    </row>
    <row r="22" customFormat="false" ht="15" hidden="false" customHeight="false" outlineLevel="0" collapsed="false">
      <c r="A22" s="1" t="n">
        <v>17</v>
      </c>
      <c r="B22" s="2" t="s">
        <v>29</v>
      </c>
      <c r="D22" s="1" t="n">
        <v>1</v>
      </c>
      <c r="G22" s="1" t="n">
        <v>1</v>
      </c>
    </row>
    <row r="23" customFormat="false" ht="15" hidden="false" customHeight="false" outlineLevel="0" collapsed="false">
      <c r="A23" s="1" t="n">
        <v>18</v>
      </c>
      <c r="B23" s="2" t="s">
        <v>30</v>
      </c>
      <c r="D23" s="1" t="n">
        <v>1</v>
      </c>
      <c r="G23" s="1" t="n">
        <v>1</v>
      </c>
    </row>
    <row r="24" customFormat="false" ht="15" hidden="false" customHeight="false" outlineLevel="0" collapsed="false">
      <c r="A24" s="1" t="n">
        <v>19</v>
      </c>
      <c r="B24" s="2" t="s">
        <v>31</v>
      </c>
      <c r="D24" s="1" t="n">
        <v>1</v>
      </c>
      <c r="G24" s="1" t="n">
        <v>1</v>
      </c>
    </row>
    <row r="25" customFormat="false" ht="15" hidden="false" customHeight="false" outlineLevel="0" collapsed="false">
      <c r="A25" s="1" t="n">
        <v>20</v>
      </c>
      <c r="B25" s="2" t="s">
        <v>32</v>
      </c>
      <c r="D25" s="1" t="n">
        <v>1</v>
      </c>
      <c r="G25" s="1" t="n">
        <v>1</v>
      </c>
    </row>
    <row r="26" customFormat="false" ht="15" hidden="false" customHeight="false" outlineLevel="0" collapsed="false">
      <c r="A26" s="1" t="n">
        <v>21</v>
      </c>
      <c r="B26" s="2" t="s">
        <v>34</v>
      </c>
      <c r="D26" s="1" t="n">
        <v>1</v>
      </c>
      <c r="G26" s="1" t="n">
        <v>1</v>
      </c>
    </row>
    <row r="27" customFormat="false" ht="15" hidden="false" customHeight="false" outlineLevel="0" collapsed="false">
      <c r="E27" s="1" t="s">
        <v>7</v>
      </c>
      <c r="G27" s="1" t="n">
        <f aca="false">COUNTIF(G2:G26,"&gt;0")</f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11" colorId="64" zoomScale="80" zoomScaleNormal="80" zoomScalePageLayoutView="100" workbookViewId="0">
      <selection pane="topLeft" activeCell="D2" activeCellId="0" sqref="D2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19.94"/>
    <col collapsed="false" customWidth="true" hidden="false" outlineLevel="0" max="3" min="3" style="1" width="17.4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1</v>
      </c>
      <c r="D1" s="1" t="s">
        <v>53</v>
      </c>
    </row>
    <row r="2" customFormat="false" ht="15" hidden="false" customHeight="false" outlineLevel="0" collapsed="false">
      <c r="A2" s="1" t="n">
        <v>1</v>
      </c>
      <c r="B2" s="2" t="s">
        <v>9</v>
      </c>
      <c r="D2" s="1" t="n">
        <v>1</v>
      </c>
    </row>
    <row r="3" customFormat="false" ht="15" hidden="false" customHeight="false" outlineLevel="0" collapsed="false">
      <c r="A3" s="1" t="n">
        <v>2</v>
      </c>
      <c r="B3" s="2" t="s">
        <v>13</v>
      </c>
      <c r="D3" s="1" t="n">
        <v>1</v>
      </c>
    </row>
    <row r="4" customFormat="false" ht="15" hidden="false" customHeight="false" outlineLevel="0" collapsed="false">
      <c r="A4" s="1" t="n">
        <v>3</v>
      </c>
      <c r="B4" s="2" t="s">
        <v>15</v>
      </c>
      <c r="D4" s="1" t="n">
        <v>1</v>
      </c>
    </row>
    <row r="5" customFormat="false" ht="15" hidden="false" customHeight="false" outlineLevel="0" collapsed="false">
      <c r="A5" s="1" t="n">
        <v>4</v>
      </c>
      <c r="B5" s="2" t="s">
        <v>16</v>
      </c>
      <c r="C5" s="1" t="s">
        <v>16</v>
      </c>
      <c r="D5" s="1" t="n">
        <v>10</v>
      </c>
    </row>
    <row r="6" customFormat="false" ht="15" hidden="false" customHeight="false" outlineLevel="0" collapsed="false">
      <c r="A6" s="1" t="n">
        <v>5</v>
      </c>
      <c r="B6" s="2" t="s">
        <v>17</v>
      </c>
      <c r="C6" s="1" t="s">
        <v>17</v>
      </c>
      <c r="D6" s="1" t="n">
        <v>10</v>
      </c>
    </row>
    <row r="7" customFormat="false" ht="15" hidden="false" customHeight="false" outlineLevel="0" collapsed="false">
      <c r="A7" s="1" t="n">
        <v>6</v>
      </c>
      <c r="B7" s="2" t="s">
        <v>18</v>
      </c>
      <c r="C7" s="1" t="s">
        <v>18</v>
      </c>
      <c r="D7" s="1" t="n">
        <v>10</v>
      </c>
    </row>
    <row r="8" customFormat="false" ht="15" hidden="false" customHeight="false" outlineLevel="0" collapsed="false">
      <c r="A8" s="1" t="n">
        <v>7</v>
      </c>
      <c r="B8" s="2" t="s">
        <v>19</v>
      </c>
      <c r="D8" s="1" t="n">
        <v>1</v>
      </c>
    </row>
    <row r="9" customFormat="false" ht="15" hidden="false" customHeight="false" outlineLevel="0" collapsed="false">
      <c r="A9" s="1" t="n">
        <v>8</v>
      </c>
      <c r="B9" s="2" t="s">
        <v>20</v>
      </c>
      <c r="C9" s="1" t="s">
        <v>20</v>
      </c>
      <c r="D9" s="1" t="n">
        <v>10</v>
      </c>
    </row>
    <row r="10" customFormat="false" ht="15" hidden="false" customHeight="false" outlineLevel="0" collapsed="false">
      <c r="A10" s="1" t="n">
        <v>9</v>
      </c>
      <c r="B10" s="2" t="s">
        <v>21</v>
      </c>
      <c r="D10" s="1" t="n">
        <v>1</v>
      </c>
    </row>
    <row r="11" customFormat="false" ht="15" hidden="false" customHeight="false" outlineLevel="0" collapsed="false">
      <c r="A11" s="1" t="n">
        <v>10</v>
      </c>
      <c r="B11" s="2" t="s">
        <v>22</v>
      </c>
      <c r="D11" s="1" t="n">
        <v>1</v>
      </c>
    </row>
    <row r="12" customFormat="false" ht="15" hidden="false" customHeight="false" outlineLevel="0" collapsed="false">
      <c r="A12" s="1" t="n">
        <v>11</v>
      </c>
      <c r="B12" s="2" t="s">
        <v>23</v>
      </c>
      <c r="C12" s="1" t="s">
        <v>23</v>
      </c>
      <c r="D12" s="1" t="n">
        <v>10</v>
      </c>
    </row>
    <row r="13" customFormat="false" ht="15" hidden="false" customHeight="false" outlineLevel="0" collapsed="false">
      <c r="A13" s="1" t="n">
        <v>12</v>
      </c>
      <c r="B13" s="2" t="s">
        <v>24</v>
      </c>
      <c r="C13" s="1" t="s">
        <v>24</v>
      </c>
      <c r="D13" s="1" t="n">
        <v>10</v>
      </c>
    </row>
    <row r="14" customFormat="false" ht="15" hidden="false" customHeight="false" outlineLevel="0" collapsed="false">
      <c r="A14" s="1" t="n">
        <v>13</v>
      </c>
      <c r="B14" s="2" t="s">
        <v>25</v>
      </c>
      <c r="D14" s="1" t="n">
        <v>1</v>
      </c>
    </row>
    <row r="15" customFormat="false" ht="15" hidden="false" customHeight="false" outlineLevel="0" collapsed="false">
      <c r="A15" s="1" t="n">
        <v>14</v>
      </c>
      <c r="B15" s="2" t="s">
        <v>26</v>
      </c>
      <c r="D15" s="1" t="n">
        <v>1</v>
      </c>
    </row>
    <row r="16" customFormat="false" ht="15" hidden="false" customHeight="false" outlineLevel="0" collapsed="false">
      <c r="A16" s="1" t="n">
        <v>15</v>
      </c>
      <c r="B16" s="2" t="s">
        <v>27</v>
      </c>
      <c r="D16" s="1" t="n">
        <v>1</v>
      </c>
    </row>
    <row r="17" customFormat="false" ht="15" hidden="false" customHeight="false" outlineLevel="0" collapsed="false">
      <c r="A17" s="8" t="n">
        <v>16</v>
      </c>
      <c r="B17" s="9" t="s">
        <v>28</v>
      </c>
      <c r="D17" s="1" t="n">
        <v>1</v>
      </c>
    </row>
    <row r="18" customFormat="false" ht="15" hidden="false" customHeight="false" outlineLevel="0" collapsed="false">
      <c r="A18" s="1" t="n">
        <v>17</v>
      </c>
      <c r="B18" s="2" t="s">
        <v>29</v>
      </c>
      <c r="D18" s="1" t="n">
        <v>1</v>
      </c>
    </row>
    <row r="19" customFormat="false" ht="15" hidden="false" customHeight="false" outlineLevel="0" collapsed="false">
      <c r="A19" s="1" t="n">
        <v>18</v>
      </c>
      <c r="B19" s="2" t="s">
        <v>30</v>
      </c>
      <c r="D19" s="1" t="n">
        <v>1</v>
      </c>
    </row>
    <row r="20" customFormat="false" ht="15" hidden="false" customHeight="false" outlineLevel="0" collapsed="false">
      <c r="A20" s="1" t="n">
        <v>19</v>
      </c>
      <c r="B20" s="2" t="s">
        <v>31</v>
      </c>
      <c r="D20" s="1" t="n">
        <v>1</v>
      </c>
    </row>
    <row r="21" customFormat="false" ht="15" hidden="false" customHeight="false" outlineLevel="0" collapsed="false">
      <c r="A21" s="1" t="n">
        <v>20</v>
      </c>
      <c r="B21" s="2" t="s">
        <v>32</v>
      </c>
      <c r="D21" s="1" t="n">
        <v>1</v>
      </c>
    </row>
    <row r="22" customFormat="false" ht="15" hidden="false" customHeight="false" outlineLevel="0" collapsed="false">
      <c r="A22" s="1" t="n">
        <v>21</v>
      </c>
      <c r="B22" s="2" t="s">
        <v>34</v>
      </c>
      <c r="D22" s="1" t="n">
        <v>1</v>
      </c>
    </row>
    <row r="23" customFormat="false" ht="15" hidden="false" customHeight="false" outlineLevel="0" collapsed="false">
      <c r="C23" s="1" t="s">
        <v>7</v>
      </c>
      <c r="D23" s="1" t="n">
        <f aca="false">COUNTIF(D2:D22,"&gt;0")</f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20" colorId="64" zoomScale="80" zoomScaleNormal="80" zoomScalePageLayoutView="100" workbookViewId="0">
      <selection pane="topLeft" activeCell="G2" activeCellId="0" sqref="G2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19.94"/>
    <col collapsed="false" customWidth="true" hidden="false" outlineLevel="0" max="3" min="3" style="1" width="17.4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1</v>
      </c>
      <c r="D1" s="1" t="s">
        <v>53</v>
      </c>
      <c r="E1" s="1" t="s">
        <v>47</v>
      </c>
      <c r="F1" s="1" t="s">
        <v>54</v>
      </c>
      <c r="G1" s="1" t="s">
        <v>55</v>
      </c>
    </row>
    <row r="2" customFormat="false" ht="15" hidden="false" customHeight="false" outlineLevel="0" collapsed="false">
      <c r="A2" s="1" t="n">
        <v>1</v>
      </c>
      <c r="B2" s="2" t="s">
        <v>9</v>
      </c>
      <c r="D2" s="1" t="n">
        <v>1</v>
      </c>
      <c r="G2" s="1" t="n">
        <v>1</v>
      </c>
    </row>
    <row r="3" customFormat="false" ht="15" hidden="false" customHeight="false" outlineLevel="0" collapsed="false">
      <c r="A3" s="1" t="n">
        <v>2</v>
      </c>
      <c r="B3" s="2" t="s">
        <v>13</v>
      </c>
      <c r="D3" s="1" t="n">
        <v>1</v>
      </c>
      <c r="G3" s="1" t="n">
        <v>1</v>
      </c>
    </row>
    <row r="4" customFormat="false" ht="15" hidden="false" customHeight="false" outlineLevel="0" collapsed="false">
      <c r="A4" s="1" t="n">
        <v>3</v>
      </c>
      <c r="B4" s="2" t="s">
        <v>15</v>
      </c>
      <c r="D4" s="1" t="n">
        <v>1</v>
      </c>
      <c r="G4" s="1" t="n">
        <v>1</v>
      </c>
    </row>
    <row r="5" customFormat="false" ht="15" hidden="false" customHeight="false" outlineLevel="0" collapsed="false">
      <c r="A5" s="1" t="n">
        <v>4</v>
      </c>
      <c r="B5" s="2" t="s">
        <v>16</v>
      </c>
      <c r="C5" s="1" t="s">
        <v>16</v>
      </c>
      <c r="D5" s="1" t="n">
        <v>9</v>
      </c>
      <c r="G5" s="1" t="n">
        <v>9</v>
      </c>
    </row>
    <row r="6" customFormat="false" ht="15" hidden="false" customHeight="false" outlineLevel="0" collapsed="false">
      <c r="A6" s="1" t="n">
        <v>5</v>
      </c>
      <c r="B6" s="2" t="s">
        <v>17</v>
      </c>
      <c r="C6" s="1" t="s">
        <v>17</v>
      </c>
      <c r="D6" s="1" t="n">
        <v>8</v>
      </c>
      <c r="G6" s="1" t="n">
        <v>8</v>
      </c>
    </row>
    <row r="7" customFormat="false" ht="15" hidden="false" customHeight="false" outlineLevel="0" collapsed="false">
      <c r="A7" s="1" t="n">
        <v>6</v>
      </c>
      <c r="B7" s="2" t="s">
        <v>18</v>
      </c>
      <c r="C7" s="1" t="s">
        <v>18</v>
      </c>
      <c r="D7" s="1" t="n">
        <v>9</v>
      </c>
      <c r="E7" s="1" t="n">
        <f aca="false">ROUND(AVERAGE(D7:D8),0)</f>
        <v>9</v>
      </c>
      <c r="F7" s="1" t="n">
        <v>9</v>
      </c>
      <c r="G7" s="1" t="n">
        <f aca="false">MAX(F7,E7)</f>
        <v>9</v>
      </c>
    </row>
    <row r="8" customFormat="false" ht="15" hidden="false" customHeight="false" outlineLevel="0" collapsed="false">
      <c r="C8" s="1" t="s">
        <v>18</v>
      </c>
      <c r="D8" s="1" t="n">
        <v>9</v>
      </c>
    </row>
    <row r="9" customFormat="false" ht="15" hidden="false" customHeight="false" outlineLevel="0" collapsed="false">
      <c r="A9" s="1" t="n">
        <v>7</v>
      </c>
      <c r="B9" s="2" t="s">
        <v>19</v>
      </c>
      <c r="D9" s="1" t="n">
        <v>1</v>
      </c>
      <c r="G9" s="1" t="n">
        <v>1</v>
      </c>
    </row>
    <row r="10" customFormat="false" ht="15" hidden="false" customHeight="false" outlineLevel="0" collapsed="false">
      <c r="A10" s="1" t="n">
        <v>8</v>
      </c>
      <c r="B10" s="2" t="s">
        <v>20</v>
      </c>
      <c r="C10" s="1" t="s">
        <v>20</v>
      </c>
      <c r="D10" s="1" t="n">
        <v>10</v>
      </c>
      <c r="E10" s="1" t="n">
        <f aca="false">ROUND(AVERAGE(D10:D11),0)</f>
        <v>10</v>
      </c>
      <c r="F10" s="1" t="n">
        <v>9</v>
      </c>
      <c r="G10" s="1" t="n">
        <f aca="false">MAX(F10,E10)</f>
        <v>10</v>
      </c>
    </row>
    <row r="11" customFormat="false" ht="15" hidden="false" customHeight="false" outlineLevel="0" collapsed="false">
      <c r="C11" s="1" t="s">
        <v>20</v>
      </c>
      <c r="D11" s="1" t="n">
        <v>9</v>
      </c>
    </row>
    <row r="12" customFormat="false" ht="15" hidden="false" customHeight="false" outlineLevel="0" collapsed="false">
      <c r="A12" s="1" t="n">
        <v>9</v>
      </c>
      <c r="B12" s="2" t="s">
        <v>21</v>
      </c>
      <c r="C12" s="1" t="s">
        <v>21</v>
      </c>
      <c r="D12" s="1" t="n">
        <v>9</v>
      </c>
      <c r="G12" s="1" t="n">
        <v>9</v>
      </c>
    </row>
    <row r="13" customFormat="false" ht="15" hidden="false" customHeight="false" outlineLevel="0" collapsed="false">
      <c r="A13" s="1" t="n">
        <v>10</v>
      </c>
      <c r="B13" s="2" t="s">
        <v>22</v>
      </c>
      <c r="C13" s="1" t="s">
        <v>22</v>
      </c>
      <c r="D13" s="1" t="n">
        <v>10</v>
      </c>
      <c r="G13" s="1" t="n">
        <v>10</v>
      </c>
    </row>
    <row r="14" customFormat="false" ht="15" hidden="false" customHeight="false" outlineLevel="0" collapsed="false">
      <c r="A14" s="1" t="n">
        <v>11</v>
      </c>
      <c r="B14" s="2" t="s">
        <v>23</v>
      </c>
      <c r="C14" s="1" t="s">
        <v>23</v>
      </c>
      <c r="D14" s="1" t="n">
        <v>8</v>
      </c>
      <c r="E14" s="1" t="n">
        <f aca="false">ROUND(AVERAGE(D14:D18),0)</f>
        <v>5</v>
      </c>
      <c r="F14" s="1" t="n">
        <v>6</v>
      </c>
      <c r="G14" s="1" t="n">
        <f aca="false">MAX(F14,E14)</f>
        <v>6</v>
      </c>
    </row>
    <row r="15" customFormat="false" ht="15" hidden="false" customHeight="false" outlineLevel="0" collapsed="false">
      <c r="C15" s="1" t="s">
        <v>23</v>
      </c>
      <c r="D15" s="1" t="n">
        <v>6</v>
      </c>
    </row>
    <row r="16" customFormat="false" ht="15" hidden="false" customHeight="false" outlineLevel="0" collapsed="false">
      <c r="C16" s="1" t="s">
        <v>23</v>
      </c>
      <c r="D16" s="1" t="n">
        <v>5</v>
      </c>
    </row>
    <row r="17" customFormat="false" ht="15" hidden="false" customHeight="false" outlineLevel="0" collapsed="false">
      <c r="C17" s="1" t="s">
        <v>23</v>
      </c>
      <c r="D17" s="1" t="n">
        <v>5</v>
      </c>
    </row>
    <row r="18" customFormat="false" ht="15" hidden="false" customHeight="false" outlineLevel="0" collapsed="false">
      <c r="C18" s="1" t="s">
        <v>23</v>
      </c>
      <c r="D18" s="1" t="n">
        <v>3</v>
      </c>
    </row>
    <row r="19" customFormat="false" ht="15" hidden="false" customHeight="false" outlineLevel="0" collapsed="false">
      <c r="A19" s="1" t="n">
        <v>12</v>
      </c>
      <c r="B19" s="2" t="s">
        <v>24</v>
      </c>
      <c r="C19" s="1" t="s">
        <v>24</v>
      </c>
      <c r="D19" s="1" t="n">
        <v>9</v>
      </c>
      <c r="G19" s="1" t="n">
        <v>9</v>
      </c>
    </row>
    <row r="20" customFormat="false" ht="15" hidden="false" customHeight="false" outlineLevel="0" collapsed="false">
      <c r="A20" s="1" t="n">
        <v>13</v>
      </c>
      <c r="B20" s="2" t="s">
        <v>25</v>
      </c>
      <c r="D20" s="1" t="n">
        <v>1</v>
      </c>
      <c r="G20" s="1" t="n">
        <v>1</v>
      </c>
    </row>
    <row r="21" customFormat="false" ht="15" hidden="false" customHeight="false" outlineLevel="0" collapsed="false">
      <c r="A21" s="1" t="n">
        <v>14</v>
      </c>
      <c r="B21" s="2" t="s">
        <v>26</v>
      </c>
      <c r="D21" s="1" t="n">
        <v>1</v>
      </c>
      <c r="G21" s="1" t="n">
        <v>1</v>
      </c>
    </row>
    <row r="22" customFormat="false" ht="15" hidden="false" customHeight="false" outlineLevel="0" collapsed="false">
      <c r="A22" s="1" t="n">
        <v>15</v>
      </c>
      <c r="B22" s="2" t="s">
        <v>27</v>
      </c>
      <c r="D22" s="1" t="n">
        <v>1</v>
      </c>
      <c r="G22" s="1" t="n">
        <v>1</v>
      </c>
    </row>
    <row r="23" customFormat="false" ht="15" hidden="false" customHeight="false" outlineLevel="0" collapsed="false">
      <c r="A23" s="8" t="n">
        <v>16</v>
      </c>
      <c r="B23" s="9" t="s">
        <v>28</v>
      </c>
      <c r="D23" s="1" t="n">
        <v>1</v>
      </c>
      <c r="G23" s="1" t="n">
        <v>1</v>
      </c>
    </row>
    <row r="24" customFormat="false" ht="15" hidden="false" customHeight="false" outlineLevel="0" collapsed="false">
      <c r="A24" s="1" t="n">
        <v>17</v>
      </c>
      <c r="B24" s="2" t="s">
        <v>29</v>
      </c>
      <c r="D24" s="1" t="n">
        <v>1</v>
      </c>
      <c r="G24" s="1" t="n">
        <v>1</v>
      </c>
    </row>
    <row r="25" customFormat="false" ht="15" hidden="false" customHeight="false" outlineLevel="0" collapsed="false">
      <c r="A25" s="1" t="n">
        <v>18</v>
      </c>
      <c r="B25" s="2" t="s">
        <v>30</v>
      </c>
      <c r="D25" s="1" t="n">
        <v>1</v>
      </c>
      <c r="G25" s="1" t="n">
        <v>1</v>
      </c>
    </row>
    <row r="26" customFormat="false" ht="15" hidden="false" customHeight="false" outlineLevel="0" collapsed="false">
      <c r="A26" s="1" t="n">
        <v>19</v>
      </c>
      <c r="B26" s="2" t="s">
        <v>31</v>
      </c>
      <c r="D26" s="1" t="n">
        <v>1</v>
      </c>
      <c r="G26" s="1" t="n">
        <v>1</v>
      </c>
    </row>
    <row r="27" customFormat="false" ht="15" hidden="false" customHeight="false" outlineLevel="0" collapsed="false">
      <c r="A27" s="1" t="n">
        <v>20</v>
      </c>
      <c r="B27" s="2" t="s">
        <v>32</v>
      </c>
      <c r="D27" s="1" t="n">
        <v>1</v>
      </c>
      <c r="G27" s="1" t="n">
        <v>1</v>
      </c>
    </row>
    <row r="28" customFormat="false" ht="15" hidden="false" customHeight="false" outlineLevel="0" collapsed="false">
      <c r="A28" s="1" t="n">
        <v>21</v>
      </c>
      <c r="B28" s="2" t="s">
        <v>34</v>
      </c>
      <c r="D28" s="1" t="n">
        <v>1</v>
      </c>
      <c r="G28" s="1" t="n">
        <v>1</v>
      </c>
    </row>
    <row r="29" customFormat="false" ht="15" hidden="false" customHeight="false" outlineLevel="0" collapsed="false">
      <c r="F29" s="1" t="s">
        <v>56</v>
      </c>
      <c r="G29" s="1" t="n">
        <f aca="false">COUNTIF(G2:G28,"&gt;0")</f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24" activeCellId="0" sqref="G24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19.94"/>
    <col collapsed="false" customWidth="true" hidden="false" outlineLevel="0" max="3" min="3" style="1" width="17.4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1</v>
      </c>
      <c r="D1" s="1" t="s">
        <v>53</v>
      </c>
      <c r="E1" s="1" t="s">
        <v>47</v>
      </c>
      <c r="F1" s="1" t="s">
        <v>54</v>
      </c>
      <c r="G1" s="1" t="s">
        <v>55</v>
      </c>
    </row>
    <row r="2" customFormat="false" ht="15" hidden="false" customHeight="false" outlineLevel="0" collapsed="false">
      <c r="A2" s="1" t="n">
        <v>1</v>
      </c>
      <c r="B2" s="2" t="s">
        <v>9</v>
      </c>
      <c r="D2" s="1" t="n">
        <v>1</v>
      </c>
      <c r="G2" s="1" t="n">
        <v>1</v>
      </c>
    </row>
    <row r="3" customFormat="false" ht="15" hidden="false" customHeight="false" outlineLevel="0" collapsed="false">
      <c r="A3" s="1" t="n">
        <v>2</v>
      </c>
      <c r="B3" s="2" t="s">
        <v>13</v>
      </c>
      <c r="D3" s="1" t="n">
        <v>1</v>
      </c>
      <c r="G3" s="1" t="n">
        <v>1</v>
      </c>
    </row>
    <row r="4" customFormat="false" ht="15" hidden="false" customHeight="false" outlineLevel="0" collapsed="false">
      <c r="A4" s="1" t="n">
        <v>3</v>
      </c>
      <c r="B4" s="2" t="s">
        <v>15</v>
      </c>
      <c r="D4" s="1" t="n">
        <v>1</v>
      </c>
      <c r="G4" s="1" t="n">
        <v>1</v>
      </c>
    </row>
    <row r="5" customFormat="false" ht="15" hidden="false" customHeight="false" outlineLevel="0" collapsed="false">
      <c r="A5" s="1" t="n">
        <v>4</v>
      </c>
      <c r="B5" s="2" t="s">
        <v>16</v>
      </c>
      <c r="C5" s="1" t="s">
        <v>16</v>
      </c>
      <c r="D5" s="1" t="n">
        <v>10</v>
      </c>
      <c r="G5" s="1" t="n">
        <v>10</v>
      </c>
    </row>
    <row r="6" customFormat="false" ht="15" hidden="false" customHeight="false" outlineLevel="0" collapsed="false">
      <c r="A6" s="1" t="n">
        <v>5</v>
      </c>
      <c r="B6" s="2" t="s">
        <v>17</v>
      </c>
      <c r="D6" s="1" t="n">
        <v>1</v>
      </c>
      <c r="G6" s="1" t="n">
        <v>1</v>
      </c>
    </row>
    <row r="7" customFormat="false" ht="15" hidden="false" customHeight="false" outlineLevel="0" collapsed="false">
      <c r="A7" s="1" t="n">
        <v>6</v>
      </c>
      <c r="B7" s="2" t="s">
        <v>18</v>
      </c>
      <c r="C7" s="1" t="s">
        <v>18</v>
      </c>
      <c r="D7" s="1" t="n">
        <v>10</v>
      </c>
      <c r="E7" s="1" t="n">
        <f aca="false">ROUND(AVERAGE(D7:D9),0)</f>
        <v>9</v>
      </c>
      <c r="F7" s="1" t="n">
        <v>9</v>
      </c>
      <c r="G7" s="1" t="n">
        <f aca="false">MAX(F7,E7)</f>
        <v>9</v>
      </c>
    </row>
    <row r="8" customFormat="false" ht="15" hidden="false" customHeight="false" outlineLevel="0" collapsed="false">
      <c r="C8" s="1" t="s">
        <v>18</v>
      </c>
      <c r="D8" s="1" t="n">
        <v>9</v>
      </c>
    </row>
    <row r="9" customFormat="false" ht="15" hidden="false" customHeight="false" outlineLevel="0" collapsed="false">
      <c r="C9" s="1" t="s">
        <v>18</v>
      </c>
      <c r="D9" s="1" t="n">
        <v>8</v>
      </c>
    </row>
    <row r="10" customFormat="false" ht="15" hidden="false" customHeight="false" outlineLevel="0" collapsed="false">
      <c r="A10" s="1" t="n">
        <v>7</v>
      </c>
      <c r="B10" s="2" t="s">
        <v>19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8</v>
      </c>
      <c r="B11" s="2" t="s">
        <v>20</v>
      </c>
      <c r="C11" s="1" t="s">
        <v>20</v>
      </c>
      <c r="D11" s="1" t="n">
        <v>9</v>
      </c>
      <c r="G11" s="1" t="n">
        <v>9</v>
      </c>
    </row>
    <row r="12" customFormat="false" ht="15" hidden="false" customHeight="false" outlineLevel="0" collapsed="false">
      <c r="A12" s="1" t="n">
        <v>9</v>
      </c>
      <c r="B12" s="2" t="s">
        <v>21</v>
      </c>
      <c r="C12" s="1" t="s">
        <v>21</v>
      </c>
      <c r="D12" s="1" t="n">
        <v>10</v>
      </c>
      <c r="G12" s="1" t="n">
        <v>10</v>
      </c>
    </row>
    <row r="13" customFormat="false" ht="15" hidden="false" customHeight="false" outlineLevel="0" collapsed="false">
      <c r="A13" s="1" t="n">
        <v>10</v>
      </c>
      <c r="B13" s="2" t="s">
        <v>22</v>
      </c>
      <c r="D13" s="1" t="n">
        <v>1</v>
      </c>
      <c r="G13" s="1" t="n">
        <v>1</v>
      </c>
    </row>
    <row r="14" customFormat="false" ht="15" hidden="false" customHeight="false" outlineLevel="0" collapsed="false">
      <c r="A14" s="1" t="n">
        <v>11</v>
      </c>
      <c r="B14" s="2" t="s">
        <v>23</v>
      </c>
      <c r="C14" s="1" t="s">
        <v>23</v>
      </c>
      <c r="D14" s="1" t="n">
        <v>8</v>
      </c>
      <c r="G14" s="1" t="n">
        <v>8</v>
      </c>
    </row>
    <row r="15" customFormat="false" ht="15" hidden="false" customHeight="false" outlineLevel="0" collapsed="false">
      <c r="A15" s="1" t="n">
        <v>12</v>
      </c>
      <c r="B15" s="2" t="s">
        <v>24</v>
      </c>
      <c r="C15" s="1" t="s">
        <v>24</v>
      </c>
      <c r="D15" s="1" t="n">
        <v>10</v>
      </c>
      <c r="G15" s="1" t="n">
        <v>10</v>
      </c>
    </row>
    <row r="16" customFormat="false" ht="15" hidden="false" customHeight="false" outlineLevel="0" collapsed="false">
      <c r="A16" s="1" t="n">
        <v>13</v>
      </c>
      <c r="B16" s="2" t="s">
        <v>25</v>
      </c>
      <c r="D16" s="1" t="n">
        <v>1</v>
      </c>
      <c r="G16" s="1" t="n">
        <v>1</v>
      </c>
    </row>
    <row r="17" customFormat="false" ht="15" hidden="false" customHeight="false" outlineLevel="0" collapsed="false">
      <c r="A17" s="1" t="n">
        <v>14</v>
      </c>
      <c r="B17" s="2" t="s">
        <v>26</v>
      </c>
      <c r="D17" s="1" t="n">
        <v>1</v>
      </c>
      <c r="G17" s="1" t="n">
        <v>1</v>
      </c>
    </row>
    <row r="18" customFormat="false" ht="15" hidden="false" customHeight="false" outlineLevel="0" collapsed="false">
      <c r="A18" s="1" t="n">
        <v>15</v>
      </c>
      <c r="B18" s="2" t="s">
        <v>27</v>
      </c>
      <c r="D18" s="1" t="n">
        <v>1</v>
      </c>
      <c r="G18" s="1" t="n">
        <v>1</v>
      </c>
    </row>
    <row r="19" customFormat="false" ht="15" hidden="false" customHeight="false" outlineLevel="0" collapsed="false">
      <c r="A19" s="8" t="n">
        <v>16</v>
      </c>
      <c r="B19" s="9" t="s">
        <v>28</v>
      </c>
      <c r="D19" s="1" t="n">
        <v>1</v>
      </c>
      <c r="G19" s="1" t="n">
        <v>1</v>
      </c>
    </row>
    <row r="20" customFormat="false" ht="15" hidden="false" customHeight="false" outlineLevel="0" collapsed="false">
      <c r="A20" s="1" t="n">
        <v>17</v>
      </c>
      <c r="B20" s="2" t="s">
        <v>29</v>
      </c>
      <c r="D20" s="1" t="n">
        <v>1</v>
      </c>
      <c r="G20" s="1" t="n">
        <v>1</v>
      </c>
    </row>
    <row r="21" customFormat="false" ht="15" hidden="false" customHeight="false" outlineLevel="0" collapsed="false">
      <c r="A21" s="1" t="n">
        <v>18</v>
      </c>
      <c r="B21" s="2" t="s">
        <v>30</v>
      </c>
      <c r="D21" s="1" t="n">
        <v>1</v>
      </c>
      <c r="G21" s="1" t="n">
        <v>1</v>
      </c>
    </row>
    <row r="22" customFormat="false" ht="15" hidden="false" customHeight="false" outlineLevel="0" collapsed="false">
      <c r="A22" s="1" t="n">
        <v>19</v>
      </c>
      <c r="B22" s="2" t="s">
        <v>31</v>
      </c>
      <c r="D22" s="1" t="n">
        <v>1</v>
      </c>
      <c r="G22" s="1" t="n">
        <v>1</v>
      </c>
    </row>
    <row r="23" customFormat="false" ht="15" hidden="false" customHeight="false" outlineLevel="0" collapsed="false">
      <c r="A23" s="1" t="n">
        <v>20</v>
      </c>
      <c r="B23" s="2" t="s">
        <v>32</v>
      </c>
      <c r="C23" s="1" t="s">
        <v>32</v>
      </c>
      <c r="D23" s="1" t="n">
        <v>10</v>
      </c>
      <c r="G23" s="1" t="n">
        <v>10</v>
      </c>
    </row>
    <row r="24" customFormat="false" ht="15" hidden="false" customHeight="false" outlineLevel="0" collapsed="false">
      <c r="A24" s="1" t="n">
        <v>21</v>
      </c>
      <c r="B24" s="2" t="s">
        <v>34</v>
      </c>
      <c r="D24" s="1" t="n">
        <v>1</v>
      </c>
      <c r="G24" s="1" t="n">
        <v>1</v>
      </c>
    </row>
    <row r="25" customFormat="false" ht="15" hidden="false" customHeight="false" outlineLevel="0" collapsed="false">
      <c r="E25" s="1" t="s">
        <v>7</v>
      </c>
      <c r="G25" s="1" t="n">
        <f aca="false">COUNTIF(G2:G24,"&gt;0")</f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8" colorId="64" zoomScale="80" zoomScaleNormal="80" zoomScalePageLayoutView="100" workbookViewId="0">
      <selection pane="topLeft" activeCell="D2" activeCellId="0" sqref="D2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3" min="2" style="1" width="19.94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1</v>
      </c>
      <c r="D1" s="1" t="s">
        <v>53</v>
      </c>
    </row>
    <row r="2" customFormat="false" ht="15" hidden="false" customHeight="false" outlineLevel="0" collapsed="false">
      <c r="A2" s="1" t="n">
        <v>1</v>
      </c>
      <c r="B2" s="2" t="s">
        <v>9</v>
      </c>
      <c r="C2" s="1" t="s">
        <v>9</v>
      </c>
      <c r="D2" s="1" t="n">
        <v>9.67</v>
      </c>
    </row>
    <row r="3" customFormat="false" ht="15" hidden="false" customHeight="false" outlineLevel="0" collapsed="false">
      <c r="A3" s="1" t="n">
        <v>2</v>
      </c>
      <c r="B3" s="2" t="s">
        <v>13</v>
      </c>
      <c r="C3" s="1" t="s">
        <v>13</v>
      </c>
      <c r="D3" s="1" t="n">
        <v>9.33</v>
      </c>
    </row>
    <row r="4" customFormat="false" ht="15" hidden="false" customHeight="false" outlineLevel="0" collapsed="false">
      <c r="A4" s="1" t="n">
        <v>3</v>
      </c>
      <c r="B4" s="2" t="s">
        <v>15</v>
      </c>
      <c r="C4" s="1" t="s">
        <v>15</v>
      </c>
      <c r="D4" s="1" t="n">
        <v>9</v>
      </c>
    </row>
    <row r="5" customFormat="false" ht="15" hidden="false" customHeight="false" outlineLevel="0" collapsed="false">
      <c r="A5" s="1" t="n">
        <v>4</v>
      </c>
      <c r="B5" s="2" t="s">
        <v>16</v>
      </c>
      <c r="C5" s="1" t="s">
        <v>16</v>
      </c>
      <c r="D5" s="1" t="n">
        <v>10</v>
      </c>
    </row>
    <row r="6" customFormat="false" ht="15" hidden="false" customHeight="false" outlineLevel="0" collapsed="false">
      <c r="A6" s="1" t="n">
        <v>5</v>
      </c>
      <c r="B6" s="2" t="s">
        <v>17</v>
      </c>
      <c r="C6" s="1" t="s">
        <v>17</v>
      </c>
      <c r="D6" s="1" t="n">
        <v>9.67</v>
      </c>
    </row>
    <row r="7" customFormat="false" ht="15" hidden="false" customHeight="false" outlineLevel="0" collapsed="false">
      <c r="A7" s="1" t="n">
        <v>6</v>
      </c>
      <c r="B7" s="2" t="s">
        <v>18</v>
      </c>
      <c r="C7" s="1" t="s">
        <v>18</v>
      </c>
      <c r="D7" s="1" t="n">
        <v>9.67</v>
      </c>
    </row>
    <row r="8" customFormat="false" ht="15" hidden="false" customHeight="false" outlineLevel="0" collapsed="false">
      <c r="A8" s="1" t="n">
        <v>7</v>
      </c>
      <c r="B8" s="2" t="s">
        <v>19</v>
      </c>
      <c r="C8" s="1" t="s">
        <v>19</v>
      </c>
      <c r="D8" s="1" t="n">
        <v>10</v>
      </c>
    </row>
    <row r="9" customFormat="false" ht="15" hidden="false" customHeight="false" outlineLevel="0" collapsed="false">
      <c r="A9" s="1" t="n">
        <v>8</v>
      </c>
      <c r="B9" s="2" t="s">
        <v>20</v>
      </c>
      <c r="C9" s="1" t="s">
        <v>20</v>
      </c>
      <c r="D9" s="1" t="n">
        <v>10</v>
      </c>
    </row>
    <row r="10" customFormat="false" ht="15" hidden="false" customHeight="false" outlineLevel="0" collapsed="false">
      <c r="A10" s="1" t="n">
        <v>9</v>
      </c>
      <c r="B10" s="2" t="s">
        <v>21</v>
      </c>
      <c r="C10" s="1" t="s">
        <v>21</v>
      </c>
      <c r="D10" s="1" t="n">
        <v>9.33</v>
      </c>
    </row>
    <row r="11" customFormat="false" ht="15" hidden="false" customHeight="false" outlineLevel="0" collapsed="false">
      <c r="A11" s="1" t="n">
        <v>10</v>
      </c>
      <c r="B11" s="2" t="s">
        <v>22</v>
      </c>
      <c r="C11" s="1" t="s">
        <v>22</v>
      </c>
      <c r="D11" s="1" t="n">
        <v>10</v>
      </c>
    </row>
    <row r="12" customFormat="false" ht="15" hidden="false" customHeight="false" outlineLevel="0" collapsed="false">
      <c r="A12" s="1" t="n">
        <v>11</v>
      </c>
      <c r="B12" s="2" t="s">
        <v>23</v>
      </c>
      <c r="C12" s="1" t="s">
        <v>23</v>
      </c>
      <c r="D12" s="1" t="n">
        <v>9.33</v>
      </c>
    </row>
    <row r="13" customFormat="false" ht="15" hidden="false" customHeight="false" outlineLevel="0" collapsed="false">
      <c r="A13" s="1" t="n">
        <v>12</v>
      </c>
      <c r="B13" s="2" t="s">
        <v>24</v>
      </c>
      <c r="C13" s="1" t="s">
        <v>24</v>
      </c>
      <c r="D13" s="1" t="n">
        <v>10</v>
      </c>
    </row>
    <row r="14" customFormat="false" ht="15" hidden="false" customHeight="false" outlineLevel="0" collapsed="false">
      <c r="A14" s="1" t="n">
        <v>13</v>
      </c>
      <c r="B14" s="2" t="s">
        <v>25</v>
      </c>
      <c r="C14" s="1" t="s">
        <v>25</v>
      </c>
      <c r="D14" s="1" t="n">
        <v>9.67</v>
      </c>
    </row>
    <row r="15" customFormat="false" ht="15" hidden="false" customHeight="false" outlineLevel="0" collapsed="false">
      <c r="A15" s="1" t="n">
        <v>14</v>
      </c>
      <c r="B15" s="2" t="s">
        <v>26</v>
      </c>
      <c r="C15" s="1" t="s">
        <v>26</v>
      </c>
      <c r="D15" s="1" t="n">
        <v>10</v>
      </c>
    </row>
    <row r="16" customFormat="false" ht="15" hidden="false" customHeight="false" outlineLevel="0" collapsed="false">
      <c r="A16" s="1" t="n">
        <v>15</v>
      </c>
      <c r="B16" s="2" t="s">
        <v>27</v>
      </c>
      <c r="C16" s="1" t="s">
        <v>27</v>
      </c>
      <c r="D16" s="1" t="n">
        <v>9.33</v>
      </c>
    </row>
    <row r="17" customFormat="false" ht="15" hidden="false" customHeight="false" outlineLevel="0" collapsed="false">
      <c r="A17" s="8" t="n">
        <v>16</v>
      </c>
      <c r="B17" s="9" t="s">
        <v>28</v>
      </c>
      <c r="D17" s="1" t="n">
        <v>1</v>
      </c>
    </row>
    <row r="18" customFormat="false" ht="15" hidden="false" customHeight="false" outlineLevel="0" collapsed="false">
      <c r="A18" s="1" t="n">
        <v>17</v>
      </c>
      <c r="B18" s="2" t="s">
        <v>29</v>
      </c>
      <c r="C18" s="1" t="s">
        <v>29</v>
      </c>
      <c r="D18" s="1" t="n">
        <v>9.33</v>
      </c>
    </row>
    <row r="19" customFormat="false" ht="15" hidden="false" customHeight="false" outlineLevel="0" collapsed="false">
      <c r="A19" s="1" t="n">
        <v>18</v>
      </c>
      <c r="B19" s="2" t="s">
        <v>30</v>
      </c>
      <c r="C19" s="1" t="s">
        <v>30</v>
      </c>
      <c r="D19" s="1" t="n">
        <v>9.33</v>
      </c>
    </row>
    <row r="20" customFormat="false" ht="15" hidden="false" customHeight="false" outlineLevel="0" collapsed="false">
      <c r="A20" s="1" t="n">
        <v>19</v>
      </c>
      <c r="B20" s="2" t="s">
        <v>31</v>
      </c>
      <c r="C20" s="1" t="s">
        <v>31</v>
      </c>
      <c r="D20" s="1" t="n">
        <v>9</v>
      </c>
    </row>
    <row r="21" customFormat="false" ht="15" hidden="false" customHeight="false" outlineLevel="0" collapsed="false">
      <c r="A21" s="1" t="n">
        <v>20</v>
      </c>
      <c r="B21" s="2" t="s">
        <v>32</v>
      </c>
      <c r="C21" s="1" t="s">
        <v>32</v>
      </c>
      <c r="D21" s="1" t="n">
        <v>8.33</v>
      </c>
    </row>
    <row r="22" customFormat="false" ht="15" hidden="false" customHeight="false" outlineLevel="0" collapsed="false">
      <c r="A22" s="1" t="n">
        <v>21</v>
      </c>
      <c r="B22" s="2" t="s">
        <v>34</v>
      </c>
      <c r="C22" s="1" t="s">
        <v>34</v>
      </c>
      <c r="D22" s="1" t="n">
        <v>9.33</v>
      </c>
    </row>
    <row r="23" customFormat="false" ht="15" hidden="false" customHeight="false" outlineLevel="0" collapsed="false">
      <c r="C23" s="1" t="s">
        <v>57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7243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2026-08-11T14:15:26Z</dcterms:modified>
  <cp:revision>99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