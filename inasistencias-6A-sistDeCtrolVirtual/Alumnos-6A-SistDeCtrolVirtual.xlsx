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positivos" sheetId="2" state="visible" r:id="rId4"/>
    <sheet name="notas" sheetId="3" state="visible" r:id="rId5"/>
    <sheet name="01-sist opera" sheetId="4" state="visible" r:id="rId6"/>
    <sheet name="02-comanodos" sheetId="5" state="visible" r:id="rId7"/>
    <sheet name="06-git" sheetId="6" state="visible" r:id="rId8"/>
    <sheet name="8-html" sheetId="7" state="visible" r:id="rId9"/>
    <sheet name="Evaluacion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<sst xmlns="http://schemas.openxmlformats.org/spreadsheetml/2006/main" count="616" uniqueCount="55">
  <si>
    <t xml:space="preserve">nro</t>
  </si>
  <si>
    <t xml:space="preserve">Apellido(s)</t>
  </si>
  <si>
    <t xml:space="preserve">obs</t>
  </si>
  <si>
    <t xml:space="preserve">presentes</t>
  </si>
  <si>
    <t xml:space="preserve">media</t>
  </si>
  <si>
    <t xml:space="preserve">tarde</t>
  </si>
  <si>
    <t xml:space="preserve">ausentes</t>
  </si>
  <si>
    <t xml:space="preserve">total</t>
  </si>
  <si>
    <t xml:space="preserve">nota</t>
  </si>
  <si>
    <t xml:space="preserve">AMIGO</t>
  </si>
  <si>
    <t xml:space="preserve">P</t>
  </si>
  <si>
    <t xml:space="preserve">T</t>
  </si>
  <si>
    <t xml:space="preserve">A</t>
  </si>
  <si>
    <t xml:space="preserve">ANDRADA BASCOPE</t>
  </si>
  <si>
    <t xml:space="preserve">APURIL</t>
  </si>
  <si>
    <t xml:space="preserve">AYBAR</t>
  </si>
  <si>
    <t xml:space="preserve">p</t>
  </si>
  <si>
    <t xml:space="preserve">bertola galizzi</t>
  </si>
  <si>
    <t xml:space="preserve">BIROCCO FRETES</t>
  </si>
  <si>
    <t xml:space="preserve">BRUNO</t>
  </si>
  <si>
    <t xml:space="preserve">Dellana</t>
  </si>
  <si>
    <t xml:space="preserve">DI FEBO</t>
  </si>
  <si>
    <t xml:space="preserve">Dimeo</t>
  </si>
  <si>
    <t xml:space="preserve">ENGERS GONZALEZ</t>
  </si>
  <si>
    <t xml:space="preserve">GERAGHTY</t>
  </si>
  <si>
    <t xml:space="preserve">Hoyos</t>
  </si>
  <si>
    <t xml:space="preserve">Ibarra Yegro</t>
  </si>
  <si>
    <t xml:space="preserve">LOPEZ BERZA</t>
  </si>
  <si>
    <t xml:space="preserve">MARTINEZ DEL PINO</t>
  </si>
  <si>
    <t xml:space="preserve">MEDINA</t>
  </si>
  <si>
    <t xml:space="preserve">SANTIBAÑEZ RAMÍREZ</t>
  </si>
  <si>
    <t xml:space="preserve">SUAREZ</t>
  </si>
  <si>
    <t xml:space="preserve">VILLCA</t>
  </si>
  <si>
    <t xml:space="preserve">M</t>
  </si>
  <si>
    <t xml:space="preserve">ZARRAGA</t>
  </si>
  <si>
    <t xml:space="preserve">media falta</t>
  </si>
  <si>
    <t xml:space="preserve">notas</t>
  </si>
  <si>
    <t xml:space="preserve">positivos</t>
  </si>
  <si>
    <t xml:space="preserve">RODRIGUEZ MIÑO</t>
  </si>
  <si>
    <t xml:space="preserve">01-siste opera</t>
  </si>
  <si>
    <t xml:space="preserve">Recup</t>
  </si>
  <si>
    <t xml:space="preserve">02-comandos</t>
  </si>
  <si>
    <t xml:space="preserve">06-git</t>
  </si>
  <si>
    <t xml:space="preserve">08-html</t>
  </si>
  <si>
    <t xml:space="preserve">recup</t>
  </si>
  <si>
    <t xml:space="preserve">evaluacion</t>
  </si>
  <si>
    <t xml:space="preserve">Asistencia</t>
  </si>
  <si>
    <t xml:space="preserve">promedio</t>
  </si>
  <si>
    <t xml:space="preserve">Valoracion</t>
  </si>
  <si>
    <t xml:space="preserve">recursante</t>
  </si>
  <si>
    <t xml:space="preserve">Calificación/10,00</t>
  </si>
  <si>
    <t xml:space="preserve">segundo</t>
  </si>
  <si>
    <t xml:space="preserve">final</t>
  </si>
  <si>
    <t xml:space="preserve">toal</t>
  </si>
  <si>
    <t xml:space="preserve">totaol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</si>
</sst>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DJ27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B27" activeCellId="0" sqref="AB27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23" min="3" style="1" width="9.6"/>
    <col collapsed="false" customWidth="true" hidden="false" outlineLevel="0" max="980" min="980" style="1" width="9.33"/>
    <col collapsed="false" customWidth="true" hidden="false" outlineLevel="0" max="16384" min="16338" style="1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2" t="s">
        <v>1</v>
      </c>
      <c r="C2" s="3" t="n">
        <v>46091</v>
      </c>
      <c r="D2" s="3" t="n">
        <v>46098</v>
      </c>
      <c r="E2" s="3" t="n">
        <v>46105</v>
      </c>
      <c r="F2" s="3" t="n">
        <v>46140</v>
      </c>
      <c r="G2" s="3" t="n">
        <v>46112</v>
      </c>
      <c r="H2" s="3" t="s">
        <v>2</v>
      </c>
      <c r="I2" s="3" t="n">
        <v>46119</v>
      </c>
      <c r="J2" s="3" t="s">
        <v>2</v>
      </c>
      <c r="K2" s="3" t="n">
        <v>46126</v>
      </c>
      <c r="L2" s="3" t="n">
        <v>46133</v>
      </c>
      <c r="M2" s="3" t="n">
        <v>46154</v>
      </c>
      <c r="N2" s="3" t="n">
        <v>46161</v>
      </c>
      <c r="O2" s="3" t="n">
        <v>46168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4" t="s">
        <v>8</v>
      </c>
      <c r="W2" s="3" t="n">
        <v>46175</v>
      </c>
      <c r="X2" s="3" t="n">
        <v>46182</v>
      </c>
      <c r="Y2" s="3" t="s">
        <v>2</v>
      </c>
      <c r="Z2" s="3" t="n">
        <v>46189</v>
      </c>
      <c r="AA2" s="3"/>
      <c r="AB2" s="3" t="n">
        <v>46196</v>
      </c>
      <c r="AC2" s="3" t="s">
        <v>2</v>
      </c>
      <c r="AD2" s="3" t="n">
        <v>46231</v>
      </c>
      <c r="AE2" s="3" t="n">
        <v>46238</v>
      </c>
      <c r="AF2" s="3" t="n">
        <v>46245</v>
      </c>
      <c r="AG2" s="3" t="n">
        <v>46252</v>
      </c>
      <c r="AH2" s="3" t="n">
        <v>46259</v>
      </c>
      <c r="AI2" s="3" t="n">
        <v>46266</v>
      </c>
      <c r="AJ2" s="3" t="n">
        <v>46273</v>
      </c>
      <c r="AK2" s="3" t="n">
        <v>46280</v>
      </c>
      <c r="AL2" s="3" t="n">
        <v>46287</v>
      </c>
      <c r="AM2" s="3" t="n">
        <v>46294</v>
      </c>
      <c r="AN2" s="3" t="n">
        <v>46301</v>
      </c>
      <c r="AO2" s="3" t="n">
        <v>46308</v>
      </c>
      <c r="AP2" s="3" t="n">
        <v>46315</v>
      </c>
      <c r="AQ2" s="3" t="n">
        <v>46322</v>
      </c>
      <c r="AR2" s="3" t="n">
        <v>46329</v>
      </c>
      <c r="AS2" s="3" t="n">
        <v>46336</v>
      </c>
      <c r="AT2" s="3" t="n">
        <v>46343</v>
      </c>
      <c r="AU2" s="3" t="n">
        <v>46350</v>
      </c>
      <c r="AV2" s="3" t="n">
        <v>46357</v>
      </c>
      <c r="AW2" s="3" t="n">
        <v>46364</v>
      </c>
      <c r="AX2" s="3" t="n">
        <v>46371</v>
      </c>
      <c r="AY2" s="3" t="n">
        <v>46378</v>
      </c>
    </row>
    <row r="3" s="1" customFormat="true" ht="15" hidden="false" customHeight="false" outlineLevel="0" collapsed="false">
      <c r="A3" s="1" t="n">
        <v>1</v>
      </c>
      <c r="B3" s="2" t="s">
        <v>9</v>
      </c>
      <c r="C3" s="1" t="s">
        <v>10</v>
      </c>
      <c r="D3" s="1" t="s">
        <v>10</v>
      </c>
      <c r="E3" s="1" t="s">
        <v>10</v>
      </c>
      <c r="F3" s="2" t="s">
        <v>11</v>
      </c>
      <c r="G3" s="1" t="s">
        <v>10</v>
      </c>
      <c r="I3" s="1" t="s">
        <v>12</v>
      </c>
      <c r="K3" s="1" t="s">
        <v>10</v>
      </c>
      <c r="L3" s="1" t="s">
        <v>12</v>
      </c>
      <c r="M3" s="2" t="s">
        <v>10</v>
      </c>
      <c r="N3" s="1" t="s">
        <v>10</v>
      </c>
      <c r="O3" s="1" t="s">
        <v>10</v>
      </c>
      <c r="Q3" s="1" t="n">
        <f aca="false">COUNTIF(C3:O3,"P")</f>
        <v>8</v>
      </c>
      <c r="R3" s="1" t="n">
        <f aca="false">COUNTIF(C3:O3,"M")</f>
        <v>0</v>
      </c>
      <c r="S3" s="1" t="n">
        <f aca="false">COUNTIF(C3:O3,"T")</f>
        <v>1</v>
      </c>
      <c r="T3" s="1" t="n">
        <f aca="false">COUNTIF(C3:O3,"A")</f>
        <v>2</v>
      </c>
      <c r="U3" s="1" t="n">
        <f aca="false">SUM(Q3:T3)</f>
        <v>11</v>
      </c>
      <c r="V3" s="5" t="n">
        <f aca="false">ROUND((Q3+R3/2+S3/4)*10/U3,0)</f>
        <v>8</v>
      </c>
      <c r="W3" s="1" t="s">
        <v>12</v>
      </c>
      <c r="X3" s="1" t="s">
        <v>10</v>
      </c>
      <c r="Z3" s="1" t="s">
        <v>10</v>
      </c>
      <c r="AB3" s="1" t="s">
        <v>10</v>
      </c>
    </row>
    <row r="4" s="1" customFormat="true" ht="15" hidden="false" customHeight="false" outlineLevel="0" collapsed="false">
      <c r="A4" s="1" t="n">
        <v>2</v>
      </c>
      <c r="B4" s="2" t="s">
        <v>13</v>
      </c>
      <c r="C4" s="1" t="s">
        <v>10</v>
      </c>
      <c r="D4" s="1" t="s">
        <v>12</v>
      </c>
      <c r="E4" s="1" t="s">
        <v>10</v>
      </c>
      <c r="F4" s="2" t="s">
        <v>10</v>
      </c>
      <c r="G4" s="1" t="s">
        <v>10</v>
      </c>
      <c r="I4" s="1" t="s">
        <v>10</v>
      </c>
      <c r="K4" s="1" t="s">
        <v>10</v>
      </c>
      <c r="L4" s="1" t="s">
        <v>10</v>
      </c>
      <c r="M4" s="2" t="s">
        <v>10</v>
      </c>
      <c r="N4" s="1" t="s">
        <v>10</v>
      </c>
      <c r="O4" s="1" t="s">
        <v>10</v>
      </c>
      <c r="Q4" s="1" t="n">
        <f aca="false">COUNTIF(C4:O4,"P")</f>
        <v>10</v>
      </c>
      <c r="R4" s="1" t="n">
        <f aca="false">COUNTIF(C4:O4,"M")</f>
        <v>0</v>
      </c>
      <c r="S4" s="1" t="n">
        <f aca="false">COUNTIF(C4:O4,"T")</f>
        <v>0</v>
      </c>
      <c r="T4" s="1" t="n">
        <f aca="false">COUNTIF(C4:O4,"A")</f>
        <v>1</v>
      </c>
      <c r="U4" s="1" t="n">
        <f aca="false">SUM(Q4:T4)</f>
        <v>11</v>
      </c>
      <c r="V4" s="5" t="n">
        <f aca="false">ROUND((Q4+R4/2+S4/4)*10/U4,0)</f>
        <v>9</v>
      </c>
      <c r="W4" s="1" t="s">
        <v>10</v>
      </c>
      <c r="X4" s="1" t="s">
        <v>10</v>
      </c>
      <c r="Z4" s="1" t="s">
        <v>10</v>
      </c>
      <c r="AB4" s="1" t="s">
        <v>10</v>
      </c>
    </row>
    <row r="5" s="1" customFormat="true" ht="15" hidden="false" customHeight="false" outlineLevel="0" collapsed="false">
      <c r="A5" s="1" t="n">
        <v>3</v>
      </c>
      <c r="B5" s="2" t="s">
        <v>14</v>
      </c>
      <c r="C5" s="1" t="s">
        <v>10</v>
      </c>
      <c r="D5" s="1" t="s">
        <v>10</v>
      </c>
      <c r="E5" s="1" t="s">
        <v>10</v>
      </c>
      <c r="F5" s="2" t="s">
        <v>10</v>
      </c>
      <c r="G5" s="1" t="s">
        <v>10</v>
      </c>
      <c r="I5" s="1" t="s">
        <v>10</v>
      </c>
      <c r="K5" s="1" t="s">
        <v>10</v>
      </c>
      <c r="L5" s="1" t="s">
        <v>10</v>
      </c>
      <c r="M5" s="2" t="s">
        <v>10</v>
      </c>
      <c r="N5" s="1" t="s">
        <v>10</v>
      </c>
      <c r="O5" s="1" t="s">
        <v>10</v>
      </c>
      <c r="Q5" s="1" t="n">
        <f aca="false">COUNTIF(C5:O5,"P")</f>
        <v>11</v>
      </c>
      <c r="R5" s="1" t="n">
        <f aca="false">COUNTIF(C5:O5,"M")</f>
        <v>0</v>
      </c>
      <c r="S5" s="1" t="n">
        <f aca="false">COUNTIF(C5:O5,"T")</f>
        <v>0</v>
      </c>
      <c r="T5" s="1" t="n">
        <f aca="false">COUNTIF(C5:O5,"A")</f>
        <v>0</v>
      </c>
      <c r="U5" s="1" t="n">
        <f aca="false">SUM(Q5:T5)</f>
        <v>11</v>
      </c>
      <c r="V5" s="5" t="n">
        <f aca="false">ROUND((Q5+R5/2+S5/4)*10/U5,0)</f>
        <v>10</v>
      </c>
      <c r="W5" s="1" t="s">
        <v>10</v>
      </c>
      <c r="X5" s="1" t="s">
        <v>12</v>
      </c>
      <c r="Z5" s="1" t="s">
        <v>10</v>
      </c>
      <c r="AB5" s="1" t="s">
        <v>10</v>
      </c>
    </row>
    <row r="6" s="1" customFormat="true" ht="15" hidden="false" customHeight="false" outlineLevel="0" collapsed="false">
      <c r="A6" s="1" t="n">
        <v>4</v>
      </c>
      <c r="B6" s="2" t="s">
        <v>15</v>
      </c>
      <c r="C6" s="1" t="s">
        <v>10</v>
      </c>
      <c r="D6" s="1" t="s">
        <v>10</v>
      </c>
      <c r="E6" s="1" t="s">
        <v>10</v>
      </c>
      <c r="F6" s="2" t="s">
        <v>16</v>
      </c>
      <c r="G6" s="1" t="s">
        <v>10</v>
      </c>
      <c r="I6" s="1" t="s">
        <v>10</v>
      </c>
      <c r="K6" s="1" t="s">
        <v>10</v>
      </c>
      <c r="L6" s="1" t="s">
        <v>10</v>
      </c>
      <c r="M6" s="2" t="s">
        <v>10</v>
      </c>
      <c r="N6" s="1" t="s">
        <v>10</v>
      </c>
      <c r="O6" s="1" t="s">
        <v>10</v>
      </c>
      <c r="Q6" s="1" t="n">
        <f aca="false">COUNTIF(C6:O6,"P")</f>
        <v>11</v>
      </c>
      <c r="R6" s="1" t="n">
        <f aca="false">COUNTIF(C6:O6,"M")</f>
        <v>0</v>
      </c>
      <c r="S6" s="1" t="n">
        <f aca="false">COUNTIF(C6:O6,"T")</f>
        <v>0</v>
      </c>
      <c r="T6" s="1" t="n">
        <f aca="false">COUNTIF(C6:O6,"A")</f>
        <v>0</v>
      </c>
      <c r="U6" s="1" t="n">
        <f aca="false">SUM(Q6:T6)</f>
        <v>11</v>
      </c>
      <c r="V6" s="5" t="n">
        <f aca="false">ROUND((Q6+R6/2+S6/4)*10/U6,0)</f>
        <v>10</v>
      </c>
      <c r="W6" s="1" t="s">
        <v>10</v>
      </c>
      <c r="X6" s="1" t="s">
        <v>10</v>
      </c>
      <c r="Z6" s="1" t="s">
        <v>10</v>
      </c>
      <c r="AB6" s="1" t="s">
        <v>10</v>
      </c>
    </row>
    <row r="7" s="1" customFormat="true" ht="15" hidden="false" customHeight="false" outlineLevel="0" collapsed="false">
      <c r="A7" s="1" t="n">
        <v>5</v>
      </c>
      <c r="B7" s="2" t="s">
        <v>17</v>
      </c>
      <c r="C7" s="1" t="s">
        <v>10</v>
      </c>
      <c r="D7" s="1" t="s">
        <v>10</v>
      </c>
      <c r="E7" s="1" t="s">
        <v>10</v>
      </c>
      <c r="F7" s="2" t="s">
        <v>12</v>
      </c>
      <c r="G7" s="1" t="s">
        <v>11</v>
      </c>
      <c r="H7" s="6" t="n">
        <v>0.534722222222222</v>
      </c>
      <c r="I7" s="1" t="s">
        <v>12</v>
      </c>
      <c r="K7" s="1" t="s">
        <v>10</v>
      </c>
      <c r="L7" s="1" t="s">
        <v>10</v>
      </c>
      <c r="M7" s="2" t="s">
        <v>12</v>
      </c>
      <c r="N7" s="1" t="s">
        <v>12</v>
      </c>
      <c r="O7" s="1" t="s">
        <v>11</v>
      </c>
      <c r="P7" s="6" t="n">
        <v>0.5625</v>
      </c>
      <c r="Q7" s="1" t="n">
        <f aca="false">COUNTIF(C7:O7,"P")</f>
        <v>5</v>
      </c>
      <c r="R7" s="1" t="n">
        <f aca="false">COUNTIF(C7:O7,"M")</f>
        <v>0</v>
      </c>
      <c r="S7" s="1" t="n">
        <f aca="false">COUNTIF(C7:O7,"T")</f>
        <v>2</v>
      </c>
      <c r="T7" s="1" t="n">
        <f aca="false">COUNTIF(C7:O7,"A")</f>
        <v>4</v>
      </c>
      <c r="U7" s="1" t="n">
        <f aca="false">SUM(Q7:T7)</f>
        <v>11</v>
      </c>
      <c r="V7" s="5" t="n">
        <f aca="false">ROUND((Q7+R7/2+S7/4)*10/U7,0)</f>
        <v>5</v>
      </c>
      <c r="W7" s="1" t="s">
        <v>12</v>
      </c>
      <c r="X7" s="1" t="s">
        <v>10</v>
      </c>
      <c r="Z7" s="1" t="s">
        <v>12</v>
      </c>
      <c r="AB7" s="1" t="s">
        <v>12</v>
      </c>
    </row>
    <row r="8" s="2" customFormat="true" ht="15" hidden="false" customHeight="false" outlineLevel="0" collapsed="false">
      <c r="A8" s="1" t="n">
        <v>6</v>
      </c>
      <c r="B8" s="2" t="s">
        <v>18</v>
      </c>
      <c r="C8" s="1" t="s">
        <v>10</v>
      </c>
      <c r="D8" s="2" t="s">
        <v>10</v>
      </c>
      <c r="E8" s="1" t="s">
        <v>10</v>
      </c>
      <c r="F8" s="1" t="s">
        <v>12</v>
      </c>
      <c r="G8" s="2" t="s">
        <v>11</v>
      </c>
      <c r="H8" s="7" t="n">
        <v>0.5</v>
      </c>
      <c r="I8" s="1" t="s">
        <v>10</v>
      </c>
      <c r="J8" s="1"/>
      <c r="K8" s="2" t="s">
        <v>10</v>
      </c>
      <c r="L8" s="2" t="s">
        <v>10</v>
      </c>
      <c r="M8" s="1" t="s">
        <v>10</v>
      </c>
      <c r="N8" s="1" t="s">
        <v>10</v>
      </c>
      <c r="O8" s="2" t="s">
        <v>10</v>
      </c>
      <c r="Q8" s="1" t="n">
        <f aca="false">COUNTIF(C8:O8,"P")</f>
        <v>9</v>
      </c>
      <c r="R8" s="1" t="n">
        <f aca="false">COUNTIF(C8:O8,"M")</f>
        <v>0</v>
      </c>
      <c r="S8" s="1" t="n">
        <f aca="false">COUNTIF(C8:O8,"T")</f>
        <v>1</v>
      </c>
      <c r="T8" s="1" t="n">
        <f aca="false">COUNTIF(C8:O8,"A")</f>
        <v>1</v>
      </c>
      <c r="U8" s="1" t="n">
        <f aca="false">SUM(Q8:T8)</f>
        <v>11</v>
      </c>
      <c r="V8" s="5" t="n">
        <f aca="false">ROUND((Q8+R8/2+S8/4)*10/U8,0)</f>
        <v>8</v>
      </c>
      <c r="W8" s="2" t="s">
        <v>10</v>
      </c>
      <c r="X8" s="2" t="s">
        <v>10</v>
      </c>
      <c r="Z8" s="1" t="s">
        <v>10</v>
      </c>
      <c r="AA8" s="1"/>
      <c r="AB8" s="2" t="s">
        <v>10</v>
      </c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XDJ8" s="1"/>
    </row>
    <row r="9" s="1" customFormat="true" ht="15" hidden="false" customHeight="false" outlineLevel="0" collapsed="false">
      <c r="A9" s="1" t="n">
        <v>7</v>
      </c>
      <c r="B9" s="2" t="s">
        <v>19</v>
      </c>
      <c r="C9" s="1" t="s">
        <v>10</v>
      </c>
      <c r="D9" s="1" t="s">
        <v>10</v>
      </c>
      <c r="E9" s="1" t="s">
        <v>10</v>
      </c>
      <c r="F9" s="2" t="s">
        <v>10</v>
      </c>
      <c r="G9" s="1" t="s">
        <v>10</v>
      </c>
      <c r="I9" s="1" t="s">
        <v>10</v>
      </c>
      <c r="K9" s="1" t="s">
        <v>10</v>
      </c>
      <c r="L9" s="1" t="s">
        <v>10</v>
      </c>
      <c r="M9" s="2" t="s">
        <v>10</v>
      </c>
      <c r="N9" s="1" t="s">
        <v>10</v>
      </c>
      <c r="O9" s="1" t="s">
        <v>10</v>
      </c>
      <c r="Q9" s="1" t="n">
        <f aca="false">COUNTIF(C9:O9,"P")</f>
        <v>11</v>
      </c>
      <c r="R9" s="1" t="n">
        <f aca="false">COUNTIF(C9:O9,"M")</f>
        <v>0</v>
      </c>
      <c r="S9" s="1" t="n">
        <f aca="false">COUNTIF(C9:O9,"T")</f>
        <v>0</v>
      </c>
      <c r="T9" s="1" t="n">
        <f aca="false">COUNTIF(C9:O9,"A")</f>
        <v>0</v>
      </c>
      <c r="U9" s="1" t="n">
        <f aca="false">SUM(Q9:T9)</f>
        <v>11</v>
      </c>
      <c r="V9" s="5" t="n">
        <f aca="false">ROUND((Q9+R9/2+S9/4)*10/U9,0)</f>
        <v>10</v>
      </c>
      <c r="W9" s="1" t="s">
        <v>10</v>
      </c>
      <c r="X9" s="1" t="s">
        <v>11</v>
      </c>
      <c r="Y9" s="6" t="n">
        <v>0.541666666666667</v>
      </c>
      <c r="Z9" s="1" t="s">
        <v>11</v>
      </c>
      <c r="AA9" s="6" t="n">
        <v>0.555555555555556</v>
      </c>
      <c r="AB9" s="1" t="s">
        <v>10</v>
      </c>
    </row>
    <row r="10" s="1" customFormat="true" ht="15" hidden="false" customHeight="false" outlineLevel="0" collapsed="false">
      <c r="A10" s="1" t="n">
        <v>8</v>
      </c>
      <c r="B10" s="2" t="s">
        <v>20</v>
      </c>
      <c r="C10" s="1" t="s">
        <v>10</v>
      </c>
      <c r="D10" s="1" t="s">
        <v>10</v>
      </c>
      <c r="E10" s="1" t="s">
        <v>10</v>
      </c>
      <c r="F10" s="2" t="s">
        <v>10</v>
      </c>
      <c r="G10" s="1" t="s">
        <v>10</v>
      </c>
      <c r="I10" s="1" t="s">
        <v>10</v>
      </c>
      <c r="K10" s="1" t="s">
        <v>10</v>
      </c>
      <c r="L10" s="1" t="s">
        <v>10</v>
      </c>
      <c r="M10" s="2" t="s">
        <v>10</v>
      </c>
      <c r="N10" s="1" t="s">
        <v>10</v>
      </c>
      <c r="O10" s="1" t="s">
        <v>10</v>
      </c>
      <c r="Q10" s="1" t="n">
        <f aca="false">COUNTIF(C10:O10,"P")</f>
        <v>11</v>
      </c>
      <c r="R10" s="1" t="n">
        <f aca="false">COUNTIF(C10:O10,"M")</f>
        <v>0</v>
      </c>
      <c r="S10" s="1" t="n">
        <f aca="false">COUNTIF(C10:O10,"T")</f>
        <v>0</v>
      </c>
      <c r="T10" s="1" t="n">
        <f aca="false">COUNTIF(C10:O10,"A")</f>
        <v>0</v>
      </c>
      <c r="U10" s="1" t="n">
        <f aca="false">SUM(Q10:T10)</f>
        <v>11</v>
      </c>
      <c r="V10" s="5" t="n">
        <f aca="false">ROUND((Q10+R10/2+S10/4)*10/U10,0)</f>
        <v>10</v>
      </c>
      <c r="W10" s="1" t="s">
        <v>10</v>
      </c>
      <c r="X10" s="1" t="s">
        <v>10</v>
      </c>
      <c r="Z10" s="1" t="s">
        <v>10</v>
      </c>
      <c r="AB10" s="1" t="s">
        <v>12</v>
      </c>
    </row>
    <row r="11" s="1" customFormat="true" ht="15" hidden="false" customHeight="false" outlineLevel="0" collapsed="false">
      <c r="A11" s="1" t="n">
        <v>9</v>
      </c>
      <c r="B11" s="2" t="s">
        <v>21</v>
      </c>
      <c r="C11" s="1" t="s">
        <v>12</v>
      </c>
      <c r="D11" s="1" t="s">
        <v>10</v>
      </c>
      <c r="E11" s="1" t="s">
        <v>10</v>
      </c>
      <c r="F11" s="2" t="s">
        <v>10</v>
      </c>
      <c r="G11" s="1" t="s">
        <v>10</v>
      </c>
      <c r="I11" s="1" t="s">
        <v>10</v>
      </c>
      <c r="K11" s="1" t="s">
        <v>12</v>
      </c>
      <c r="L11" s="1" t="s">
        <v>10</v>
      </c>
      <c r="M11" s="2" t="s">
        <v>10</v>
      </c>
      <c r="N11" s="1" t="s">
        <v>10</v>
      </c>
      <c r="O11" s="1" t="s">
        <v>10</v>
      </c>
      <c r="Q11" s="1" t="n">
        <f aca="false">COUNTIF(C11:O11,"P")</f>
        <v>9</v>
      </c>
      <c r="R11" s="1" t="n">
        <f aca="false">COUNTIF(C11:O11,"M")</f>
        <v>0</v>
      </c>
      <c r="S11" s="1" t="n">
        <f aca="false">COUNTIF(C11:O11,"T")</f>
        <v>0</v>
      </c>
      <c r="T11" s="1" t="n">
        <f aca="false">COUNTIF(C11:O11,"A")</f>
        <v>2</v>
      </c>
      <c r="U11" s="1" t="n">
        <f aca="false">SUM(Q11:T11)</f>
        <v>11</v>
      </c>
      <c r="V11" s="5" t="n">
        <f aca="false">ROUND((Q11+R11/2+S11/4)*10/U11,0)</f>
        <v>8</v>
      </c>
      <c r="W11" s="1" t="s">
        <v>10</v>
      </c>
      <c r="X11" s="1" t="s">
        <v>12</v>
      </c>
      <c r="Z11" s="1" t="s">
        <v>10</v>
      </c>
      <c r="AB11" s="1" t="s">
        <v>11</v>
      </c>
      <c r="AC11" s="6" t="n">
        <v>0.5625</v>
      </c>
    </row>
    <row r="12" s="2" customFormat="true" ht="15" hidden="false" customHeight="false" outlineLevel="0" collapsed="false">
      <c r="A12" s="1" t="n">
        <v>10</v>
      </c>
      <c r="B12" s="2" t="s">
        <v>22</v>
      </c>
      <c r="C12" s="1" t="s">
        <v>10</v>
      </c>
      <c r="D12" s="2" t="s">
        <v>10</v>
      </c>
      <c r="E12" s="1" t="s">
        <v>10</v>
      </c>
      <c r="F12" s="1" t="s">
        <v>12</v>
      </c>
      <c r="G12" s="2" t="s">
        <v>10</v>
      </c>
      <c r="I12" s="1" t="s">
        <v>10</v>
      </c>
      <c r="J12" s="1"/>
      <c r="K12" s="2" t="s">
        <v>10</v>
      </c>
      <c r="L12" s="2" t="s">
        <v>10</v>
      </c>
      <c r="M12" s="1" t="s">
        <v>10</v>
      </c>
      <c r="N12" s="1" t="s">
        <v>10</v>
      </c>
      <c r="O12" s="2" t="s">
        <v>10</v>
      </c>
      <c r="Q12" s="1" t="n">
        <f aca="false">COUNTIF(C12:O12,"P")</f>
        <v>10</v>
      </c>
      <c r="R12" s="1" t="n">
        <f aca="false">COUNTIF(C12:O12,"M")</f>
        <v>0</v>
      </c>
      <c r="S12" s="1" t="n">
        <f aca="false">COUNTIF(C12:O12,"T")</f>
        <v>0</v>
      </c>
      <c r="T12" s="1" t="n">
        <f aca="false">COUNTIF(C12:O12,"A")</f>
        <v>1</v>
      </c>
      <c r="U12" s="1" t="n">
        <f aca="false">SUM(Q12:T12)</f>
        <v>11</v>
      </c>
      <c r="V12" s="5" t="n">
        <f aca="false">ROUND((Q12+R12/2+S12/4)*10/U12,0)</f>
        <v>9</v>
      </c>
      <c r="W12" s="2" t="s">
        <v>10</v>
      </c>
      <c r="X12" s="2" t="s">
        <v>10</v>
      </c>
      <c r="Z12" s="1" t="s">
        <v>10</v>
      </c>
      <c r="AA12" s="1"/>
      <c r="AB12" s="2" t="s">
        <v>10</v>
      </c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XDJ12" s="1"/>
    </row>
    <row r="13" s="1" customFormat="true" ht="15" hidden="false" customHeight="false" outlineLevel="0" collapsed="false">
      <c r="A13" s="1" t="n">
        <v>11</v>
      </c>
      <c r="B13" s="2" t="s">
        <v>23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I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Q13" s="1" t="n">
        <f aca="false">COUNTIF(C13:O13,"P")</f>
        <v>11</v>
      </c>
      <c r="R13" s="1" t="n">
        <f aca="false">COUNTIF(C13:O13,"M")</f>
        <v>0</v>
      </c>
      <c r="S13" s="1" t="n">
        <f aca="false">COUNTIF(C13:O13,"T")</f>
        <v>0</v>
      </c>
      <c r="T13" s="1" t="n">
        <f aca="false">COUNTIF(C13:O13,"A")</f>
        <v>0</v>
      </c>
      <c r="U13" s="1" t="n">
        <f aca="false">SUM(Q13:T13)</f>
        <v>11</v>
      </c>
      <c r="V13" s="5" t="n">
        <f aca="false">ROUND((Q13+R13/2+S13/4)*10/U13,0)</f>
        <v>10</v>
      </c>
      <c r="W13" s="1" t="s">
        <v>10</v>
      </c>
      <c r="X13" s="1" t="s">
        <v>10</v>
      </c>
      <c r="Z13" s="1" t="s">
        <v>10</v>
      </c>
      <c r="AB13" s="1" t="s">
        <v>11</v>
      </c>
      <c r="AC13" s="6" t="n">
        <v>0.5625</v>
      </c>
    </row>
    <row r="14" s="1" customFormat="true" ht="15" hidden="false" customHeight="false" outlineLevel="0" collapsed="false">
      <c r="A14" s="1" t="n">
        <v>12</v>
      </c>
      <c r="B14" s="2" t="s">
        <v>24</v>
      </c>
      <c r="C14" s="1" t="s">
        <v>10</v>
      </c>
      <c r="D14" s="1" t="s">
        <v>10</v>
      </c>
      <c r="E14" s="1" t="s">
        <v>10</v>
      </c>
      <c r="F14" s="1" t="s">
        <v>12</v>
      </c>
      <c r="G14" s="1" t="s">
        <v>10</v>
      </c>
      <c r="I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Q14" s="1" t="n">
        <f aca="false">COUNTIF(C14:O14,"P")</f>
        <v>10</v>
      </c>
      <c r="R14" s="1" t="n">
        <f aca="false">COUNTIF(C14:O14,"M")</f>
        <v>0</v>
      </c>
      <c r="S14" s="1" t="n">
        <f aca="false">COUNTIF(C14:O14,"T")</f>
        <v>0</v>
      </c>
      <c r="T14" s="1" t="n">
        <f aca="false">COUNTIF(C14:O14,"A")</f>
        <v>1</v>
      </c>
      <c r="U14" s="1" t="n">
        <f aca="false">SUM(Q14:T14)</f>
        <v>11</v>
      </c>
      <c r="V14" s="5" t="n">
        <f aca="false">ROUND((Q14+R14/2+S14/4)*10/U14,0)</f>
        <v>9</v>
      </c>
      <c r="W14" s="1" t="s">
        <v>10</v>
      </c>
      <c r="X14" s="1" t="s">
        <v>10</v>
      </c>
      <c r="Z14" s="1" t="s">
        <v>10</v>
      </c>
      <c r="AB14" s="1" t="s">
        <v>10</v>
      </c>
    </row>
    <row r="15" s="2" customFormat="true" ht="15" hidden="false" customHeight="false" outlineLevel="0" collapsed="false">
      <c r="A15" s="1" t="n">
        <v>13</v>
      </c>
      <c r="B15" s="2" t="s">
        <v>25</v>
      </c>
      <c r="C15" s="1" t="s">
        <v>10</v>
      </c>
      <c r="D15" s="2" t="s">
        <v>10</v>
      </c>
      <c r="E15" s="1" t="s">
        <v>10</v>
      </c>
      <c r="F15" s="1" t="s">
        <v>11</v>
      </c>
      <c r="G15" s="2" t="s">
        <v>10</v>
      </c>
      <c r="I15" s="1" t="s">
        <v>10</v>
      </c>
      <c r="J15" s="1"/>
      <c r="K15" s="2" t="s">
        <v>10</v>
      </c>
      <c r="L15" s="2" t="s">
        <v>10</v>
      </c>
      <c r="M15" s="1" t="s">
        <v>10</v>
      </c>
      <c r="N15" s="1" t="s">
        <v>10</v>
      </c>
      <c r="O15" s="2" t="s">
        <v>10</v>
      </c>
      <c r="Q15" s="1" t="n">
        <f aca="false">COUNTIF(C15:O15,"P")</f>
        <v>10</v>
      </c>
      <c r="R15" s="1" t="n">
        <f aca="false">COUNTIF(C15:O15,"M")</f>
        <v>0</v>
      </c>
      <c r="S15" s="1" t="n">
        <f aca="false">COUNTIF(C15:O15,"T")</f>
        <v>1</v>
      </c>
      <c r="T15" s="1" t="n">
        <f aca="false">COUNTIF(C15:O15,"A")</f>
        <v>0</v>
      </c>
      <c r="U15" s="1" t="n">
        <f aca="false">SUM(Q15:T15)</f>
        <v>11</v>
      </c>
      <c r="V15" s="5" t="n">
        <f aca="false">ROUND((Q15+R15/2+S15/4)*10/U15,0)</f>
        <v>9</v>
      </c>
      <c r="W15" s="2" t="s">
        <v>10</v>
      </c>
      <c r="X15" s="2" t="s">
        <v>10</v>
      </c>
      <c r="Z15" s="1" t="s">
        <v>11</v>
      </c>
      <c r="AA15" s="6" t="n">
        <v>0.555555555555556</v>
      </c>
      <c r="AB15" s="2" t="s">
        <v>11</v>
      </c>
      <c r="AC15" s="7" t="n">
        <v>0.5625</v>
      </c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XDJ15" s="1"/>
    </row>
    <row r="16" s="1" customFormat="true" ht="15" hidden="false" customHeight="false" outlineLevel="0" collapsed="false">
      <c r="A16" s="1" t="n">
        <v>14</v>
      </c>
      <c r="B16" s="2" t="s">
        <v>26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I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Q16" s="1" t="n">
        <f aca="false">COUNTIF(C16:O16,"P")</f>
        <v>11</v>
      </c>
      <c r="R16" s="1" t="n">
        <f aca="false">COUNTIF(C16:O16,"M")</f>
        <v>0</v>
      </c>
      <c r="S16" s="1" t="n">
        <f aca="false">COUNTIF(C16:O16,"T")</f>
        <v>0</v>
      </c>
      <c r="T16" s="1" t="n">
        <f aca="false">COUNTIF(C16:O16,"A")</f>
        <v>0</v>
      </c>
      <c r="U16" s="1" t="n">
        <f aca="false">SUM(Q16:T16)</f>
        <v>11</v>
      </c>
      <c r="V16" s="5" t="n">
        <f aca="false">ROUND((Q16+R16/2+S16/4)*10/U16,0)</f>
        <v>10</v>
      </c>
      <c r="W16" s="1" t="s">
        <v>10</v>
      </c>
      <c r="X16" s="1" t="s">
        <v>10</v>
      </c>
      <c r="Z16" s="1" t="s">
        <v>10</v>
      </c>
      <c r="AB16" s="1" t="s">
        <v>10</v>
      </c>
    </row>
    <row r="17" s="1" customFormat="true" ht="15" hidden="false" customHeight="false" outlineLevel="0" collapsed="false">
      <c r="A17" s="1" t="n">
        <v>15</v>
      </c>
      <c r="B17" s="2" t="s">
        <v>27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I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Q17" s="1" t="n">
        <f aca="false">COUNTIF(C17:O17,"P")</f>
        <v>11</v>
      </c>
      <c r="R17" s="1" t="n">
        <f aca="false">COUNTIF(C17:O17,"M")</f>
        <v>0</v>
      </c>
      <c r="S17" s="1" t="n">
        <f aca="false">COUNTIF(C17:O17,"T")</f>
        <v>0</v>
      </c>
      <c r="T17" s="1" t="n">
        <f aca="false">COUNTIF(C17:O17,"A")</f>
        <v>0</v>
      </c>
      <c r="U17" s="1" t="n">
        <f aca="false">SUM(Q17:T17)</f>
        <v>11</v>
      </c>
      <c r="V17" s="5" t="n">
        <f aca="false">ROUND((Q17+R17/2+S17/4)*10/U17,0)</f>
        <v>10</v>
      </c>
      <c r="W17" s="1" t="s">
        <v>10</v>
      </c>
      <c r="X17" s="1" t="s">
        <v>10</v>
      </c>
      <c r="Z17" s="1" t="s">
        <v>10</v>
      </c>
      <c r="AB17" s="1" t="s">
        <v>10</v>
      </c>
    </row>
    <row r="18" s="9" customFormat="true" ht="15" hidden="false" customHeight="false" outlineLevel="0" collapsed="false">
      <c r="A18" s="8" t="n">
        <v>16</v>
      </c>
      <c r="B18" s="9" t="s">
        <v>28</v>
      </c>
      <c r="C18" s="8" t="s">
        <v>10</v>
      </c>
      <c r="D18" s="9" t="s">
        <v>10</v>
      </c>
      <c r="E18" s="8" t="s">
        <v>10</v>
      </c>
      <c r="F18" s="8" t="s">
        <v>12</v>
      </c>
      <c r="G18" s="9" t="s">
        <v>10</v>
      </c>
      <c r="I18" s="8" t="s">
        <v>12</v>
      </c>
      <c r="J18" s="8"/>
      <c r="K18" s="9" t="s">
        <v>12</v>
      </c>
      <c r="L18" s="9" t="s">
        <v>12</v>
      </c>
      <c r="M18" s="8" t="s">
        <v>12</v>
      </c>
      <c r="N18" s="8" t="s">
        <v>12</v>
      </c>
      <c r="O18" s="9" t="s">
        <v>12</v>
      </c>
      <c r="Q18" s="1" t="n">
        <f aca="false">COUNTIF(C18:O18,"P")</f>
        <v>4</v>
      </c>
      <c r="R18" s="1" t="n">
        <f aca="false">COUNTIF(C18:O18,"M")</f>
        <v>0</v>
      </c>
      <c r="S18" s="1" t="n">
        <f aca="false">COUNTIF(C18:O18,"T")</f>
        <v>0</v>
      </c>
      <c r="T18" s="1" t="n">
        <f aca="false">COUNTIF(C18:O18,"A")</f>
        <v>7</v>
      </c>
      <c r="U18" s="1" t="n">
        <f aca="false">SUM(Q18:T18)</f>
        <v>11</v>
      </c>
      <c r="V18" s="5" t="n">
        <f aca="false">ROUND((Q18+R18/2+S18/4)*10/U18,0)</f>
        <v>4</v>
      </c>
      <c r="W18" s="9" t="s">
        <v>12</v>
      </c>
      <c r="X18" s="9" t="s">
        <v>12</v>
      </c>
      <c r="Z18" s="1" t="s">
        <v>12</v>
      </c>
      <c r="AA18" s="1"/>
      <c r="AB18" s="9" t="s">
        <v>12</v>
      </c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XDJ18" s="1"/>
    </row>
    <row r="19" s="2" customFormat="true" ht="15" hidden="false" customHeight="false" outlineLevel="0" collapsed="false">
      <c r="A19" s="1" t="n">
        <v>17</v>
      </c>
      <c r="B19" s="2" t="s">
        <v>29</v>
      </c>
      <c r="C19" s="1" t="s">
        <v>10</v>
      </c>
      <c r="D19" s="2" t="s">
        <v>10</v>
      </c>
      <c r="E19" s="1" t="s">
        <v>10</v>
      </c>
      <c r="F19" s="1" t="s">
        <v>10</v>
      </c>
      <c r="G19" s="2" t="s">
        <v>12</v>
      </c>
      <c r="I19" s="1" t="s">
        <v>12</v>
      </c>
      <c r="J19" s="1"/>
      <c r="K19" s="2" t="s">
        <v>10</v>
      </c>
      <c r="L19" s="2" t="s">
        <v>10</v>
      </c>
      <c r="M19" s="1" t="s">
        <v>10</v>
      </c>
      <c r="N19" s="1" t="s">
        <v>10</v>
      </c>
      <c r="O19" s="2" t="s">
        <v>10</v>
      </c>
      <c r="Q19" s="1" t="n">
        <f aca="false">COUNTIF(C19:O19,"P")</f>
        <v>9</v>
      </c>
      <c r="R19" s="1" t="n">
        <f aca="false">COUNTIF(C19:O19,"M")</f>
        <v>0</v>
      </c>
      <c r="S19" s="1" t="n">
        <f aca="false">COUNTIF(C19:O19,"T")</f>
        <v>0</v>
      </c>
      <c r="T19" s="1" t="n">
        <f aca="false">COUNTIF(C19:O19,"A")</f>
        <v>2</v>
      </c>
      <c r="U19" s="1" t="n">
        <f aca="false">SUM(Q19:T19)</f>
        <v>11</v>
      </c>
      <c r="V19" s="5" t="n">
        <f aca="false">ROUND((Q19+R19/2+S19/4)*10/U19,0)</f>
        <v>8</v>
      </c>
      <c r="W19" s="2" t="s">
        <v>12</v>
      </c>
      <c r="X19" s="2" t="s">
        <v>10</v>
      </c>
      <c r="Z19" s="1" t="s">
        <v>10</v>
      </c>
      <c r="AA19" s="1"/>
      <c r="AB19" s="2" t="s">
        <v>12</v>
      </c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XDJ19" s="1"/>
    </row>
    <row r="20" s="1" customFormat="true" ht="15" hidden="false" customHeight="false" outlineLevel="0" collapsed="false">
      <c r="A20" s="1" t="n">
        <v>18</v>
      </c>
      <c r="B20" s="2" t="s">
        <v>30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11</v>
      </c>
      <c r="H20" s="6" t="n">
        <v>0.5625</v>
      </c>
      <c r="I20" s="1" t="s">
        <v>12</v>
      </c>
      <c r="K20" s="1" t="s">
        <v>12</v>
      </c>
      <c r="L20" s="1" t="s">
        <v>10</v>
      </c>
      <c r="M20" s="1" t="s">
        <v>16</v>
      </c>
      <c r="N20" s="1" t="s">
        <v>10</v>
      </c>
      <c r="O20" s="1" t="s">
        <v>10</v>
      </c>
      <c r="Q20" s="1" t="n">
        <f aca="false">COUNTIF(C20:O20,"P")</f>
        <v>8</v>
      </c>
      <c r="R20" s="1" t="n">
        <f aca="false">COUNTIF(C20:O20,"M")</f>
        <v>0</v>
      </c>
      <c r="S20" s="1" t="n">
        <f aca="false">COUNTIF(C20:O20,"T")</f>
        <v>1</v>
      </c>
      <c r="T20" s="1" t="n">
        <f aca="false">COUNTIF(C20:O20,"A")</f>
        <v>2</v>
      </c>
      <c r="U20" s="1" t="n">
        <f aca="false">SUM(Q20:T20)</f>
        <v>11</v>
      </c>
      <c r="V20" s="5" t="n">
        <f aca="false">ROUND((Q20+R20/2+S20/4)*10/U20,0)</f>
        <v>8</v>
      </c>
      <c r="W20" s="1" t="s">
        <v>10</v>
      </c>
      <c r="X20" s="1" t="s">
        <v>12</v>
      </c>
      <c r="Z20" s="1" t="s">
        <v>10</v>
      </c>
      <c r="AB20" s="1" t="s">
        <v>10</v>
      </c>
    </row>
    <row r="21" s="1" customFormat="true" ht="15" hidden="false" customHeight="false" outlineLevel="0" collapsed="false">
      <c r="A21" s="1" t="n">
        <v>19</v>
      </c>
      <c r="B21" s="2" t="s">
        <v>31</v>
      </c>
      <c r="C21" s="1" t="s">
        <v>10</v>
      </c>
      <c r="D21" s="1" t="s">
        <v>10</v>
      </c>
      <c r="E21" s="1" t="s">
        <v>10</v>
      </c>
      <c r="F21" s="1" t="s">
        <v>11</v>
      </c>
      <c r="G21" s="1" t="s">
        <v>10</v>
      </c>
      <c r="I21" s="1" t="s">
        <v>12</v>
      </c>
      <c r="K21" s="1" t="s">
        <v>10</v>
      </c>
      <c r="L21" s="1" t="s">
        <v>12</v>
      </c>
      <c r="M21" s="1" t="s">
        <v>10</v>
      </c>
      <c r="N21" s="1" t="s">
        <v>10</v>
      </c>
      <c r="O21" s="1" t="s">
        <v>10</v>
      </c>
      <c r="Q21" s="1" t="n">
        <f aca="false">COUNTIF(C21:O21,"P")</f>
        <v>8</v>
      </c>
      <c r="R21" s="1" t="n">
        <f aca="false">COUNTIF(C21:O21,"M")</f>
        <v>0</v>
      </c>
      <c r="S21" s="1" t="n">
        <f aca="false">COUNTIF(C21:O21,"T")</f>
        <v>1</v>
      </c>
      <c r="T21" s="1" t="n">
        <f aca="false">COUNTIF(C21:O21,"A")</f>
        <v>2</v>
      </c>
      <c r="U21" s="1" t="n">
        <f aca="false">SUM(Q21:T21)</f>
        <v>11</v>
      </c>
      <c r="V21" s="5" t="n">
        <f aca="false">ROUND((Q21+R21/2+S21/4)*10/U21,0)</f>
        <v>8</v>
      </c>
      <c r="W21" s="1" t="s">
        <v>12</v>
      </c>
      <c r="X21" s="1" t="s">
        <v>10</v>
      </c>
      <c r="Z21" s="1" t="s">
        <v>10</v>
      </c>
      <c r="AB21" s="1" t="s">
        <v>10</v>
      </c>
    </row>
    <row r="22" s="2" customFormat="true" ht="15" hidden="false" customHeight="false" outlineLevel="0" collapsed="false">
      <c r="A22" s="1" t="n">
        <v>20</v>
      </c>
      <c r="B22" s="2" t="s">
        <v>32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/>
      <c r="I22" s="1" t="s">
        <v>33</v>
      </c>
      <c r="J22" s="6" t="n">
        <v>0.541666666666667</v>
      </c>
      <c r="K22" s="1" t="s">
        <v>10</v>
      </c>
      <c r="L22" s="1" t="s">
        <v>10</v>
      </c>
      <c r="M22" s="1" t="s">
        <v>10</v>
      </c>
      <c r="N22" s="1" t="s">
        <v>10</v>
      </c>
      <c r="O22" s="1" t="s">
        <v>10</v>
      </c>
      <c r="P22" s="1"/>
      <c r="Q22" s="1" t="n">
        <f aca="false">COUNTIF(C22:O22,"P")</f>
        <v>10</v>
      </c>
      <c r="R22" s="1" t="n">
        <f aca="false">COUNTIF(C22:O22,"M")</f>
        <v>1</v>
      </c>
      <c r="S22" s="1" t="n">
        <f aca="false">COUNTIF(C22:O22,"T")</f>
        <v>0</v>
      </c>
      <c r="T22" s="1" t="n">
        <f aca="false">COUNTIF(C22:O22,"A")</f>
        <v>0</v>
      </c>
      <c r="U22" s="1" t="n">
        <f aca="false">SUM(Q22:T22)</f>
        <v>11</v>
      </c>
      <c r="V22" s="5" t="n">
        <f aca="false">ROUND((Q22+R22/2+S22/4)*10/U22,0)</f>
        <v>10</v>
      </c>
      <c r="W22" s="1" t="s">
        <v>10</v>
      </c>
      <c r="X22" s="1" t="s">
        <v>11</v>
      </c>
      <c r="Y22" s="6" t="n">
        <v>0.569444444444444</v>
      </c>
      <c r="Z22" s="1" t="s">
        <v>11</v>
      </c>
      <c r="AA22" s="6" t="n">
        <v>0.555555555555556</v>
      </c>
      <c r="AB22" s="1" t="s">
        <v>10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XDJ22" s="1"/>
    </row>
    <row r="23" s="1" customFormat="true" ht="15" hidden="false" customHeight="false" outlineLevel="0" collapsed="false">
      <c r="A23" s="1" t="n">
        <v>21</v>
      </c>
      <c r="B23" s="2" t="s">
        <v>34</v>
      </c>
      <c r="C23" s="1" t="s">
        <v>10</v>
      </c>
      <c r="D23" s="2" t="s">
        <v>10</v>
      </c>
      <c r="E23" s="1" t="s">
        <v>10</v>
      </c>
      <c r="F23" s="1" t="s">
        <v>10</v>
      </c>
      <c r="G23" s="2" t="s">
        <v>10</v>
      </c>
      <c r="H23" s="2"/>
      <c r="I23" s="1" t="s">
        <v>10</v>
      </c>
      <c r="K23" s="2" t="s">
        <v>10</v>
      </c>
      <c r="L23" s="2" t="s">
        <v>10</v>
      </c>
      <c r="M23" s="1" t="s">
        <v>10</v>
      </c>
      <c r="N23" s="1" t="s">
        <v>10</v>
      </c>
      <c r="O23" s="2" t="s">
        <v>10</v>
      </c>
      <c r="P23" s="2"/>
      <c r="Q23" s="1" t="n">
        <f aca="false">COUNTIF(C23:O23,"P")</f>
        <v>11</v>
      </c>
      <c r="R23" s="1" t="n">
        <f aca="false">COUNTIF(C23:O23,"M")</f>
        <v>0</v>
      </c>
      <c r="S23" s="1" t="n">
        <f aca="false">COUNTIF(C23:O23,"T")</f>
        <v>0</v>
      </c>
      <c r="T23" s="1" t="n">
        <f aca="false">COUNTIF(C23:O23,"A")</f>
        <v>0</v>
      </c>
      <c r="U23" s="1" t="n">
        <f aca="false">SUM(Q23:T23)</f>
        <v>11</v>
      </c>
      <c r="V23" s="5" t="n">
        <f aca="false">ROUND((Q23+R23/2+S23/4)*10/U23,0)</f>
        <v>10</v>
      </c>
      <c r="W23" s="2" t="s">
        <v>10</v>
      </c>
      <c r="X23" s="2" t="s">
        <v>10</v>
      </c>
      <c r="Y23" s="2"/>
      <c r="Z23" s="1" t="s">
        <v>10</v>
      </c>
      <c r="AB23" s="2" t="s">
        <v>10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</row>
    <row r="24" customFormat="false" ht="15" hidden="false" customHeight="false" outlineLevel="0" collapsed="false">
      <c r="B24" s="1" t="s">
        <v>3</v>
      </c>
      <c r="C24" s="1" t="n">
        <f aca="false">COUNTIF(C3:C23,"P")</f>
        <v>20</v>
      </c>
      <c r="D24" s="1" t="n">
        <f aca="false">COUNTIF(D3:D23,"P")</f>
        <v>20</v>
      </c>
      <c r="E24" s="1" t="n">
        <f aca="false">COUNTIF(E3:E23,"P")</f>
        <v>21</v>
      </c>
      <c r="F24" s="1" t="n">
        <f aca="false">COUNTIF(F3:F23,"P")</f>
        <v>13</v>
      </c>
      <c r="G24" s="1" t="n">
        <f aca="false">COUNTIF(G3:G23,"P")</f>
        <v>17</v>
      </c>
      <c r="I24" s="1" t="n">
        <f aca="false">COUNTIF(I3:I23,"P")</f>
        <v>14</v>
      </c>
      <c r="K24" s="1" t="n">
        <f aca="false">COUNTIF(K3:K23,"P")</f>
        <v>18</v>
      </c>
      <c r="L24" s="1" t="n">
        <f aca="false">COUNTIF(L3:L23,"P")</f>
        <v>18</v>
      </c>
      <c r="M24" s="1" t="n">
        <f aca="false">COUNTIF(M3:M23,"P")</f>
        <v>19</v>
      </c>
      <c r="N24" s="1" t="n">
        <f aca="false">COUNTIF(N3:N23,"P")</f>
        <v>19</v>
      </c>
      <c r="O24" s="1" t="n">
        <f aca="false">COUNTIF(O3:O23,"P")</f>
        <v>19</v>
      </c>
      <c r="W24" s="1" t="n">
        <f aca="false">COUNTIF(W3:W23,"P")</f>
        <v>16</v>
      </c>
      <c r="X24" s="1" t="n">
        <f aca="false">COUNTIF(X3:X23,"P")</f>
        <v>15</v>
      </c>
      <c r="Y24" s="1"/>
      <c r="Z24" s="1" t="n">
        <f aca="false">COUNTIF(Z3:Z23,"P")</f>
        <v>16</v>
      </c>
      <c r="AB24" s="1" t="n">
        <f aca="false">COUNTIF(AB3:AB23,"P")</f>
        <v>14</v>
      </c>
    </row>
    <row r="25" customFormat="false" ht="15" hidden="false" customHeight="false" outlineLevel="0" collapsed="false">
      <c r="B25" s="1" t="s">
        <v>35</v>
      </c>
      <c r="C25" s="1" t="n">
        <f aca="false">COUNTIF(C3:C23,"M")</f>
        <v>0</v>
      </c>
      <c r="D25" s="1" t="n">
        <f aca="false">COUNTIF(D3:D23,"M")</f>
        <v>0</v>
      </c>
      <c r="E25" s="1" t="n">
        <f aca="false">COUNTIF(E3:E23,"M")</f>
        <v>0</v>
      </c>
      <c r="F25" s="1" t="n">
        <f aca="false">COUNTIF(F3:F23,"M")</f>
        <v>0</v>
      </c>
      <c r="G25" s="1" t="n">
        <f aca="false">COUNTIF(G3:G23,"M")</f>
        <v>0</v>
      </c>
      <c r="I25" s="1" t="n">
        <f aca="false">COUNTIF(I3:I23,"M")</f>
        <v>1</v>
      </c>
      <c r="K25" s="1" t="n">
        <f aca="false">COUNTIF(K3:K23,"M")</f>
        <v>0</v>
      </c>
      <c r="L25" s="1" t="n">
        <f aca="false">COUNTIF(L3:L23,"M")</f>
        <v>0</v>
      </c>
      <c r="M25" s="1" t="n">
        <f aca="false">COUNTIF(M3:M23,"M")</f>
        <v>0</v>
      </c>
      <c r="N25" s="1" t="n">
        <f aca="false">COUNTIF(N3:N23,"M")</f>
        <v>0</v>
      </c>
      <c r="O25" s="1" t="n">
        <f aca="false">COUNTIF(O3:O23,"M")</f>
        <v>0</v>
      </c>
      <c r="W25" s="1" t="n">
        <f aca="false">COUNTIF(W3:W23,"M")</f>
        <v>0</v>
      </c>
      <c r="X25" s="1" t="n">
        <f aca="false">COUNTIF(X3:X23,"M")</f>
        <v>0</v>
      </c>
      <c r="Y25" s="1"/>
      <c r="Z25" s="1" t="n">
        <f aca="false">COUNTIF(Z3:Z23,"M")</f>
        <v>0</v>
      </c>
      <c r="AB25" s="1" t="n">
        <f aca="false">COUNTIF(AB3:AB23,"M")</f>
        <v>0</v>
      </c>
    </row>
    <row r="26" customFormat="false" ht="15" hidden="false" customHeight="false" outlineLevel="0" collapsed="false">
      <c r="B26" s="1" t="s">
        <v>5</v>
      </c>
      <c r="C26" s="1" t="n">
        <f aca="false">COUNTIF(C3:C23,"T")</f>
        <v>0</v>
      </c>
      <c r="D26" s="1" t="n">
        <f aca="false">COUNTIF(D3:D23,"T")</f>
        <v>0</v>
      </c>
      <c r="E26" s="1" t="n">
        <f aca="false">COUNTIF(E3:E23,"T")</f>
        <v>0</v>
      </c>
      <c r="F26" s="1" t="n">
        <f aca="false">COUNTIF(F3:F23,"T")</f>
        <v>3</v>
      </c>
      <c r="G26" s="1" t="n">
        <f aca="false">COUNTIF(G3:G23,"T")</f>
        <v>3</v>
      </c>
      <c r="I26" s="1" t="n">
        <f aca="false">COUNTIF(I3:I23,"T")</f>
        <v>0</v>
      </c>
      <c r="K26" s="1" t="n">
        <f aca="false">COUNTIF(K3:K23,"T")</f>
        <v>0</v>
      </c>
      <c r="L26" s="1" t="n">
        <f aca="false">COUNTIF(L3:L23,"T")</f>
        <v>0</v>
      </c>
      <c r="M26" s="1" t="n">
        <f aca="false">COUNTIF(M3:M23,"t")</f>
        <v>0</v>
      </c>
      <c r="N26" s="1" t="n">
        <f aca="false">COUNTIF(N3:N23,"t")</f>
        <v>0</v>
      </c>
      <c r="O26" s="1" t="n">
        <f aca="false">COUNTIF(O3:O23,"t")</f>
        <v>1</v>
      </c>
      <c r="W26" s="1" t="n">
        <f aca="false">COUNTIF(W3:W23,"t")</f>
        <v>0</v>
      </c>
      <c r="X26" s="1" t="n">
        <f aca="false">COUNTIF(X3:X23,"t")</f>
        <v>2</v>
      </c>
      <c r="Y26" s="1"/>
      <c r="Z26" s="1" t="n">
        <f aca="false">COUNTIF(Z3:Z23,"t")</f>
        <v>3</v>
      </c>
      <c r="AB26" s="1" t="n">
        <f aca="false">COUNTIF(AB3:AB23,"t")</f>
        <v>3</v>
      </c>
    </row>
    <row r="27" customFormat="false" ht="15" hidden="false" customHeight="false" outlineLevel="0" collapsed="false">
      <c r="B27" s="1" t="s">
        <v>7</v>
      </c>
      <c r="C27" s="1" t="n">
        <f aca="false">SUM(C24:C26)</f>
        <v>20</v>
      </c>
      <c r="D27" s="1" t="n">
        <f aca="false">SUM(D24:D26)</f>
        <v>20</v>
      </c>
      <c r="E27" s="1" t="n">
        <f aca="false">SUM(E24:E26)</f>
        <v>21</v>
      </c>
      <c r="F27" s="1" t="n">
        <f aca="false">SUM(F24:F26)</f>
        <v>16</v>
      </c>
      <c r="G27" s="1" t="n">
        <f aca="false">SUM(G24:G26)</f>
        <v>20</v>
      </c>
      <c r="I27" s="1" t="n">
        <f aca="false">SUM(I24:I26)</f>
        <v>15</v>
      </c>
      <c r="K27" s="1" t="n">
        <f aca="false">SUM(K24:K26)</f>
        <v>18</v>
      </c>
      <c r="L27" s="1" t="n">
        <f aca="false">SUM(L24:L26)</f>
        <v>18</v>
      </c>
      <c r="M27" s="1" t="n">
        <f aca="false">SUM(M24:M26)</f>
        <v>19</v>
      </c>
      <c r="N27" s="1" t="n">
        <f aca="false">SUM(N24:N26)</f>
        <v>19</v>
      </c>
      <c r="O27" s="1" t="n">
        <f aca="false">SUM(O24:O26)</f>
        <v>20</v>
      </c>
      <c r="W27" s="1" t="n">
        <f aca="false">SUM(W24:W26)</f>
        <v>16</v>
      </c>
      <c r="X27" s="1" t="n">
        <f aca="false">SUM(X24:X26)</f>
        <v>17</v>
      </c>
      <c r="Y27" s="1"/>
      <c r="Z27" s="1" t="n">
        <f aca="false">SUM(Z24:Z26)</f>
        <v>19</v>
      </c>
      <c r="AB27" s="1" t="n">
        <f aca="false">SUM(AB24:AB26)</f>
        <v>17</v>
      </c>
    </row>
  </sheetData>
  <conditionalFormatting sqref="V2:V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3" min="3" style="1" width="9.58"/>
    <col collapsed="false" customWidth="true" hidden="false" outlineLevel="0" max="16384" min="16361" style="1" width="10.58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n">
        <v>45737</v>
      </c>
      <c r="D1" s="3" t="s">
        <v>36</v>
      </c>
      <c r="E1" s="3" t="n">
        <v>45954</v>
      </c>
      <c r="F1" s="3" t="n">
        <v>45961</v>
      </c>
      <c r="G1" s="2" t="s">
        <v>37</v>
      </c>
    </row>
    <row r="2" customFormat="false" ht="15" hidden="false" customHeight="false" outlineLevel="0" collapsed="false">
      <c r="A2" s="1" t="n">
        <v>1</v>
      </c>
      <c r="B2" s="2" t="s">
        <v>9</v>
      </c>
      <c r="C2" s="1" t="n">
        <v>3</v>
      </c>
      <c r="F2" s="1" t="n">
        <v>1</v>
      </c>
      <c r="G2" s="2" t="n">
        <f aca="false">SUM(D2:F2)</f>
        <v>1</v>
      </c>
    </row>
    <row r="3" customFormat="false" ht="15" hidden="false" customHeight="false" outlineLevel="0" collapsed="false">
      <c r="A3" s="1" t="n">
        <v>2</v>
      </c>
      <c r="B3" s="2" t="s">
        <v>13</v>
      </c>
      <c r="C3" s="1" t="n">
        <v>0</v>
      </c>
      <c r="D3" s="1" t="n">
        <v>1</v>
      </c>
      <c r="F3" s="1" t="n">
        <v>2</v>
      </c>
      <c r="G3" s="2" t="n">
        <f aca="false">SUM(D3:F3)</f>
        <v>3</v>
      </c>
    </row>
    <row r="4" customFormat="false" ht="15" hidden="false" customHeight="false" outlineLevel="0" collapsed="false">
      <c r="A4" s="1" t="n">
        <v>3</v>
      </c>
      <c r="B4" s="2" t="s">
        <v>14</v>
      </c>
      <c r="C4" s="1" t="n">
        <v>3</v>
      </c>
      <c r="G4" s="2" t="n">
        <f aca="false">SUM(D4:F4)</f>
        <v>0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n">
        <v>4</v>
      </c>
      <c r="F5" s="1" t="n">
        <v>1</v>
      </c>
      <c r="G5" s="2" t="n">
        <f aca="false">SUM(D5:F5)</f>
        <v>1</v>
      </c>
    </row>
    <row r="6" customFormat="false" ht="15" hidden="false" customHeight="false" outlineLevel="0" collapsed="false">
      <c r="A6" s="1" t="n">
        <v>5</v>
      </c>
      <c r="B6" s="2" t="s">
        <v>17</v>
      </c>
      <c r="C6" s="1" t="n">
        <v>0</v>
      </c>
      <c r="D6" s="1" t="n">
        <v>1</v>
      </c>
      <c r="G6" s="2" t="n">
        <f aca="false">SUM(D6:F6)</f>
        <v>1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n">
        <v>0</v>
      </c>
      <c r="D7" s="1" t="n">
        <v>1</v>
      </c>
      <c r="G7" s="2" t="n">
        <f aca="false">SUM(D7:F7)</f>
        <v>1</v>
      </c>
    </row>
    <row r="8" customFormat="false" ht="15" hidden="false" customHeight="false" outlineLevel="0" collapsed="false">
      <c r="A8" s="1" t="n">
        <v>7</v>
      </c>
      <c r="B8" s="2" t="s">
        <v>19</v>
      </c>
      <c r="C8" s="1" t="n">
        <v>3</v>
      </c>
      <c r="D8" s="1" t="n">
        <v>1</v>
      </c>
      <c r="G8" s="2" t="n">
        <f aca="false">SUM(D8:F8)</f>
        <v>1</v>
      </c>
    </row>
    <row r="9" customFormat="false" ht="15" hidden="false" customHeight="false" outlineLevel="0" collapsed="false">
      <c r="A9" s="1" t="n">
        <v>8</v>
      </c>
      <c r="B9" s="2" t="s">
        <v>20</v>
      </c>
      <c r="C9" s="1" t="n">
        <v>4</v>
      </c>
      <c r="D9" s="1" t="n">
        <v>1</v>
      </c>
      <c r="F9" s="1" t="n">
        <v>1</v>
      </c>
      <c r="G9" s="2" t="n">
        <f aca="false">SUM(D9:F9)</f>
        <v>2</v>
      </c>
    </row>
    <row r="10" customFormat="false" ht="15" hidden="false" customHeight="false" outlineLevel="0" collapsed="false">
      <c r="A10" s="1" t="n">
        <v>9</v>
      </c>
      <c r="B10" s="2" t="s">
        <v>21</v>
      </c>
      <c r="C10" s="1" t="n">
        <v>3</v>
      </c>
      <c r="G10" s="2" t="n">
        <f aca="false">SUM(D10:F10)</f>
        <v>0</v>
      </c>
    </row>
    <row r="11" customFormat="false" ht="15" hidden="false" customHeight="false" outlineLevel="0" collapsed="false">
      <c r="A11" s="1" t="n">
        <v>10</v>
      </c>
      <c r="B11" s="2" t="s">
        <v>22</v>
      </c>
      <c r="C11" s="1" t="n">
        <v>3</v>
      </c>
      <c r="G11" s="2" t="n">
        <f aca="false">SUM(D11:F11)</f>
        <v>0</v>
      </c>
    </row>
    <row r="12" customFormat="false" ht="15" hidden="false" customHeight="false" outlineLevel="0" collapsed="false">
      <c r="A12" s="1" t="n">
        <v>11</v>
      </c>
      <c r="B12" s="2" t="s">
        <v>23</v>
      </c>
      <c r="C12" s="1" t="n">
        <v>3</v>
      </c>
      <c r="D12" s="1" t="n">
        <v>1</v>
      </c>
      <c r="F12" s="1" t="n">
        <v>1</v>
      </c>
      <c r="G12" s="2" t="n">
        <f aca="false">SUM(D12:F12)</f>
        <v>2</v>
      </c>
    </row>
    <row r="13" customFormat="false" ht="15" hidden="false" customHeight="false" outlineLevel="0" collapsed="false">
      <c r="A13" s="1" t="n">
        <v>12</v>
      </c>
      <c r="B13" s="2" t="s">
        <v>24</v>
      </c>
      <c r="C13" s="1" t="n">
        <v>0</v>
      </c>
      <c r="G13" s="2" t="n">
        <f aca="false">SUM(D13:F13)</f>
        <v>0</v>
      </c>
    </row>
    <row r="14" customFormat="false" ht="15" hidden="false" customHeight="false" outlineLevel="0" collapsed="false">
      <c r="A14" s="1" t="n">
        <v>13</v>
      </c>
      <c r="B14" s="2" t="s">
        <v>25</v>
      </c>
      <c r="C14" s="1" t="n">
        <v>3</v>
      </c>
      <c r="D14" s="1" t="n">
        <v>1</v>
      </c>
      <c r="F14" s="1" t="n">
        <v>1</v>
      </c>
      <c r="G14" s="2" t="n">
        <f aca="false">SUM(D14:F14)</f>
        <v>2</v>
      </c>
    </row>
    <row r="15" customFormat="false" ht="15" hidden="false" customHeight="false" outlineLevel="0" collapsed="false">
      <c r="A15" s="1" t="n">
        <v>14</v>
      </c>
      <c r="B15" s="2" t="s">
        <v>26</v>
      </c>
      <c r="C15" s="1" t="n">
        <v>3</v>
      </c>
      <c r="D15" s="1" t="n">
        <v>1</v>
      </c>
      <c r="F15" s="1" t="n">
        <v>1</v>
      </c>
      <c r="G15" s="2" t="n">
        <f aca="false">SUM(D15:F15)</f>
        <v>2</v>
      </c>
    </row>
    <row r="16" customFormat="false" ht="15" hidden="false" customHeight="false" outlineLevel="0" collapsed="false">
      <c r="A16" s="1" t="n">
        <v>15</v>
      </c>
      <c r="B16" s="2" t="s">
        <v>27</v>
      </c>
      <c r="C16" s="1" t="n">
        <v>3</v>
      </c>
      <c r="D16" s="1" t="n">
        <v>1</v>
      </c>
      <c r="G16" s="2" t="n">
        <f aca="false">SUM(D16:F16)</f>
        <v>1</v>
      </c>
    </row>
    <row r="17" customFormat="false" ht="15" hidden="false" customHeight="false" outlineLevel="0" collapsed="false">
      <c r="A17" s="1" t="n">
        <v>16</v>
      </c>
      <c r="B17" s="2" t="s">
        <v>28</v>
      </c>
      <c r="C17" s="1" t="n">
        <v>0</v>
      </c>
      <c r="G17" s="2" t="n">
        <f aca="false">SUM(D17:F17)</f>
        <v>0</v>
      </c>
    </row>
    <row r="18" customFormat="false" ht="15" hidden="false" customHeight="false" outlineLevel="0" collapsed="false">
      <c r="A18" s="1" t="n">
        <v>17</v>
      </c>
      <c r="B18" s="2" t="s">
        <v>29</v>
      </c>
      <c r="C18" s="1" t="n">
        <v>3</v>
      </c>
      <c r="F18" s="1" t="n">
        <v>1</v>
      </c>
      <c r="G18" s="2" t="n">
        <f aca="false">SUM(D18:F18)</f>
        <v>1</v>
      </c>
    </row>
    <row r="19" customFormat="false" ht="15" hidden="false" customHeight="false" outlineLevel="0" collapsed="false">
      <c r="A19" s="1" t="n">
        <v>18</v>
      </c>
      <c r="B19" s="2" t="s">
        <v>38</v>
      </c>
      <c r="C19" s="1" t="n">
        <v>0</v>
      </c>
      <c r="F19" s="1" t="n">
        <v>1</v>
      </c>
      <c r="G19" s="2" t="n">
        <f aca="false">SUM(D19:F19)</f>
        <v>1</v>
      </c>
    </row>
    <row r="20" customFormat="false" ht="15" hidden="false" customHeight="false" outlineLevel="0" collapsed="false">
      <c r="A20" s="1" t="n">
        <v>19</v>
      </c>
      <c r="B20" s="2" t="s">
        <v>30</v>
      </c>
      <c r="C20" s="1" t="n">
        <v>3</v>
      </c>
      <c r="G20" s="2" t="n">
        <f aca="false">SUM(D20:F20)</f>
        <v>0</v>
      </c>
    </row>
    <row r="21" customFormat="false" ht="15" hidden="false" customHeight="false" outlineLevel="0" collapsed="false">
      <c r="A21" s="1" t="n">
        <v>20</v>
      </c>
      <c r="B21" s="2" t="s">
        <v>31</v>
      </c>
      <c r="C21" s="1" t="n">
        <v>3</v>
      </c>
      <c r="F21" s="1" t="n">
        <v>1</v>
      </c>
      <c r="G21" s="2" t="n">
        <f aca="false">SUM(D21:F21)</f>
        <v>1</v>
      </c>
    </row>
    <row r="22" customFormat="false" ht="15" hidden="false" customHeight="false" outlineLevel="0" collapsed="false">
      <c r="A22" s="1" t="n">
        <v>21</v>
      </c>
      <c r="B22" s="2" t="s">
        <v>32</v>
      </c>
      <c r="C22" s="1" t="n">
        <v>3</v>
      </c>
      <c r="F22" s="1" t="n">
        <v>1</v>
      </c>
      <c r="G22" s="2" t="n">
        <f aca="false">SUM(D22:F22)</f>
        <v>1</v>
      </c>
    </row>
    <row r="23" customFormat="false" ht="15" hidden="false" customHeight="false" outlineLevel="0" collapsed="false">
      <c r="A23" s="1" t="n">
        <v>22</v>
      </c>
      <c r="B23" s="2" t="s">
        <v>34</v>
      </c>
      <c r="C23" s="1" t="n">
        <v>3</v>
      </c>
      <c r="G23" s="2" t="n">
        <f aca="false">SUM(D23:F23)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25" activeCellId="0" sqref="Q2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9.9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39</v>
      </c>
      <c r="D1" s="2" t="s">
        <v>40</v>
      </c>
      <c r="E1" s="2" t="s">
        <v>41</v>
      </c>
      <c r="F1" s="2" t="s">
        <v>40</v>
      </c>
      <c r="G1" s="2" t="s">
        <v>42</v>
      </c>
      <c r="H1" s="2" t="s">
        <v>40</v>
      </c>
      <c r="I1" s="2" t="s">
        <v>43</v>
      </c>
      <c r="J1" s="2" t="s">
        <v>44</v>
      </c>
      <c r="K1" s="2" t="s">
        <v>45</v>
      </c>
      <c r="L1" s="2" t="s">
        <v>46</v>
      </c>
      <c r="M1" s="1" t="s">
        <v>47</v>
      </c>
      <c r="N1" s="1" t="s">
        <v>48</v>
      </c>
    </row>
    <row r="2" customFormat="false" ht="15" hidden="false" customHeight="false" outlineLevel="0" collapsed="false">
      <c r="A2" s="1" t="n">
        <v>1</v>
      </c>
      <c r="B2" s="2" t="s">
        <v>9</v>
      </c>
      <c r="C2" s="2" t="n">
        <v>7</v>
      </c>
      <c r="D2" s="3" t="n">
        <v>46168</v>
      </c>
      <c r="E2" s="2" t="n">
        <v>1</v>
      </c>
      <c r="F2" s="2"/>
      <c r="G2" s="2" t="n">
        <v>6</v>
      </c>
      <c r="H2" s="3" t="n">
        <v>46168</v>
      </c>
      <c r="I2" s="2" t="n">
        <v>7</v>
      </c>
      <c r="J2" s="3" t="n">
        <v>46168</v>
      </c>
      <c r="K2" s="2" t="n">
        <v>9.67</v>
      </c>
      <c r="L2" s="2" t="n">
        <v>8</v>
      </c>
      <c r="M2" s="5" t="n">
        <f aca="false">ROUND(AVERAGE(C2,E2,G2,I2,K2,L2),0)</f>
        <v>6</v>
      </c>
      <c r="N2" s="5" t="str">
        <f aca="false">IF(M2&gt;6,"TEA",IF(M2&gt;3,"TEP","TED"))</f>
        <v>TEP</v>
      </c>
    </row>
    <row r="3" customFormat="false" ht="15" hidden="false" customHeight="false" outlineLevel="0" collapsed="false">
      <c r="A3" s="1" t="n">
        <v>2</v>
      </c>
      <c r="B3" s="2" t="s">
        <v>13</v>
      </c>
      <c r="C3" s="2" t="n">
        <v>10</v>
      </c>
      <c r="D3" s="2"/>
      <c r="E3" s="2" t="n">
        <v>1</v>
      </c>
      <c r="F3" s="2"/>
      <c r="G3" s="2" t="n">
        <v>6</v>
      </c>
      <c r="H3" s="3" t="n">
        <v>46168</v>
      </c>
      <c r="I3" s="2" t="n">
        <v>7</v>
      </c>
      <c r="J3" s="3" t="n">
        <v>46168</v>
      </c>
      <c r="K3" s="2" t="n">
        <v>9.33</v>
      </c>
      <c r="L3" s="2" t="n">
        <v>9</v>
      </c>
      <c r="M3" s="5" t="n">
        <f aca="false">ROUND(AVERAGE(C3,E3,G3,I3,K3,L3),0)</f>
        <v>7</v>
      </c>
      <c r="N3" s="5" t="str">
        <f aca="false">IF(M3&gt;6,"TEA",IF(M3&gt;3,"TEP","TED"))</f>
        <v>TEA</v>
      </c>
    </row>
    <row r="4" customFormat="false" ht="15" hidden="false" customHeight="false" outlineLevel="0" collapsed="false">
      <c r="A4" s="1" t="n">
        <v>3</v>
      </c>
      <c r="B4" s="2" t="s">
        <v>14</v>
      </c>
      <c r="C4" s="2" t="n">
        <v>6</v>
      </c>
      <c r="D4" s="3" t="n">
        <v>46168</v>
      </c>
      <c r="E4" s="2" t="n">
        <v>1</v>
      </c>
      <c r="F4" s="2"/>
      <c r="G4" s="2" t="n">
        <v>1</v>
      </c>
      <c r="H4" s="2"/>
      <c r="I4" s="2" t="n">
        <v>7</v>
      </c>
      <c r="J4" s="3" t="n">
        <v>46168</v>
      </c>
      <c r="K4" s="2" t="n">
        <v>9</v>
      </c>
      <c r="L4" s="2" t="n">
        <v>10</v>
      </c>
      <c r="M4" s="5" t="n">
        <f aca="false">ROUND(AVERAGE(C4,E4,G4,I4,K4,L4),0)</f>
        <v>6</v>
      </c>
      <c r="N4" s="5" t="str">
        <f aca="false">IF(M4&gt;6,"TEA",IF(M4&gt;3,"TEP","TED"))</f>
        <v>TEP</v>
      </c>
    </row>
    <row r="5" customFormat="false" ht="15" hidden="false" customHeight="false" outlineLevel="0" collapsed="false">
      <c r="A5" s="1" t="n">
        <v>4</v>
      </c>
      <c r="B5" s="2" t="s">
        <v>15</v>
      </c>
      <c r="C5" s="2" t="n">
        <v>8</v>
      </c>
      <c r="D5" s="2"/>
      <c r="E5" s="2" t="n">
        <v>10</v>
      </c>
      <c r="F5" s="2"/>
      <c r="G5" s="2" t="n">
        <v>9</v>
      </c>
      <c r="H5" s="2"/>
      <c r="I5" s="2" t="n">
        <v>10</v>
      </c>
      <c r="J5" s="2"/>
      <c r="K5" s="2" t="n">
        <v>10</v>
      </c>
      <c r="L5" s="2" t="n">
        <v>10</v>
      </c>
      <c r="M5" s="5" t="n">
        <f aca="false">ROUND(AVERAGE(C5,E5,G5,I5,K5,L5),0)</f>
        <v>10</v>
      </c>
      <c r="N5" s="5" t="str">
        <f aca="false">IF(M5&gt;6,"TEA",IF(M5&gt;3,"TEP","TED"))</f>
        <v>TEA</v>
      </c>
    </row>
    <row r="6" customFormat="false" ht="15" hidden="false" customHeight="false" outlineLevel="0" collapsed="false">
      <c r="A6" s="1" t="n">
        <v>5</v>
      </c>
      <c r="B6" s="2" t="s">
        <v>17</v>
      </c>
      <c r="C6" s="2" t="n">
        <v>8</v>
      </c>
      <c r="D6" s="2"/>
      <c r="E6" s="2" t="n">
        <v>10</v>
      </c>
      <c r="F6" s="2"/>
      <c r="G6" s="2" t="n">
        <v>8</v>
      </c>
      <c r="H6" s="2"/>
      <c r="I6" s="2" t="n">
        <v>4</v>
      </c>
      <c r="J6" s="3" t="n">
        <v>46168</v>
      </c>
      <c r="K6" s="2" t="n">
        <v>9.67</v>
      </c>
      <c r="L6" s="2" t="n">
        <v>5</v>
      </c>
      <c r="M6" s="5" t="n">
        <f aca="false">ROUND(AVERAGE(C6,E6,G6,I6,K6,L6),0)</f>
        <v>7</v>
      </c>
      <c r="N6" s="5" t="str">
        <f aca="false">IF(M6&gt;6,"TEA",IF(M6&gt;3,"TEP","TED"))</f>
        <v>TEA</v>
      </c>
    </row>
    <row r="7" customFormat="false" ht="15" hidden="false" customHeight="false" outlineLevel="0" collapsed="false">
      <c r="A7" s="1" t="n">
        <v>6</v>
      </c>
      <c r="B7" s="2" t="s">
        <v>18</v>
      </c>
      <c r="C7" s="2" t="n">
        <v>10</v>
      </c>
      <c r="D7" s="2"/>
      <c r="E7" s="2" t="n">
        <v>10</v>
      </c>
      <c r="F7" s="2"/>
      <c r="G7" s="2" t="n">
        <v>9</v>
      </c>
      <c r="H7" s="2"/>
      <c r="I7" s="2" t="n">
        <v>9</v>
      </c>
      <c r="J7" s="2"/>
      <c r="K7" s="2" t="n">
        <v>9.67</v>
      </c>
      <c r="L7" s="2" t="n">
        <v>8</v>
      </c>
      <c r="M7" s="5" t="n">
        <f aca="false">ROUND(AVERAGE(C7,E7,G7,I7,K7,L7),0)</f>
        <v>9</v>
      </c>
      <c r="N7" s="5" t="str">
        <f aca="false">IF(M7&gt;6,"TEA",IF(M7&gt;3,"TEP","TED"))</f>
        <v>TEA</v>
      </c>
    </row>
    <row r="8" customFormat="false" ht="15" hidden="false" customHeight="false" outlineLevel="0" collapsed="false">
      <c r="A8" s="1" t="n">
        <v>7</v>
      </c>
      <c r="B8" s="2" t="s">
        <v>19</v>
      </c>
      <c r="C8" s="2" t="n">
        <v>1</v>
      </c>
      <c r="D8" s="2"/>
      <c r="E8" s="2" t="n">
        <v>1</v>
      </c>
      <c r="F8" s="2"/>
      <c r="G8" s="2" t="n">
        <v>1</v>
      </c>
      <c r="H8" s="2"/>
      <c r="I8" s="2" t="n">
        <v>1</v>
      </c>
      <c r="J8" s="2"/>
      <c r="K8" s="2" t="n">
        <v>10</v>
      </c>
      <c r="L8" s="2" t="n">
        <v>10</v>
      </c>
      <c r="M8" s="5" t="n">
        <f aca="false">ROUND(AVERAGE(C8,E8,G8,I8,K8,L8),0)</f>
        <v>4</v>
      </c>
      <c r="N8" s="5" t="str">
        <f aca="false">IF(M8&gt;6,"TEA",IF(M8&gt;3,"TEP","TED"))</f>
        <v>TEP</v>
      </c>
    </row>
    <row r="9" customFormat="false" ht="15" hidden="false" customHeight="false" outlineLevel="0" collapsed="false">
      <c r="A9" s="1" t="n">
        <v>8</v>
      </c>
      <c r="B9" s="2" t="s">
        <v>20</v>
      </c>
      <c r="C9" s="2" t="n">
        <v>9</v>
      </c>
      <c r="D9" s="2"/>
      <c r="E9" s="2" t="n">
        <v>10</v>
      </c>
      <c r="F9" s="2"/>
      <c r="G9" s="2" t="n">
        <v>10</v>
      </c>
      <c r="H9" s="2"/>
      <c r="I9" s="2" t="n">
        <v>9</v>
      </c>
      <c r="J9" s="2"/>
      <c r="K9" s="2" t="n">
        <v>10</v>
      </c>
      <c r="L9" s="2" t="n">
        <v>10</v>
      </c>
      <c r="M9" s="5" t="n">
        <f aca="false">ROUND(AVERAGE(C9,E9,G9,I9,K9,L9),0)</f>
        <v>10</v>
      </c>
      <c r="N9" s="5" t="str">
        <f aca="false">IF(M9&gt;6,"TEA",IF(M9&gt;3,"TEP","TED"))</f>
        <v>TEA</v>
      </c>
    </row>
    <row r="10" customFormat="false" ht="15" hidden="false" customHeight="false" outlineLevel="0" collapsed="false">
      <c r="A10" s="1" t="n">
        <v>9</v>
      </c>
      <c r="B10" s="2" t="s">
        <v>21</v>
      </c>
      <c r="C10" s="2" t="n">
        <v>9</v>
      </c>
      <c r="D10" s="2"/>
      <c r="E10" s="2" t="n">
        <v>9</v>
      </c>
      <c r="F10" s="3" t="n">
        <v>46168</v>
      </c>
      <c r="G10" s="2" t="n">
        <v>9</v>
      </c>
      <c r="H10" s="2"/>
      <c r="I10" s="2" t="n">
        <v>10</v>
      </c>
      <c r="J10" s="2"/>
      <c r="K10" s="2" t="n">
        <v>9.33</v>
      </c>
      <c r="L10" s="2" t="n">
        <v>8</v>
      </c>
      <c r="M10" s="5" t="n">
        <f aca="false">ROUND(AVERAGE(C10,E10,G10,I10,K10,L10),0)</f>
        <v>9</v>
      </c>
      <c r="N10" s="5" t="str">
        <f aca="false">IF(M10&gt;6,"TEA",IF(M10&gt;3,"TEP","TED"))</f>
        <v>TEA</v>
      </c>
    </row>
    <row r="11" customFormat="false" ht="15" hidden="false" customHeight="false" outlineLevel="0" collapsed="false">
      <c r="A11" s="1" t="n">
        <v>10</v>
      </c>
      <c r="B11" s="2" t="s">
        <v>22</v>
      </c>
      <c r="C11" s="2" t="n">
        <v>1</v>
      </c>
      <c r="D11" s="2"/>
      <c r="E11" s="2" t="n">
        <v>1</v>
      </c>
      <c r="F11" s="2"/>
      <c r="G11" s="2" t="n">
        <v>10</v>
      </c>
      <c r="H11" s="2"/>
      <c r="I11" s="2" t="n">
        <v>1</v>
      </c>
      <c r="J11" s="2"/>
      <c r="K11" s="2" t="n">
        <v>10</v>
      </c>
      <c r="L11" s="2" t="n">
        <v>9</v>
      </c>
      <c r="M11" s="5" t="n">
        <f aca="false">ROUND(AVERAGE(C11,E11,G11,I11,K11,L11),0)</f>
        <v>5</v>
      </c>
      <c r="N11" s="5" t="str">
        <f aca="false">IF(M11&gt;6,"TEA",IF(M11&gt;3,"TEP","TED"))</f>
        <v>TEP</v>
      </c>
    </row>
    <row r="12" customFormat="false" ht="15" hidden="false" customHeight="false" outlineLevel="0" collapsed="false">
      <c r="A12" s="1" t="n">
        <v>11</v>
      </c>
      <c r="B12" s="2" t="s">
        <v>23</v>
      </c>
      <c r="C12" s="2" t="n">
        <v>8</v>
      </c>
      <c r="D12" s="2"/>
      <c r="E12" s="2" t="n">
        <v>10</v>
      </c>
      <c r="F12" s="2"/>
      <c r="G12" s="2" t="n">
        <v>6</v>
      </c>
      <c r="H12" s="2"/>
      <c r="I12" s="2" t="n">
        <v>8</v>
      </c>
      <c r="J12" s="2"/>
      <c r="K12" s="2" t="n">
        <v>9.33</v>
      </c>
      <c r="L12" s="2" t="n">
        <v>10</v>
      </c>
      <c r="M12" s="5" t="n">
        <f aca="false">ROUND(AVERAGE(C12,E12,G12,I12,K12,L12),0)</f>
        <v>9</v>
      </c>
      <c r="N12" s="5" t="str">
        <f aca="false">IF(M12&gt;6,"TEA",IF(M12&gt;3,"TEP","TED"))</f>
        <v>TEA</v>
      </c>
    </row>
    <row r="13" customFormat="false" ht="15" hidden="false" customHeight="false" outlineLevel="0" collapsed="false">
      <c r="A13" s="1" t="n">
        <v>12</v>
      </c>
      <c r="B13" s="2" t="s">
        <v>24</v>
      </c>
      <c r="C13" s="2" t="n">
        <v>9</v>
      </c>
      <c r="D13" s="2"/>
      <c r="E13" s="2" t="n">
        <v>10</v>
      </c>
      <c r="F13" s="2"/>
      <c r="G13" s="2" t="n">
        <v>9</v>
      </c>
      <c r="H13" s="2"/>
      <c r="I13" s="2" t="n">
        <v>10</v>
      </c>
      <c r="J13" s="2"/>
      <c r="K13" s="2" t="n">
        <v>10</v>
      </c>
      <c r="L13" s="2" t="n">
        <v>9</v>
      </c>
      <c r="M13" s="5" t="n">
        <f aca="false">ROUND(AVERAGE(C13,E13,G13,I13,K13,L13),0)</f>
        <v>10</v>
      </c>
      <c r="N13" s="5" t="str">
        <f aca="false">IF(M13&gt;6,"TEA",IF(M13&gt;3,"TEP","TED"))</f>
        <v>TEA</v>
      </c>
    </row>
    <row r="14" customFormat="false" ht="15" hidden="false" customHeight="false" outlineLevel="0" collapsed="false">
      <c r="A14" s="1" t="n">
        <v>13</v>
      </c>
      <c r="B14" s="2" t="s">
        <v>25</v>
      </c>
      <c r="C14" s="2" t="n">
        <v>1</v>
      </c>
      <c r="D14" s="2"/>
      <c r="E14" s="2" t="n">
        <v>1</v>
      </c>
      <c r="F14" s="2"/>
      <c r="G14" s="2" t="n">
        <v>1</v>
      </c>
      <c r="H14" s="2"/>
      <c r="I14" s="2" t="n">
        <v>6</v>
      </c>
      <c r="J14" s="3" t="n">
        <v>46168</v>
      </c>
      <c r="K14" s="2" t="n">
        <v>9.67</v>
      </c>
      <c r="L14" s="2" t="n">
        <v>9</v>
      </c>
      <c r="M14" s="5" t="n">
        <f aca="false">ROUND(AVERAGE(C14,E14,G14,I14,K14,L14),0)</f>
        <v>5</v>
      </c>
      <c r="N14" s="5" t="str">
        <f aca="false">IF(M14&gt;6,"TEA",IF(M14&gt;3,"TEP","TED"))</f>
        <v>TEP</v>
      </c>
    </row>
    <row r="15" customFormat="false" ht="15" hidden="false" customHeight="false" outlineLevel="0" collapsed="false">
      <c r="A15" s="1" t="n">
        <v>14</v>
      </c>
      <c r="B15" s="2" t="s">
        <v>26</v>
      </c>
      <c r="C15" s="2" t="n">
        <v>10</v>
      </c>
      <c r="D15" s="2"/>
      <c r="E15" s="2" t="n">
        <v>9</v>
      </c>
      <c r="F15" s="3" t="n">
        <v>46168</v>
      </c>
      <c r="G15" s="2" t="n">
        <v>9</v>
      </c>
      <c r="H15" s="3" t="n">
        <v>46168</v>
      </c>
      <c r="I15" s="2" t="n">
        <v>8</v>
      </c>
      <c r="J15" s="3" t="n">
        <v>46168</v>
      </c>
      <c r="K15" s="2" t="n">
        <v>10</v>
      </c>
      <c r="L15" s="2" t="n">
        <v>10</v>
      </c>
      <c r="M15" s="5" t="n">
        <f aca="false">ROUND(AVERAGE(C15,E15,G15,I15,K15,L15),0)</f>
        <v>9</v>
      </c>
      <c r="N15" s="5" t="str">
        <f aca="false">IF(M15&gt;6,"TEA",IF(M15&gt;3,"TEP","TED"))</f>
        <v>TEA</v>
      </c>
    </row>
    <row r="16" customFormat="false" ht="15" hidden="false" customHeight="false" outlineLevel="0" collapsed="false">
      <c r="A16" s="1" t="n">
        <v>15</v>
      </c>
      <c r="B16" s="2" t="s">
        <v>27</v>
      </c>
      <c r="C16" s="2" t="n">
        <v>9</v>
      </c>
      <c r="D16" s="3" t="n">
        <v>46168</v>
      </c>
      <c r="E16" s="2" t="n">
        <v>9</v>
      </c>
      <c r="F16" s="3" t="n">
        <v>46168</v>
      </c>
      <c r="G16" s="2" t="n">
        <v>7</v>
      </c>
      <c r="H16" s="3" t="n">
        <v>46168</v>
      </c>
      <c r="I16" s="2" t="n">
        <v>6</v>
      </c>
      <c r="J16" s="3" t="n">
        <v>46168</v>
      </c>
      <c r="K16" s="2" t="n">
        <v>9.33</v>
      </c>
      <c r="L16" s="2" t="n">
        <v>10</v>
      </c>
      <c r="M16" s="5" t="n">
        <f aca="false">ROUND(AVERAGE(C16,E16,G16,I16,K16,L16),0)</f>
        <v>8</v>
      </c>
      <c r="N16" s="5" t="str">
        <f aca="false">IF(M16&gt;6,"TEA",IF(M16&gt;3,"TEP","TED"))</f>
        <v>TEA</v>
      </c>
    </row>
    <row r="17" s="9" customFormat="true" ht="15" hidden="false" customHeight="false" outlineLevel="0" collapsed="false">
      <c r="A17" s="8" t="n">
        <v>16</v>
      </c>
      <c r="B17" s="9" t="s">
        <v>28</v>
      </c>
      <c r="C17" s="8" t="n">
        <v>1</v>
      </c>
      <c r="D17" s="8"/>
      <c r="E17" s="8" t="n">
        <v>1</v>
      </c>
      <c r="F17" s="8"/>
      <c r="G17" s="8" t="n">
        <v>1</v>
      </c>
      <c r="H17" s="8"/>
      <c r="I17" s="8" t="n">
        <v>1</v>
      </c>
      <c r="J17" s="8"/>
      <c r="K17" s="8" t="n">
        <v>1</v>
      </c>
      <c r="L17" s="8" t="n">
        <v>4</v>
      </c>
      <c r="M17" s="10" t="n">
        <f aca="false">ROUND(AVERAGE(C17,E17,G17,I17,K17,L17),0)</f>
        <v>2</v>
      </c>
      <c r="N17" s="5" t="str">
        <f aca="false">IF(M17&gt;6,"TEA",IF(M17&gt;3,"TEP","TED"))</f>
        <v>TED</v>
      </c>
      <c r="O17" s="9" t="s">
        <v>49</v>
      </c>
    </row>
    <row r="18" customFormat="false" ht="15" hidden="false" customHeight="false" outlineLevel="0" collapsed="false">
      <c r="A18" s="1" t="n">
        <v>17</v>
      </c>
      <c r="B18" s="2" t="s">
        <v>29</v>
      </c>
      <c r="C18" s="2" t="n">
        <v>1</v>
      </c>
      <c r="D18" s="2"/>
      <c r="E18" s="2" t="n">
        <v>1</v>
      </c>
      <c r="F18" s="2"/>
      <c r="G18" s="2" t="n">
        <v>1</v>
      </c>
      <c r="H18" s="2"/>
      <c r="I18" s="2" t="n">
        <v>1</v>
      </c>
      <c r="J18" s="2"/>
      <c r="K18" s="2" t="n">
        <v>9.33</v>
      </c>
      <c r="L18" s="2" t="n">
        <v>8</v>
      </c>
      <c r="M18" s="5" t="n">
        <f aca="false">ROUND(AVERAGE(C18,E18,G18,I18,K18,L18),0)</f>
        <v>4</v>
      </c>
      <c r="N18" s="5" t="str">
        <f aca="false">IF(M18&gt;6,"TEA",IF(M18&gt;3,"TEP","TED"))</f>
        <v>TEP</v>
      </c>
    </row>
    <row r="19" customFormat="false" ht="15" hidden="false" customHeight="false" outlineLevel="0" collapsed="false">
      <c r="A19" s="1" t="n">
        <v>18</v>
      </c>
      <c r="B19" s="2" t="s">
        <v>30</v>
      </c>
      <c r="C19" s="2" t="n">
        <v>7</v>
      </c>
      <c r="D19" s="3" t="n">
        <v>46168</v>
      </c>
      <c r="E19" s="2" t="n">
        <v>9</v>
      </c>
      <c r="F19" s="3" t="n">
        <v>46168</v>
      </c>
      <c r="G19" s="2" t="n">
        <v>6</v>
      </c>
      <c r="H19" s="3" t="n">
        <v>46168</v>
      </c>
      <c r="I19" s="2" t="n">
        <v>6</v>
      </c>
      <c r="J19" s="3" t="n">
        <v>46168</v>
      </c>
      <c r="K19" s="2" t="n">
        <v>9.33</v>
      </c>
      <c r="L19" s="2" t="n">
        <v>8</v>
      </c>
      <c r="M19" s="5" t="n">
        <f aca="false">ROUND(AVERAGE(C19,E19,G19,I19,K19,L19),0)</f>
        <v>8</v>
      </c>
      <c r="N19" s="5" t="str">
        <f aca="false">IF(M19&gt;6,"TEA",IF(M19&gt;3,"TEP","TED"))</f>
        <v>TEA</v>
      </c>
    </row>
    <row r="20" customFormat="false" ht="15" hidden="false" customHeight="false" outlineLevel="0" collapsed="false">
      <c r="A20" s="1" t="n">
        <v>19</v>
      </c>
      <c r="B20" s="2" t="s">
        <v>31</v>
      </c>
      <c r="C20" s="2" t="n">
        <v>7</v>
      </c>
      <c r="D20" s="3" t="n">
        <v>46168</v>
      </c>
      <c r="E20" s="2" t="n">
        <v>1</v>
      </c>
      <c r="F20" s="2"/>
      <c r="G20" s="2" t="n">
        <v>7</v>
      </c>
      <c r="H20" s="3" t="n">
        <v>46168</v>
      </c>
      <c r="I20" s="2" t="n">
        <v>7</v>
      </c>
      <c r="J20" s="3" t="n">
        <v>46168</v>
      </c>
      <c r="K20" s="2" t="n">
        <v>9</v>
      </c>
      <c r="L20" s="2" t="n">
        <v>8</v>
      </c>
      <c r="M20" s="5" t="n">
        <f aca="false">ROUND(AVERAGE(C20,E20,G20,I20,K20,L20),0)</f>
        <v>7</v>
      </c>
      <c r="N20" s="5" t="str">
        <f aca="false">IF(M20&gt;6,"TEA",IF(M20&gt;3,"TEP","TED"))</f>
        <v>TEA</v>
      </c>
    </row>
    <row r="21" customFormat="false" ht="15" hidden="false" customHeight="false" outlineLevel="0" collapsed="false">
      <c r="A21" s="1" t="n">
        <v>20</v>
      </c>
      <c r="B21" s="2" t="s">
        <v>32</v>
      </c>
      <c r="C21" s="2" t="n">
        <v>9</v>
      </c>
      <c r="D21" s="3" t="n">
        <v>46168</v>
      </c>
      <c r="E21" s="2" t="n">
        <v>9</v>
      </c>
      <c r="F21" s="3" t="n">
        <v>46168</v>
      </c>
      <c r="G21" s="2" t="n">
        <v>6</v>
      </c>
      <c r="H21" s="3" t="n">
        <v>46168</v>
      </c>
      <c r="I21" s="2" t="n">
        <v>10</v>
      </c>
      <c r="J21" s="2"/>
      <c r="K21" s="2" t="n">
        <v>8.33</v>
      </c>
      <c r="L21" s="2" t="n">
        <v>10</v>
      </c>
      <c r="M21" s="5" t="n">
        <f aca="false">ROUND(AVERAGE(C21,E21,G21,I21,K21,L21),0)</f>
        <v>9</v>
      </c>
      <c r="N21" s="5" t="str">
        <f aca="false">IF(M21&gt;6,"TEA",IF(M21&gt;3,"TEP","TED"))</f>
        <v>TEA</v>
      </c>
    </row>
    <row r="22" customFormat="false" ht="15" hidden="false" customHeight="false" outlineLevel="0" collapsed="false">
      <c r="A22" s="1" t="n">
        <v>21</v>
      </c>
      <c r="B22" s="2" t="s">
        <v>34</v>
      </c>
      <c r="C22" s="2" t="n">
        <v>1</v>
      </c>
      <c r="D22" s="2"/>
      <c r="E22" s="2" t="n">
        <v>1</v>
      </c>
      <c r="F22" s="2"/>
      <c r="G22" s="2" t="n">
        <v>1</v>
      </c>
      <c r="H22" s="2"/>
      <c r="I22" s="2" t="n">
        <v>7</v>
      </c>
      <c r="J22" s="3" t="n">
        <v>46168</v>
      </c>
      <c r="K22" s="2" t="n">
        <v>9.33</v>
      </c>
      <c r="L22" s="2" t="n">
        <v>10</v>
      </c>
      <c r="M22" s="5" t="n">
        <f aca="false">ROUND(AVERAGE(C22,E22,G22,I22,K22,L22),0)</f>
        <v>5</v>
      </c>
      <c r="N22" s="5" t="str">
        <f aca="false">IF(M22&gt;6,"TEA",IF(M22&gt;3,"TEP","TED"))</f>
        <v>TEP</v>
      </c>
    </row>
  </sheetData>
  <conditionalFormatting sqref="M2:N22">
    <cfRule type="cellIs" priority="2" operator="greaterThan" aboveAverage="0" equalAverage="0" bottom="0" percent="0" rank="0" text="" dxfId="0">
      <formula>7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3">
      <formula>"TEA"</formula>
    </cfRule>
    <cfRule type="cellIs" priority="6" operator="equal" aboveAverage="0" equalAverage="0" bottom="0" percent="0" rank="0" text="" dxfId="4">
      <formula>"TEP"</formula>
    </cfRule>
    <cfRule type="cellIs" priority="7" operator="equal" aboveAverage="0" equalAverage="0" bottom="0" percent="0" rank="0" text="" dxfId="5">
      <formula>"TED"</formula>
    </cfRule>
  </conditionalFormatting>
  <conditionalFormatting sqref="C1:L22">
    <cfRule type="cellIs" priority="8" operator="greaterThan" aboveAverage="0" equalAverage="0" bottom="0" percent="0" rank="0" text="" dxfId="3">
      <formula>6</formula>
    </cfRule>
    <cfRule type="cellIs" priority="9" operator="between" aboveAverage="0" equalAverage="0" bottom="0" percent="0" rank="0" text="" dxfId="4">
      <formula>4</formula>
      <formula>6</formula>
    </cfRule>
    <cfRule type="cellIs" priority="10" operator="lessThan" aboveAverage="0" equalAverage="0" bottom="0" percent="0" rank="0" text="" dxfId="5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9.94"/>
    <col collapsed="false" customWidth="true" hidden="false" outlineLevel="0" max="3" min="3" style="1" width="18.16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1</v>
      </c>
      <c r="D1" s="1" t="s">
        <v>50</v>
      </c>
      <c r="E1" s="1" t="s">
        <v>47</v>
      </c>
      <c r="F1" s="1" t="s">
        <v>51</v>
      </c>
      <c r="G1" s="1" t="s">
        <v>52</v>
      </c>
    </row>
    <row r="2" customFormat="false" ht="15" hidden="false" customHeight="false" outlineLevel="0" collapsed="false">
      <c r="A2" s="1" t="n">
        <v>1</v>
      </c>
      <c r="B2" s="2" t="s">
        <v>9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13</v>
      </c>
      <c r="C3" s="1" t="s">
        <v>13</v>
      </c>
      <c r="D3" s="1" t="n">
        <v>10</v>
      </c>
      <c r="G3" s="1" t="n">
        <v>10</v>
      </c>
    </row>
    <row r="4" customFormat="false" ht="15" hidden="false" customHeight="false" outlineLevel="0" collapsed="false">
      <c r="A4" s="1" t="n">
        <v>3</v>
      </c>
      <c r="B4" s="2" t="s">
        <v>14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n">
        <v>8</v>
      </c>
      <c r="G5" s="1" t="n">
        <v>8</v>
      </c>
    </row>
    <row r="6" customFormat="false" ht="15" hidden="false" customHeight="false" outlineLevel="0" collapsed="false">
      <c r="A6" s="1" t="n">
        <v>5</v>
      </c>
      <c r="B6" s="2" t="s">
        <v>17</v>
      </c>
      <c r="C6" s="1" t="s">
        <v>17</v>
      </c>
      <c r="D6" s="1" t="n">
        <v>8</v>
      </c>
      <c r="G6" s="1" t="n">
        <v>8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s">
        <v>18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7</v>
      </c>
      <c r="B8" s="2" t="s">
        <v>19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2" t="s">
        <v>20</v>
      </c>
      <c r="C9" s="1" t="s">
        <v>20</v>
      </c>
      <c r="D9" s="1" t="n">
        <v>10</v>
      </c>
      <c r="E9" s="1" t="n">
        <f aca="false">ROUND(AVERAGE(D9:D13),0)</f>
        <v>8</v>
      </c>
      <c r="F9" s="1" t="n">
        <v>9</v>
      </c>
      <c r="G9" s="1" t="n">
        <f aca="false">MAX(F9,E9)</f>
        <v>9</v>
      </c>
    </row>
    <row r="10" customFormat="false" ht="15" hidden="false" customHeight="false" outlineLevel="0" collapsed="false">
      <c r="C10" s="1" t="s">
        <v>20</v>
      </c>
      <c r="D10" s="1" t="n">
        <v>9</v>
      </c>
    </row>
    <row r="11" customFormat="false" ht="15" hidden="false" customHeight="false" outlineLevel="0" collapsed="false">
      <c r="C11" s="1" t="s">
        <v>20</v>
      </c>
      <c r="D11" s="1" t="n">
        <v>8</v>
      </c>
    </row>
    <row r="12" customFormat="false" ht="15" hidden="false" customHeight="false" outlineLevel="0" collapsed="false">
      <c r="C12" s="1" t="s">
        <v>20</v>
      </c>
      <c r="D12" s="1" t="n">
        <v>6</v>
      </c>
    </row>
    <row r="13" customFormat="false" ht="15" hidden="false" customHeight="false" outlineLevel="0" collapsed="false">
      <c r="C13" s="1" t="s">
        <v>20</v>
      </c>
      <c r="D13" s="1" t="n">
        <v>6</v>
      </c>
    </row>
    <row r="14" customFormat="false" ht="15" hidden="false" customHeight="false" outlineLevel="0" collapsed="false">
      <c r="A14" s="1" t="n">
        <v>9</v>
      </c>
      <c r="B14" s="2" t="s">
        <v>21</v>
      </c>
      <c r="C14" s="1" t="s">
        <v>21</v>
      </c>
      <c r="D14" s="1" t="n">
        <v>9</v>
      </c>
      <c r="G14" s="1" t="n">
        <v>9</v>
      </c>
    </row>
    <row r="15" customFormat="false" ht="15" hidden="false" customHeight="false" outlineLevel="0" collapsed="false">
      <c r="A15" s="1" t="n">
        <v>10</v>
      </c>
      <c r="B15" s="2" t="s">
        <v>22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11</v>
      </c>
      <c r="B16" s="2" t="s">
        <v>23</v>
      </c>
      <c r="C16" s="1" t="s">
        <v>23</v>
      </c>
      <c r="D16" s="1" t="n">
        <v>8</v>
      </c>
      <c r="G16" s="1" t="n">
        <v>8</v>
      </c>
    </row>
    <row r="17" customFormat="false" ht="15" hidden="false" customHeight="false" outlineLevel="0" collapsed="false">
      <c r="A17" s="1" t="n">
        <v>12</v>
      </c>
      <c r="B17" s="2" t="s">
        <v>24</v>
      </c>
      <c r="C17" s="1" t="s">
        <v>24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13</v>
      </c>
      <c r="B18" s="2" t="s">
        <v>25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14</v>
      </c>
      <c r="B19" s="2" t="s">
        <v>26</v>
      </c>
      <c r="C19" s="1" t="s">
        <v>26</v>
      </c>
      <c r="D19" s="1" t="n">
        <v>10</v>
      </c>
      <c r="G19" s="1" t="n">
        <v>10</v>
      </c>
    </row>
    <row r="20" customFormat="false" ht="15" hidden="false" customHeight="false" outlineLevel="0" collapsed="false">
      <c r="A20" s="1" t="n">
        <v>15</v>
      </c>
      <c r="B20" s="2" t="s">
        <v>27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8" t="n">
        <v>16</v>
      </c>
      <c r="B21" s="9" t="s">
        <v>28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17</v>
      </c>
      <c r="B22" s="2" t="s">
        <v>29</v>
      </c>
      <c r="D22" s="1" t="n">
        <v>1</v>
      </c>
      <c r="G22" s="1" t="n">
        <v>1</v>
      </c>
    </row>
    <row r="23" customFormat="false" ht="15" hidden="false" customHeight="false" outlineLevel="0" collapsed="false">
      <c r="A23" s="1" t="n">
        <v>18</v>
      </c>
      <c r="B23" s="2" t="s">
        <v>30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19</v>
      </c>
      <c r="B24" s="2" t="s">
        <v>31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20</v>
      </c>
      <c r="B25" s="2" t="s">
        <v>32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21</v>
      </c>
      <c r="B26" s="2" t="s">
        <v>34</v>
      </c>
      <c r="D26" s="1" t="n">
        <v>1</v>
      </c>
      <c r="G26" s="1" t="n">
        <v>1</v>
      </c>
    </row>
    <row r="27" customFormat="false" ht="15" hidden="false" customHeight="false" outlineLevel="0" collapsed="false">
      <c r="E27" s="1" t="s">
        <v>7</v>
      </c>
      <c r="G27" s="1" t="n">
        <f aca="false">COUNTIF(G2:G26,"&gt;0")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9.94"/>
    <col collapsed="false" customWidth="true" hidden="false" outlineLevel="0" max="3" min="3" style="1" width="17.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1</v>
      </c>
      <c r="D1" s="1" t="s">
        <v>50</v>
      </c>
    </row>
    <row r="2" customFormat="false" ht="15" hidden="false" customHeight="false" outlineLevel="0" collapsed="false">
      <c r="A2" s="1" t="n">
        <v>1</v>
      </c>
      <c r="B2" s="2" t="s">
        <v>9</v>
      </c>
      <c r="D2" s="1" t="n">
        <v>1</v>
      </c>
    </row>
    <row r="3" customFormat="false" ht="15" hidden="false" customHeight="false" outlineLevel="0" collapsed="false">
      <c r="A3" s="1" t="n">
        <v>2</v>
      </c>
      <c r="B3" s="2" t="s">
        <v>13</v>
      </c>
      <c r="D3" s="1" t="n">
        <v>1</v>
      </c>
    </row>
    <row r="4" customFormat="false" ht="15" hidden="false" customHeight="false" outlineLevel="0" collapsed="false">
      <c r="A4" s="1" t="n">
        <v>3</v>
      </c>
      <c r="B4" s="2" t="s">
        <v>14</v>
      </c>
      <c r="D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17</v>
      </c>
      <c r="C6" s="1" t="s">
        <v>17</v>
      </c>
      <c r="D6" s="1" t="n">
        <v>10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s">
        <v>18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19</v>
      </c>
      <c r="D8" s="1" t="n">
        <v>1</v>
      </c>
    </row>
    <row r="9" customFormat="false" ht="15" hidden="false" customHeight="false" outlineLevel="0" collapsed="false">
      <c r="A9" s="1" t="n">
        <v>8</v>
      </c>
      <c r="B9" s="2" t="s">
        <v>20</v>
      </c>
      <c r="C9" s="1" t="s">
        <v>20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21</v>
      </c>
      <c r="D10" s="1" t="n">
        <v>1</v>
      </c>
    </row>
    <row r="11" customFormat="false" ht="15" hidden="false" customHeight="false" outlineLevel="0" collapsed="false">
      <c r="A11" s="1" t="n">
        <v>10</v>
      </c>
      <c r="B11" s="2" t="s">
        <v>22</v>
      </c>
      <c r="D11" s="1" t="n">
        <v>1</v>
      </c>
    </row>
    <row r="12" customFormat="false" ht="15" hidden="false" customHeight="false" outlineLevel="0" collapsed="false">
      <c r="A12" s="1" t="n">
        <v>11</v>
      </c>
      <c r="B12" s="2" t="s">
        <v>23</v>
      </c>
      <c r="C12" s="1" t="s">
        <v>23</v>
      </c>
      <c r="D12" s="1" t="n">
        <v>10</v>
      </c>
    </row>
    <row r="13" customFormat="false" ht="15" hidden="false" customHeight="false" outlineLevel="0" collapsed="false">
      <c r="A13" s="1" t="n">
        <v>12</v>
      </c>
      <c r="B13" s="2" t="s">
        <v>24</v>
      </c>
      <c r="C13" s="1" t="s">
        <v>24</v>
      </c>
      <c r="D13" s="1" t="n">
        <v>10</v>
      </c>
    </row>
    <row r="14" customFormat="false" ht="15" hidden="false" customHeight="false" outlineLevel="0" collapsed="false">
      <c r="A14" s="1" t="n">
        <v>13</v>
      </c>
      <c r="B14" s="2" t="s">
        <v>25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26</v>
      </c>
      <c r="D15" s="1" t="n">
        <v>1</v>
      </c>
    </row>
    <row r="16" customFormat="false" ht="15" hidden="false" customHeight="false" outlineLevel="0" collapsed="false">
      <c r="A16" s="1" t="n">
        <v>15</v>
      </c>
      <c r="B16" s="2" t="s">
        <v>27</v>
      </c>
      <c r="D16" s="1" t="n">
        <v>1</v>
      </c>
    </row>
    <row r="17" customFormat="false" ht="15" hidden="false" customHeight="false" outlineLevel="0" collapsed="false">
      <c r="A17" s="8" t="n">
        <v>16</v>
      </c>
      <c r="B17" s="9" t="s">
        <v>28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29</v>
      </c>
      <c r="D18" s="1" t="n">
        <v>1</v>
      </c>
    </row>
    <row r="19" customFormat="false" ht="15" hidden="false" customHeight="false" outlineLevel="0" collapsed="false">
      <c r="A19" s="1" t="n">
        <v>18</v>
      </c>
      <c r="B19" s="2" t="s">
        <v>30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2" t="s">
        <v>31</v>
      </c>
      <c r="D20" s="1" t="n">
        <v>1</v>
      </c>
    </row>
    <row r="21" customFormat="false" ht="15" hidden="false" customHeight="false" outlineLevel="0" collapsed="false">
      <c r="A21" s="1" t="n">
        <v>20</v>
      </c>
      <c r="B21" s="2" t="s">
        <v>32</v>
      </c>
      <c r="D21" s="1" t="n">
        <v>1</v>
      </c>
    </row>
    <row r="22" customFormat="false" ht="15" hidden="false" customHeight="false" outlineLevel="0" collapsed="false">
      <c r="A22" s="1" t="n">
        <v>21</v>
      </c>
      <c r="B22" s="2" t="s">
        <v>34</v>
      </c>
      <c r="D22" s="1" t="n">
        <v>1</v>
      </c>
    </row>
    <row r="23" customFormat="false" ht="15" hidden="false" customHeight="false" outlineLevel="0" collapsed="false">
      <c r="C23" s="1" t="s">
        <v>7</v>
      </c>
      <c r="D23" s="1" t="n">
        <f aca="false">COUNTIF(D2:D22,"&gt;0")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9.94"/>
    <col collapsed="false" customWidth="true" hidden="false" outlineLevel="0" max="3" min="3" style="1" width="17.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1</v>
      </c>
      <c r="D1" s="1" t="s">
        <v>50</v>
      </c>
      <c r="E1" s="1" t="s">
        <v>47</v>
      </c>
      <c r="F1" s="1" t="s">
        <v>51</v>
      </c>
      <c r="G1" s="1" t="s">
        <v>52</v>
      </c>
    </row>
    <row r="2" customFormat="false" ht="15" hidden="false" customHeight="false" outlineLevel="0" collapsed="false">
      <c r="A2" s="1" t="n">
        <v>1</v>
      </c>
      <c r="B2" s="2" t="s">
        <v>9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13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14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n">
        <v>9</v>
      </c>
      <c r="G5" s="1" t="n">
        <v>9</v>
      </c>
    </row>
    <row r="6" customFormat="false" ht="15" hidden="false" customHeight="false" outlineLevel="0" collapsed="false">
      <c r="A6" s="1" t="n">
        <v>5</v>
      </c>
      <c r="B6" s="2" t="s">
        <v>17</v>
      </c>
      <c r="C6" s="1" t="s">
        <v>17</v>
      </c>
      <c r="D6" s="1" t="n">
        <v>8</v>
      </c>
      <c r="G6" s="1" t="n">
        <v>8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s">
        <v>18</v>
      </c>
      <c r="D7" s="1" t="n">
        <v>9</v>
      </c>
      <c r="E7" s="1" t="n">
        <f aca="false">ROUND(AVERAGE(D7:D8),0)</f>
        <v>9</v>
      </c>
      <c r="F7" s="1" t="n">
        <v>9</v>
      </c>
      <c r="G7" s="1" t="n">
        <f aca="false">MAX(F7,E7)</f>
        <v>9</v>
      </c>
    </row>
    <row r="8" customFormat="false" ht="15" hidden="false" customHeight="false" outlineLevel="0" collapsed="false">
      <c r="C8" s="1" t="s">
        <v>18</v>
      </c>
      <c r="D8" s="1" t="n">
        <v>9</v>
      </c>
    </row>
    <row r="9" customFormat="false" ht="15" hidden="false" customHeight="false" outlineLevel="0" collapsed="false">
      <c r="A9" s="1" t="n">
        <v>7</v>
      </c>
      <c r="B9" s="2" t="s">
        <v>19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8</v>
      </c>
      <c r="B10" s="2" t="s">
        <v>20</v>
      </c>
      <c r="C10" s="1" t="s">
        <v>20</v>
      </c>
      <c r="D10" s="1" t="n">
        <v>10</v>
      </c>
      <c r="E10" s="1" t="n">
        <f aca="false">ROUND(AVERAGE(D10:D11),0)</f>
        <v>10</v>
      </c>
      <c r="F10" s="1" t="n">
        <v>9</v>
      </c>
      <c r="G10" s="1" t="n">
        <f aca="false">MAX(F10,E10)</f>
        <v>10</v>
      </c>
    </row>
    <row r="11" customFormat="false" ht="15" hidden="false" customHeight="false" outlineLevel="0" collapsed="false">
      <c r="C11" s="1" t="s">
        <v>20</v>
      </c>
      <c r="D11" s="1" t="n">
        <v>9</v>
      </c>
    </row>
    <row r="12" customFormat="false" ht="15" hidden="false" customHeight="false" outlineLevel="0" collapsed="false">
      <c r="A12" s="1" t="n">
        <v>9</v>
      </c>
      <c r="B12" s="2" t="s">
        <v>21</v>
      </c>
      <c r="C12" s="1" t="s">
        <v>21</v>
      </c>
      <c r="D12" s="1" t="n">
        <v>9</v>
      </c>
      <c r="G12" s="1" t="n">
        <v>9</v>
      </c>
    </row>
    <row r="13" customFormat="false" ht="15" hidden="false" customHeight="false" outlineLevel="0" collapsed="false">
      <c r="A13" s="1" t="n">
        <v>10</v>
      </c>
      <c r="B13" s="2" t="s">
        <v>22</v>
      </c>
      <c r="C13" s="1" t="s">
        <v>22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11</v>
      </c>
      <c r="B14" s="2" t="s">
        <v>23</v>
      </c>
      <c r="C14" s="1" t="s">
        <v>23</v>
      </c>
      <c r="D14" s="1" t="n">
        <v>8</v>
      </c>
      <c r="E14" s="1" t="n">
        <f aca="false">ROUND(AVERAGE(D14:D18),0)</f>
        <v>5</v>
      </c>
      <c r="F14" s="1" t="n">
        <v>6</v>
      </c>
      <c r="G14" s="1" t="n">
        <f aca="false">MAX(F14,E14)</f>
        <v>6</v>
      </c>
    </row>
    <row r="15" customFormat="false" ht="15" hidden="false" customHeight="false" outlineLevel="0" collapsed="false">
      <c r="C15" s="1" t="s">
        <v>23</v>
      </c>
      <c r="D15" s="1" t="n">
        <v>6</v>
      </c>
    </row>
    <row r="16" customFormat="false" ht="15" hidden="false" customHeight="false" outlineLevel="0" collapsed="false">
      <c r="C16" s="1" t="s">
        <v>23</v>
      </c>
      <c r="D16" s="1" t="n">
        <v>5</v>
      </c>
    </row>
    <row r="17" customFormat="false" ht="15" hidden="false" customHeight="false" outlineLevel="0" collapsed="false">
      <c r="C17" s="1" t="s">
        <v>23</v>
      </c>
      <c r="D17" s="1" t="n">
        <v>5</v>
      </c>
    </row>
    <row r="18" customFormat="false" ht="15" hidden="false" customHeight="false" outlineLevel="0" collapsed="false">
      <c r="C18" s="1" t="s">
        <v>23</v>
      </c>
      <c r="D18" s="1" t="n">
        <v>3</v>
      </c>
    </row>
    <row r="19" customFormat="false" ht="15" hidden="false" customHeight="false" outlineLevel="0" collapsed="false">
      <c r="A19" s="1" t="n">
        <v>12</v>
      </c>
      <c r="B19" s="2" t="s">
        <v>24</v>
      </c>
      <c r="C19" s="1" t="s">
        <v>24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13</v>
      </c>
      <c r="B20" s="2" t="s">
        <v>25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14</v>
      </c>
      <c r="B21" s="2" t="s">
        <v>26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15</v>
      </c>
      <c r="B22" s="2" t="s">
        <v>27</v>
      </c>
      <c r="D22" s="1" t="n">
        <v>1</v>
      </c>
      <c r="G22" s="1" t="n">
        <v>1</v>
      </c>
    </row>
    <row r="23" customFormat="false" ht="15" hidden="false" customHeight="false" outlineLevel="0" collapsed="false">
      <c r="A23" s="8" t="n">
        <v>16</v>
      </c>
      <c r="B23" s="9" t="s">
        <v>28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17</v>
      </c>
      <c r="B24" s="2" t="s">
        <v>29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18</v>
      </c>
      <c r="B25" s="2" t="s">
        <v>30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19</v>
      </c>
      <c r="B26" s="2" t="s">
        <v>31</v>
      </c>
      <c r="D26" s="1" t="n">
        <v>1</v>
      </c>
      <c r="G26" s="1" t="n">
        <v>1</v>
      </c>
    </row>
    <row r="27" customFormat="false" ht="15" hidden="false" customHeight="false" outlineLevel="0" collapsed="false">
      <c r="A27" s="1" t="n">
        <v>20</v>
      </c>
      <c r="B27" s="2" t="s">
        <v>32</v>
      </c>
      <c r="D27" s="1" t="n">
        <v>1</v>
      </c>
      <c r="G27" s="1" t="n">
        <v>1</v>
      </c>
    </row>
    <row r="28" customFormat="false" ht="15" hidden="false" customHeight="false" outlineLevel="0" collapsed="false">
      <c r="A28" s="1" t="n">
        <v>21</v>
      </c>
      <c r="B28" s="2" t="s">
        <v>34</v>
      </c>
      <c r="D28" s="1" t="n">
        <v>1</v>
      </c>
      <c r="G28" s="1" t="n">
        <v>1</v>
      </c>
    </row>
    <row r="29" customFormat="false" ht="15" hidden="false" customHeight="false" outlineLevel="0" collapsed="false">
      <c r="F29" s="1" t="s">
        <v>53</v>
      </c>
      <c r="G29" s="1" t="n">
        <f aca="false">COUNTIF(G2:G28,"&gt;0")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9.94"/>
    <col collapsed="false" customWidth="true" hidden="false" outlineLevel="0" max="3" min="3" style="1" width="17.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1</v>
      </c>
      <c r="D1" s="1" t="s">
        <v>50</v>
      </c>
      <c r="E1" s="1" t="s">
        <v>47</v>
      </c>
      <c r="F1" s="1" t="s">
        <v>51</v>
      </c>
      <c r="G1" s="1" t="s">
        <v>52</v>
      </c>
    </row>
    <row r="2" customFormat="false" ht="15" hidden="false" customHeight="false" outlineLevel="0" collapsed="false">
      <c r="A2" s="1" t="n">
        <v>1</v>
      </c>
      <c r="B2" s="2" t="s">
        <v>9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13</v>
      </c>
      <c r="D3" s="1" t="n">
        <v>1</v>
      </c>
      <c r="G3" s="1" t="n">
        <v>1</v>
      </c>
    </row>
    <row r="4" customFormat="false" ht="15" hidden="false" customHeight="false" outlineLevel="0" collapsed="false">
      <c r="A4" s="1" t="n">
        <v>3</v>
      </c>
      <c r="B4" s="2" t="s">
        <v>14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n">
        <v>10</v>
      </c>
      <c r="G5" s="1" t="n">
        <v>10</v>
      </c>
    </row>
    <row r="6" customFormat="false" ht="15" hidden="false" customHeight="false" outlineLevel="0" collapsed="false">
      <c r="A6" s="1" t="n">
        <v>5</v>
      </c>
      <c r="B6" s="2" t="s">
        <v>17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s">
        <v>18</v>
      </c>
      <c r="D7" s="1" t="n">
        <v>10</v>
      </c>
      <c r="E7" s="1" t="n">
        <f aca="false">ROUND(AVERAGE(D7:D9),0)</f>
        <v>9</v>
      </c>
      <c r="F7" s="1" t="n">
        <v>9</v>
      </c>
      <c r="G7" s="1" t="n">
        <f aca="false">MAX(F7,E7)</f>
        <v>9</v>
      </c>
    </row>
    <row r="8" customFormat="false" ht="15" hidden="false" customHeight="false" outlineLevel="0" collapsed="false">
      <c r="C8" s="1" t="s">
        <v>18</v>
      </c>
      <c r="D8" s="1" t="n">
        <v>9</v>
      </c>
    </row>
    <row r="9" customFormat="false" ht="15" hidden="false" customHeight="false" outlineLevel="0" collapsed="false">
      <c r="C9" s="1" t="s">
        <v>18</v>
      </c>
      <c r="D9" s="1" t="n">
        <v>8</v>
      </c>
    </row>
    <row r="10" customFormat="false" ht="15" hidden="false" customHeight="false" outlineLevel="0" collapsed="false">
      <c r="A10" s="1" t="n">
        <v>7</v>
      </c>
      <c r="B10" s="2" t="s">
        <v>19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8</v>
      </c>
      <c r="B11" s="2" t="s">
        <v>20</v>
      </c>
      <c r="C11" s="1" t="s">
        <v>20</v>
      </c>
      <c r="D11" s="1" t="n">
        <v>9</v>
      </c>
      <c r="G11" s="1" t="n">
        <v>9</v>
      </c>
    </row>
    <row r="12" customFormat="false" ht="15" hidden="false" customHeight="false" outlineLevel="0" collapsed="false">
      <c r="A12" s="1" t="n">
        <v>9</v>
      </c>
      <c r="B12" s="2" t="s">
        <v>21</v>
      </c>
      <c r="C12" s="1" t="s">
        <v>21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10</v>
      </c>
      <c r="B13" s="2" t="s">
        <v>22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11</v>
      </c>
      <c r="B14" s="2" t="s">
        <v>23</v>
      </c>
      <c r="C14" s="1" t="s">
        <v>23</v>
      </c>
      <c r="D14" s="1" t="n">
        <v>8</v>
      </c>
      <c r="G14" s="1" t="n">
        <v>8</v>
      </c>
    </row>
    <row r="15" customFormat="false" ht="15" hidden="false" customHeight="false" outlineLevel="0" collapsed="false">
      <c r="A15" s="1" t="n">
        <v>12</v>
      </c>
      <c r="B15" s="2" t="s">
        <v>24</v>
      </c>
      <c r="C15" s="1" t="s">
        <v>24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13</v>
      </c>
      <c r="B16" s="2" t="s">
        <v>25</v>
      </c>
      <c r="D16" s="1" t="n">
        <v>1</v>
      </c>
      <c r="G16" s="1" t="n">
        <v>1</v>
      </c>
    </row>
    <row r="17" customFormat="false" ht="15" hidden="false" customHeight="false" outlineLevel="0" collapsed="false">
      <c r="A17" s="1" t="n">
        <v>14</v>
      </c>
      <c r="B17" s="2" t="s">
        <v>26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1" t="n">
        <v>15</v>
      </c>
      <c r="B18" s="2" t="s">
        <v>27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8" t="n">
        <v>16</v>
      </c>
      <c r="B19" s="9" t="s">
        <v>28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17</v>
      </c>
      <c r="B20" s="2" t="s">
        <v>29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18</v>
      </c>
      <c r="B21" s="2" t="s">
        <v>30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19</v>
      </c>
      <c r="B22" s="2" t="s">
        <v>31</v>
      </c>
      <c r="D22" s="1" t="n">
        <v>1</v>
      </c>
      <c r="G22" s="1" t="n">
        <v>1</v>
      </c>
    </row>
    <row r="23" customFormat="false" ht="15" hidden="false" customHeight="false" outlineLevel="0" collapsed="false">
      <c r="A23" s="1" t="n">
        <v>20</v>
      </c>
      <c r="B23" s="2" t="s">
        <v>32</v>
      </c>
      <c r="C23" s="1" t="s">
        <v>32</v>
      </c>
      <c r="D23" s="1" t="n">
        <v>10</v>
      </c>
      <c r="G23" s="1" t="n">
        <v>10</v>
      </c>
    </row>
    <row r="24" customFormat="false" ht="15" hidden="false" customHeight="false" outlineLevel="0" collapsed="false">
      <c r="A24" s="1" t="n">
        <v>21</v>
      </c>
      <c r="B24" s="2" t="s">
        <v>34</v>
      </c>
      <c r="D24" s="1" t="n">
        <v>1</v>
      </c>
      <c r="G24" s="1" t="n">
        <v>1</v>
      </c>
    </row>
    <row r="25" customFormat="false" ht="15" hidden="false" customHeight="false" outlineLevel="0" collapsed="false">
      <c r="E25" s="1" t="s">
        <v>7</v>
      </c>
      <c r="G25" s="1" t="n">
        <f aca="false">COUNTIF(G2:G24,"&gt;0")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1</v>
      </c>
      <c r="D1" s="1" t="s">
        <v>50</v>
      </c>
    </row>
    <row r="2" customFormat="false" ht="15" hidden="false" customHeight="false" outlineLevel="0" collapsed="false">
      <c r="A2" s="1" t="n">
        <v>1</v>
      </c>
      <c r="B2" s="2" t="s">
        <v>9</v>
      </c>
      <c r="C2" s="1" t="s">
        <v>9</v>
      </c>
      <c r="D2" s="1" t="n">
        <v>9.67</v>
      </c>
    </row>
    <row r="3" customFormat="false" ht="15" hidden="false" customHeight="false" outlineLevel="0" collapsed="false">
      <c r="A3" s="1" t="n">
        <v>2</v>
      </c>
      <c r="B3" s="2" t="s">
        <v>13</v>
      </c>
      <c r="C3" s="1" t="s">
        <v>13</v>
      </c>
      <c r="D3" s="1" t="n">
        <v>9.33</v>
      </c>
    </row>
    <row r="4" customFormat="false" ht="15" hidden="false" customHeight="false" outlineLevel="0" collapsed="false">
      <c r="A4" s="1" t="n">
        <v>3</v>
      </c>
      <c r="B4" s="2" t="s">
        <v>14</v>
      </c>
      <c r="C4" s="1" t="s">
        <v>14</v>
      </c>
      <c r="D4" s="1" t="n">
        <v>9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17</v>
      </c>
      <c r="C6" s="1" t="s">
        <v>17</v>
      </c>
      <c r="D6" s="1" t="n">
        <v>9.67</v>
      </c>
    </row>
    <row r="7" customFormat="false" ht="15" hidden="false" customHeight="false" outlineLevel="0" collapsed="false">
      <c r="A7" s="1" t="n">
        <v>6</v>
      </c>
      <c r="B7" s="2" t="s">
        <v>18</v>
      </c>
      <c r="C7" s="1" t="s">
        <v>18</v>
      </c>
      <c r="D7" s="1" t="n">
        <v>9.67</v>
      </c>
    </row>
    <row r="8" customFormat="false" ht="15" hidden="false" customHeight="false" outlineLevel="0" collapsed="false">
      <c r="A8" s="1" t="n">
        <v>7</v>
      </c>
      <c r="B8" s="2" t="s">
        <v>19</v>
      </c>
      <c r="C8" s="1" t="s">
        <v>19</v>
      </c>
      <c r="D8" s="1" t="n">
        <v>10</v>
      </c>
    </row>
    <row r="9" customFormat="false" ht="15" hidden="false" customHeight="false" outlineLevel="0" collapsed="false">
      <c r="A9" s="1" t="n">
        <v>8</v>
      </c>
      <c r="B9" s="2" t="s">
        <v>20</v>
      </c>
      <c r="C9" s="1" t="s">
        <v>20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21</v>
      </c>
      <c r="C10" s="1" t="s">
        <v>21</v>
      </c>
      <c r="D10" s="1" t="n">
        <v>9.33</v>
      </c>
    </row>
    <row r="11" customFormat="false" ht="15" hidden="false" customHeight="false" outlineLevel="0" collapsed="false">
      <c r="A11" s="1" t="n">
        <v>10</v>
      </c>
      <c r="B11" s="2" t="s">
        <v>22</v>
      </c>
      <c r="C11" s="1" t="s">
        <v>22</v>
      </c>
      <c r="D11" s="1" t="n">
        <v>10</v>
      </c>
    </row>
    <row r="12" customFormat="false" ht="15" hidden="false" customHeight="false" outlineLevel="0" collapsed="false">
      <c r="A12" s="1" t="n">
        <v>11</v>
      </c>
      <c r="B12" s="2" t="s">
        <v>23</v>
      </c>
      <c r="C12" s="1" t="s">
        <v>23</v>
      </c>
      <c r="D12" s="1" t="n">
        <v>9.33</v>
      </c>
    </row>
    <row r="13" customFormat="false" ht="15" hidden="false" customHeight="false" outlineLevel="0" collapsed="false">
      <c r="A13" s="1" t="n">
        <v>12</v>
      </c>
      <c r="B13" s="2" t="s">
        <v>24</v>
      </c>
      <c r="C13" s="1" t="s">
        <v>24</v>
      </c>
      <c r="D13" s="1" t="n">
        <v>10</v>
      </c>
    </row>
    <row r="14" customFormat="false" ht="15" hidden="false" customHeight="false" outlineLevel="0" collapsed="false">
      <c r="A14" s="1" t="n">
        <v>13</v>
      </c>
      <c r="B14" s="2" t="s">
        <v>25</v>
      </c>
      <c r="C14" s="1" t="s">
        <v>25</v>
      </c>
      <c r="D14" s="1" t="n">
        <v>9.67</v>
      </c>
    </row>
    <row r="15" customFormat="false" ht="15" hidden="false" customHeight="false" outlineLevel="0" collapsed="false">
      <c r="A15" s="1" t="n">
        <v>14</v>
      </c>
      <c r="B15" s="2" t="s">
        <v>26</v>
      </c>
      <c r="C15" s="1" t="s">
        <v>26</v>
      </c>
      <c r="D15" s="1" t="n">
        <v>10</v>
      </c>
    </row>
    <row r="16" customFormat="false" ht="15" hidden="false" customHeight="false" outlineLevel="0" collapsed="false">
      <c r="A16" s="1" t="n">
        <v>15</v>
      </c>
      <c r="B16" s="2" t="s">
        <v>27</v>
      </c>
      <c r="C16" s="1" t="s">
        <v>27</v>
      </c>
      <c r="D16" s="1" t="n">
        <v>9.33</v>
      </c>
    </row>
    <row r="17" customFormat="false" ht="15" hidden="false" customHeight="false" outlineLevel="0" collapsed="false">
      <c r="A17" s="8" t="n">
        <v>16</v>
      </c>
      <c r="B17" s="9" t="s">
        <v>28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29</v>
      </c>
      <c r="C18" s="1" t="s">
        <v>29</v>
      </c>
      <c r="D18" s="1" t="n">
        <v>9.33</v>
      </c>
    </row>
    <row r="19" customFormat="false" ht="15" hidden="false" customHeight="false" outlineLevel="0" collapsed="false">
      <c r="A19" s="1" t="n">
        <v>18</v>
      </c>
      <c r="B19" s="2" t="s">
        <v>30</v>
      </c>
      <c r="C19" s="1" t="s">
        <v>30</v>
      </c>
      <c r="D19" s="1" t="n">
        <v>9.33</v>
      </c>
    </row>
    <row r="20" customFormat="false" ht="15" hidden="false" customHeight="false" outlineLevel="0" collapsed="false">
      <c r="A20" s="1" t="n">
        <v>19</v>
      </c>
      <c r="B20" s="2" t="s">
        <v>31</v>
      </c>
      <c r="C20" s="1" t="s">
        <v>31</v>
      </c>
      <c r="D20" s="1" t="n">
        <v>9</v>
      </c>
    </row>
    <row r="21" customFormat="false" ht="15" hidden="false" customHeight="false" outlineLevel="0" collapsed="false">
      <c r="A21" s="1" t="n">
        <v>20</v>
      </c>
      <c r="B21" s="2" t="s">
        <v>32</v>
      </c>
      <c r="C21" s="1" t="s">
        <v>32</v>
      </c>
      <c r="D21" s="1" t="n">
        <v>8.33</v>
      </c>
    </row>
    <row r="22" customFormat="false" ht="15" hidden="false" customHeight="false" outlineLevel="0" collapsed="false">
      <c r="A22" s="1" t="n">
        <v>21</v>
      </c>
      <c r="B22" s="2" t="s">
        <v>34</v>
      </c>
      <c r="C22" s="1" t="s">
        <v>34</v>
      </c>
      <c r="D22" s="1" t="n">
        <v>9.33</v>
      </c>
    </row>
    <row r="23" customFormat="false" ht="15" hidden="false" customHeight="false" outlineLevel="0" collapsed="false">
      <c r="C23" s="1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2026-06-23T14:44:15Z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