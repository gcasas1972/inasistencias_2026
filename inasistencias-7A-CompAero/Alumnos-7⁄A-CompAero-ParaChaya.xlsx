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<sst xmlns="http://schemas.openxmlformats.org/spreadsheetml/2006/main" count="69" uniqueCount="43">
  <si>
    <t xml:space="preserve">Apellido(s)</t>
  </si>
  <si>
    <t xml:space="preserve">1- uml</t>
  </si>
  <si>
    <t xml:space="preserve">Recup</t>
  </si>
  <si>
    <t xml:space="preserve">2-D Act</t>
  </si>
  <si>
    <t xml:space="preserve">3-DCU</t>
  </si>
  <si>
    <t xml:space="preserve">4-java</t>
  </si>
  <si>
    <t xml:space="preserve">Asistencia</t>
  </si>
  <si>
    <t xml:space="preserve">nota</t>
  </si>
  <si>
    <t xml:space="preserve">Valoracion</t>
  </si>
  <si>
    <t xml:space="preserve">val ped</t>
  </si>
  <si>
    <t xml:space="preserve">Grupo</t>
  </si>
  <si>
    <t xml:space="preserve">proyecto Arinc 429</t>
  </si>
  <si>
    <t xml:space="preserve">prom</t>
  </si>
  <si>
    <t xml:space="preserve">Agasi</t>
  </si>
  <si>
    <t xml:space="preserve">4-DevOps</t>
  </si>
  <si>
    <t xml:space="preserve">ANGELES</t>
  </si>
  <si>
    <t xml:space="preserve">3-Desarrollo</t>
  </si>
  <si>
    <t xml:space="preserve">BARRERA</t>
  </si>
  <si>
    <t xml:space="preserve">2-Hacker</t>
  </si>
  <si>
    <t xml:space="preserve">BATTAGLIA</t>
  </si>
  <si>
    <t xml:space="preserve">Bernal</t>
  </si>
  <si>
    <t xml:space="preserve">Caballero</t>
  </si>
  <si>
    <t xml:space="preserve">CANCLINI</t>
  </si>
  <si>
    <t xml:space="preserve">Celestino</t>
  </si>
  <si>
    <t xml:space="preserve">1-instalador</t>
  </si>
  <si>
    <t xml:space="preserve">CORNEJO</t>
  </si>
  <si>
    <t xml:space="preserve">DEL MASTRO</t>
  </si>
  <si>
    <t xml:space="preserve">DIAZ</t>
  </si>
  <si>
    <t xml:space="preserve">FERNANDEZ</t>
  </si>
  <si>
    <t xml:space="preserve">FERRARI RUBINI</t>
  </si>
  <si>
    <t xml:space="preserve">GIRALDES MIRAVAL</t>
  </si>
  <si>
    <t xml:space="preserve">GONZALEZ</t>
  </si>
  <si>
    <t xml:space="preserve">GUERRA</t>
  </si>
  <si>
    <t xml:space="preserve">HERRERA</t>
  </si>
  <si>
    <t xml:space="preserve">Muñoz</t>
  </si>
  <si>
    <t xml:space="preserve">Peter</t>
  </si>
  <si>
    <t xml:space="preserve">Rivero Montesino</t>
  </si>
  <si>
    <t xml:space="preserve">Rojas</t>
  </si>
  <si>
    <t xml:space="preserve">SALINA</t>
  </si>
  <si>
    <t xml:space="preserve">SOSA ARCE</t>
  </si>
  <si>
    <t xml:space="preserve">TRINIDAD SANABRIA</t>
  </si>
  <si>
    <t xml:space="preserve">VEGA</t>
  </si>
  <si>
    <t xml:space="preserve">Velásquez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</si>
</sst>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1" activeCellId="0" sqref="Q21"/>
    </sheetView>
  </sheetViews>
  <sheetFormatPr defaultColWidth="9.7148437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54"/>
    <col collapsed="false" customWidth="false" hidden="true" outlineLevel="0" max="4" min="4" style="1" width="9.71"/>
    <col collapsed="false" customWidth="false" hidden="true" outlineLevel="0" max="6" min="6" style="1" width="9.71"/>
    <col collapsed="false" customWidth="false" hidden="true" outlineLevel="0" max="8" min="8" style="1" width="9.71"/>
    <col collapsed="false" customWidth="false" hidden="true" outlineLevel="0" max="10" min="10" style="1" width="9.71"/>
    <col collapsed="false" customWidth="false" hidden="true" outlineLevel="0" max="13" min="13" style="1" width="9.71"/>
    <col collapsed="false" customWidth="true" hidden="true" outlineLevel="0" max="14" min="14" style="1" width="17.14"/>
    <col collapsed="false" customWidth="true" hidden="false" outlineLevel="0" max="16" min="15" style="1" width="17.14"/>
    <col collapsed="false" customWidth="true" hidden="false" outlineLevel="0" max="16384" min="16306" style="1" width="10.58"/>
  </cols>
  <sheetData>
    <row r="1" customFormat="false" ht="15" hidden="false" customHeight="false" outlineLevel="0" collapsed="false">
      <c r="B1" s="2" t="s">
        <v>0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4</v>
      </c>
      <c r="H1" s="1" t="s">
        <v>2</v>
      </c>
      <c r="I1" s="1" t="s">
        <v>5</v>
      </c>
      <c r="J1" s="1" t="s">
        <v>2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9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n">
        <v>9</v>
      </c>
      <c r="E2" s="1" t="n">
        <v>9</v>
      </c>
      <c r="G2" s="1" t="n">
        <v>8</v>
      </c>
      <c r="I2" s="1" t="n">
        <v>9</v>
      </c>
      <c r="K2" s="1" t="n">
        <v>4</v>
      </c>
      <c r="L2" s="1" t="n">
        <f aca="false">ROUND(AVERAGE(C2,E2,G2,I2,K2),0)</f>
        <v>8</v>
      </c>
      <c r="M2" s="1" t="str">
        <f aca="false">IF(L2&gt;6,"TEA",IF(L2&gt;3,"TEP","TED"))</f>
        <v>TEA</v>
      </c>
      <c r="N2" s="1" t="str">
        <f aca="false">IF(L2&gt;6,"TEA",IF(L2&gt;3,"TEP","TED"))</f>
        <v>TEA</v>
      </c>
      <c r="O2" s="2" t="s">
        <v>14</v>
      </c>
      <c r="P2" s="1" t="n">
        <v>8</v>
      </c>
      <c r="Q2" s="3" t="n">
        <f aca="false">ROUND(AVERAGE(L2,P2),0)</f>
        <v>8</v>
      </c>
      <c r="R2" s="3" t="str">
        <f aca="false">IF(Q2&gt;6,"TEA",IF(Q2&gt;3,"TEP","TED"))</f>
        <v>TEA</v>
      </c>
    </row>
    <row r="3" customFormat="false" ht="15" hidden="false" customHeight="false" outlineLevel="0" collapsed="false">
      <c r="A3" s="1" t="n">
        <v>2</v>
      </c>
      <c r="B3" s="4" t="s">
        <v>15</v>
      </c>
      <c r="C3" s="1" t="n">
        <v>6</v>
      </c>
      <c r="E3" s="1" t="n">
        <v>6</v>
      </c>
      <c r="G3" s="1" t="n">
        <v>8</v>
      </c>
      <c r="I3" s="1" t="n">
        <v>10</v>
      </c>
      <c r="K3" s="1" t="n">
        <v>8</v>
      </c>
      <c r="L3" s="1" t="n">
        <f aca="false">ROUND(AVERAGE(C3,E3,G3,I3,K3),0)</f>
        <v>8</v>
      </c>
      <c r="M3" s="1" t="str">
        <f aca="false">IF(L3&gt;6,"TEA",IF(L3&gt;3,"TEP","TED"))</f>
        <v>TEA</v>
      </c>
      <c r="N3" s="1" t="str">
        <f aca="false">IF(L3&gt;6,"TEA",IF(L3&gt;3,"TEP","TED"))</f>
        <v>TEA</v>
      </c>
      <c r="O3" s="2" t="s">
        <v>16</v>
      </c>
      <c r="P3" s="1" t="n">
        <v>10</v>
      </c>
      <c r="Q3" s="3" t="n">
        <f aca="false">ROUND(AVERAGE(L3,P3),0)</f>
        <v>9</v>
      </c>
      <c r="R3" s="3" t="str">
        <f aca="false">IF(Q3&gt;6,"TEA",IF(Q3&gt;3,"TEP","TED"))</f>
        <v>TEA</v>
      </c>
    </row>
    <row r="4" customFormat="false" ht="15" hidden="false" customHeight="false" outlineLevel="0" collapsed="false">
      <c r="A4" s="1" t="n">
        <v>3</v>
      </c>
      <c r="B4" s="2" t="s">
        <v>17</v>
      </c>
      <c r="C4" s="1" t="n">
        <v>9</v>
      </c>
      <c r="E4" s="1" t="n">
        <v>9</v>
      </c>
      <c r="G4" s="1" t="n">
        <v>7</v>
      </c>
      <c r="I4" s="1" t="n">
        <v>9</v>
      </c>
      <c r="K4" s="1" t="n">
        <v>6</v>
      </c>
      <c r="L4" s="1" t="n">
        <f aca="false">ROUND(AVERAGE(C4,E4,G4,I4,K4),0)</f>
        <v>8</v>
      </c>
      <c r="M4" s="1" t="str">
        <f aca="false">IF(L4&gt;6,"TEA",IF(L4&gt;3,"TEP","TED"))</f>
        <v>TEA</v>
      </c>
      <c r="N4" s="1" t="str">
        <f aca="false">IF(L4&gt;6,"TEA",IF(L4&gt;3,"TEP","TED"))</f>
        <v>TEA</v>
      </c>
      <c r="O4" s="2" t="s">
        <v>18</v>
      </c>
      <c r="P4" s="1" t="n">
        <v>8</v>
      </c>
      <c r="Q4" s="3" t="n">
        <f aca="false">ROUND(AVERAGE(L4,P4),0)</f>
        <v>8</v>
      </c>
      <c r="R4" s="3" t="str">
        <f aca="false">IF(Q4&gt;6,"TEA",IF(Q4&gt;3,"TEP","TED"))</f>
        <v>TEA</v>
      </c>
    </row>
    <row r="5" customFormat="false" ht="15" hidden="false" customHeight="false" outlineLevel="0" collapsed="false">
      <c r="A5" s="1" t="n">
        <v>4</v>
      </c>
      <c r="B5" s="2" t="s">
        <v>19</v>
      </c>
      <c r="C5" s="1" t="n">
        <v>7</v>
      </c>
      <c r="E5" s="1" t="n">
        <v>7</v>
      </c>
      <c r="G5" s="1" t="n">
        <v>7</v>
      </c>
      <c r="I5" s="1" t="n">
        <v>9</v>
      </c>
      <c r="K5" s="1" t="n">
        <v>3</v>
      </c>
      <c r="L5" s="1" t="n">
        <f aca="false">ROUND(AVERAGE(C5,E5,G5,I5,K5),0)</f>
        <v>7</v>
      </c>
      <c r="M5" s="1" t="str">
        <f aca="false">IF(L5&gt;6,"TEA",IF(L5&gt;3,"TEP","TED"))</f>
        <v>TEA</v>
      </c>
      <c r="N5" s="1" t="str">
        <f aca="false">IF(L5&gt;6,"TEA",IF(L5&gt;3,"TEP","TED"))</f>
        <v>TEA</v>
      </c>
      <c r="O5" s="2" t="s">
        <v>16</v>
      </c>
      <c r="P5" s="1" t="n">
        <v>8</v>
      </c>
      <c r="Q5" s="3" t="n">
        <f aca="false">ROUND(AVERAGE(L5,P5),0)</f>
        <v>8</v>
      </c>
      <c r="R5" s="3" t="str">
        <f aca="false">IF(Q5&gt;6,"TEA",IF(Q5&gt;3,"TEP","TED"))</f>
        <v>TEA</v>
      </c>
    </row>
    <row r="6" customFormat="false" ht="15" hidden="false" customHeight="false" outlineLevel="0" collapsed="false">
      <c r="A6" s="1" t="n">
        <v>5</v>
      </c>
      <c r="B6" s="2" t="s">
        <v>20</v>
      </c>
      <c r="C6" s="1" t="n">
        <v>10</v>
      </c>
      <c r="E6" s="1" t="n">
        <v>10</v>
      </c>
      <c r="G6" s="1" t="n">
        <v>8</v>
      </c>
      <c r="I6" s="1" t="n">
        <v>10</v>
      </c>
      <c r="K6" s="1" t="n">
        <v>7</v>
      </c>
      <c r="L6" s="1" t="n">
        <f aca="false">ROUND(AVERAGE(C6,E6,G6,I6,K6),0)</f>
        <v>9</v>
      </c>
      <c r="M6" s="1" t="str">
        <f aca="false">IF(L6&gt;6,"TEA",IF(L6&gt;3,"TEP","TED"))</f>
        <v>TEA</v>
      </c>
      <c r="N6" s="1" t="str">
        <f aca="false">IF(L6&gt;6,"TEA",IF(L6&gt;3,"TEP","TED"))</f>
        <v>TEA</v>
      </c>
      <c r="O6" s="2" t="s">
        <v>16</v>
      </c>
      <c r="P6" s="1" t="n">
        <v>10</v>
      </c>
      <c r="Q6" s="3" t="n">
        <f aca="false">ROUND(AVERAGE(L6,P6),0)</f>
        <v>10</v>
      </c>
      <c r="R6" s="3" t="str">
        <f aca="false">IF(Q6&gt;6,"TEA",IF(Q6&gt;3,"TEP","TED"))</f>
        <v>TEA</v>
      </c>
    </row>
    <row r="7" customFormat="false" ht="15" hidden="false" customHeight="false" outlineLevel="0" collapsed="false">
      <c r="A7" s="1" t="n">
        <v>6</v>
      </c>
      <c r="B7" s="2" t="s">
        <v>21</v>
      </c>
      <c r="C7" s="1" t="n">
        <v>5</v>
      </c>
      <c r="D7" s="5" t="n">
        <v>46171</v>
      </c>
      <c r="E7" s="1" t="n">
        <v>6</v>
      </c>
      <c r="F7" s="5" t="n">
        <v>46171</v>
      </c>
      <c r="G7" s="1" t="n">
        <v>6</v>
      </c>
      <c r="I7" s="1" t="n">
        <v>7</v>
      </c>
      <c r="J7" s="5" t="n">
        <v>46171</v>
      </c>
      <c r="K7" s="1" t="n">
        <v>4</v>
      </c>
      <c r="L7" s="1" t="n">
        <f aca="false">ROUND(AVERAGE(C7,E7,G7,I7,K7),0)</f>
        <v>6</v>
      </c>
      <c r="M7" s="1" t="str">
        <f aca="false">IF(L7&gt;6,"TEA",IF(L7&gt;3,"TEP","TED"))</f>
        <v>TEP</v>
      </c>
      <c r="N7" s="1" t="str">
        <f aca="false">IF(L7&gt;6,"TEA",IF(L7&gt;3,"TEP","TED"))</f>
        <v>TEP</v>
      </c>
      <c r="O7" s="2" t="s">
        <v>14</v>
      </c>
      <c r="P7" s="1" t="n">
        <v>6</v>
      </c>
      <c r="Q7" s="3" t="n">
        <f aca="false">ROUND(AVERAGE(L7,P7),0)</f>
        <v>6</v>
      </c>
      <c r="R7" s="3" t="str">
        <f aca="false">IF(Q7&gt;6,"TEA",IF(Q7&gt;3,"TEP","TED"))</f>
        <v>TEP</v>
      </c>
    </row>
    <row r="8" customFormat="false" ht="15" hidden="false" customHeight="false" outlineLevel="0" collapsed="false">
      <c r="A8" s="1" t="n">
        <v>7</v>
      </c>
      <c r="B8" s="2" t="s">
        <v>22</v>
      </c>
      <c r="C8" s="1" t="n">
        <v>8</v>
      </c>
      <c r="E8" s="1" t="n">
        <v>8</v>
      </c>
      <c r="G8" s="1" t="n">
        <v>9</v>
      </c>
      <c r="I8" s="1" t="n">
        <v>10</v>
      </c>
      <c r="K8" s="1" t="n">
        <v>8</v>
      </c>
      <c r="L8" s="1" t="n">
        <f aca="false">ROUND(AVERAGE(C8,E8,G8,I8,K8),0)</f>
        <v>9</v>
      </c>
      <c r="M8" s="1" t="str">
        <f aca="false">IF(L8&gt;6,"TEA",IF(L8&gt;3,"TEP","TED"))</f>
        <v>TEA</v>
      </c>
      <c r="N8" s="1" t="str">
        <f aca="false">IF(L8&gt;6,"TEA",IF(L8&gt;3,"TEP","TED"))</f>
        <v>TEA</v>
      </c>
      <c r="O8" s="2" t="s">
        <v>14</v>
      </c>
      <c r="P8" s="1" t="n">
        <v>10</v>
      </c>
      <c r="Q8" s="3" t="n">
        <f aca="false">ROUND(AVERAGE(L8,P8),0)</f>
        <v>10</v>
      </c>
      <c r="R8" s="3" t="str">
        <f aca="false">IF(Q8&gt;6,"TEA",IF(Q8&gt;3,"TEP","TED"))</f>
        <v>TEA</v>
      </c>
    </row>
    <row r="9" customFormat="false" ht="15" hidden="false" customHeight="false" outlineLevel="0" collapsed="false">
      <c r="A9" s="1" t="n">
        <v>8</v>
      </c>
      <c r="B9" s="2" t="s">
        <v>23</v>
      </c>
      <c r="C9" s="1" t="n">
        <v>9</v>
      </c>
      <c r="E9" s="1" t="n">
        <v>9</v>
      </c>
      <c r="G9" s="1" t="n">
        <v>7</v>
      </c>
      <c r="I9" s="1" t="n">
        <v>10</v>
      </c>
      <c r="K9" s="1" t="n">
        <v>9</v>
      </c>
      <c r="L9" s="1" t="n">
        <f aca="false">ROUND(AVERAGE(C9,E9,G9,I9,K9),0)</f>
        <v>9</v>
      </c>
      <c r="M9" s="1" t="str">
        <f aca="false">IF(L9&gt;6,"TEA",IF(L9&gt;3,"TEP","TED"))</f>
        <v>TEA</v>
      </c>
      <c r="N9" s="1" t="str">
        <f aca="false">IF(L9&gt;6,"TEA",IF(L9&gt;3,"TEP","TED"))</f>
        <v>TEA</v>
      </c>
      <c r="O9" s="2" t="s">
        <v>24</v>
      </c>
      <c r="P9" s="1" t="n">
        <v>10</v>
      </c>
      <c r="Q9" s="3" t="n">
        <f aca="false">ROUND(AVERAGE(L9,P9),0)</f>
        <v>10</v>
      </c>
      <c r="R9" s="3" t="str">
        <f aca="false">IF(Q9&gt;6,"TEA",IF(Q9&gt;3,"TEP","TED"))</f>
        <v>TEA</v>
      </c>
    </row>
    <row r="10" customFormat="false" ht="15" hidden="false" customHeight="false" outlineLevel="0" collapsed="false">
      <c r="A10" s="1" t="n">
        <v>9</v>
      </c>
      <c r="B10" s="2" t="s">
        <v>25</v>
      </c>
      <c r="C10" s="1" t="n">
        <v>10</v>
      </c>
      <c r="E10" s="1" t="n">
        <v>10</v>
      </c>
      <c r="G10" s="1" t="n">
        <v>10</v>
      </c>
      <c r="I10" s="1" t="n">
        <v>10</v>
      </c>
      <c r="K10" s="1" t="n">
        <v>9</v>
      </c>
      <c r="L10" s="1" t="n">
        <f aca="false">ROUND(AVERAGE(C10,E10,G10,I10,K10),0)</f>
        <v>10</v>
      </c>
      <c r="M10" s="1" t="str">
        <f aca="false">IF(L10&gt;6,"TEA",IF(L10&gt;3,"TEP","TED"))</f>
        <v>TEA</v>
      </c>
      <c r="N10" s="1" t="str">
        <f aca="false">IF(L10&gt;6,"TEA",IF(L10&gt;3,"TEP","TED"))</f>
        <v>TEA</v>
      </c>
      <c r="O10" s="2" t="s">
        <v>24</v>
      </c>
      <c r="P10" s="1" t="n">
        <v>10</v>
      </c>
      <c r="Q10" s="3" t="n">
        <f aca="false">ROUND(AVERAGE(L10,P10),0)</f>
        <v>10</v>
      </c>
      <c r="R10" s="3" t="str">
        <f aca="false">IF(Q10&gt;6,"TEA",IF(Q10&gt;3,"TEP","TED"))</f>
        <v>TEA</v>
      </c>
    </row>
    <row r="11" s="1" customFormat="true" ht="15" hidden="false" customHeight="false" outlineLevel="0" collapsed="false">
      <c r="A11" s="1" t="n">
        <v>10</v>
      </c>
      <c r="B11" s="2" t="s">
        <v>26</v>
      </c>
      <c r="C11" s="1" t="n">
        <v>8</v>
      </c>
      <c r="E11" s="1" t="n">
        <v>8</v>
      </c>
      <c r="G11" s="1" t="n">
        <v>8</v>
      </c>
      <c r="I11" s="1" t="n">
        <v>6</v>
      </c>
      <c r="J11" s="5" t="n">
        <v>46171</v>
      </c>
      <c r="K11" s="1" t="n">
        <v>7</v>
      </c>
      <c r="L11" s="1" t="n">
        <f aca="false">ROUND(AVERAGE(C11,E11,G11,I11,K11),0)</f>
        <v>7</v>
      </c>
      <c r="M11" s="1" t="str">
        <f aca="false">IF(L11&gt;6,"TEA",IF(L11&gt;3,"TEP","TED"))</f>
        <v>TEA</v>
      </c>
      <c r="N11" s="1" t="str">
        <f aca="false">IF(L11&gt;6,"TEA",IF(L11&gt;3,"TEP","TED"))</f>
        <v>TEA</v>
      </c>
      <c r="O11" s="2" t="s">
        <v>18</v>
      </c>
      <c r="P11" s="1" t="n">
        <v>6</v>
      </c>
      <c r="Q11" s="3" t="n">
        <f aca="false">ROUND(AVERAGE(L11,P11),0)</f>
        <v>7</v>
      </c>
      <c r="R11" s="3" t="str">
        <f aca="false">IF(Q11&gt;6,"TEA",IF(Q11&gt;3,"TEP","TED"))</f>
        <v>TEA</v>
      </c>
    </row>
    <row r="12" s="1" customFormat="true" ht="15" hidden="false" customHeight="false" outlineLevel="0" collapsed="false">
      <c r="A12" s="1" t="n">
        <v>11</v>
      </c>
      <c r="B12" s="2" t="s">
        <v>27</v>
      </c>
      <c r="C12" s="1" t="n">
        <v>10</v>
      </c>
      <c r="E12" s="1" t="n">
        <v>10</v>
      </c>
      <c r="G12" s="1" t="n">
        <v>8</v>
      </c>
      <c r="I12" s="1" t="n">
        <v>8</v>
      </c>
      <c r="K12" s="1" t="n">
        <v>9</v>
      </c>
      <c r="L12" s="1" t="n">
        <f aca="false">ROUND(AVERAGE(C12,E12,G12,I12,K12),0)</f>
        <v>9</v>
      </c>
      <c r="M12" s="1" t="str">
        <f aca="false">IF(L12&gt;6,"TEA",IF(L12&gt;3,"TEP","TED"))</f>
        <v>TEA</v>
      </c>
      <c r="N12" s="1" t="str">
        <f aca="false">IF(L12&gt;6,"TEA",IF(L12&gt;3,"TEP","TED"))</f>
        <v>TEA</v>
      </c>
      <c r="O12" s="2" t="s">
        <v>18</v>
      </c>
      <c r="P12" s="1" t="n">
        <v>10</v>
      </c>
      <c r="Q12" s="3" t="n">
        <f aca="false">ROUND(AVERAGE(L12,P12),0)</f>
        <v>10</v>
      </c>
      <c r="R12" s="3" t="str">
        <f aca="false">IF(Q12&gt;6,"TEA",IF(Q12&gt;3,"TEP","TED"))</f>
        <v>TEA</v>
      </c>
    </row>
    <row r="13" s="1" customFormat="true" ht="15" hidden="false" customHeight="false" outlineLevel="0" collapsed="false">
      <c r="A13" s="1" t="n">
        <v>12</v>
      </c>
      <c r="B13" s="2" t="s">
        <v>28</v>
      </c>
      <c r="C13" s="1" t="n">
        <v>9</v>
      </c>
      <c r="E13" s="1" t="n">
        <v>9</v>
      </c>
      <c r="G13" s="1" t="n">
        <v>8</v>
      </c>
      <c r="I13" s="1" t="n">
        <v>7</v>
      </c>
      <c r="J13" s="5" t="n">
        <v>46206</v>
      </c>
      <c r="K13" s="1" t="n">
        <v>4</v>
      </c>
      <c r="L13" s="1" t="n">
        <f aca="false">ROUND(AVERAGE(C13,E13,G13,I13,K13),0)</f>
        <v>7</v>
      </c>
      <c r="M13" s="1" t="str">
        <f aca="false">IF(L13&gt;6,"TEA",IF(L13&gt;3,"TEP","TED"))</f>
        <v>TEA</v>
      </c>
      <c r="N13" s="1" t="str">
        <f aca="false">IF(L13&gt;6,"TEA",IF(L13&gt;3,"TEP","TED"))</f>
        <v>TEA</v>
      </c>
      <c r="O13" s="2" t="s">
        <v>24</v>
      </c>
      <c r="P13" s="1" t="n">
        <v>8</v>
      </c>
      <c r="Q13" s="3" t="n">
        <f aca="false">ROUND(AVERAGE(L13,P13),0)</f>
        <v>8</v>
      </c>
      <c r="R13" s="3" t="str">
        <f aca="false">IF(Q13&gt;6,"TEA",IF(Q13&gt;3,"TEP","TED"))</f>
        <v>TEA</v>
      </c>
    </row>
    <row r="14" s="1" customFormat="true" ht="14.9" hidden="false" customHeight="true" outlineLevel="0" collapsed="false">
      <c r="A14" s="1" t="n">
        <v>13</v>
      </c>
      <c r="B14" s="2" t="s">
        <v>29</v>
      </c>
      <c r="C14" s="1" t="n">
        <v>9</v>
      </c>
      <c r="E14" s="1" t="n">
        <v>9</v>
      </c>
      <c r="G14" s="1" t="n">
        <v>9</v>
      </c>
      <c r="I14" s="1" t="n">
        <v>10</v>
      </c>
      <c r="K14" s="1" t="n">
        <v>8</v>
      </c>
      <c r="L14" s="1" t="n">
        <f aca="false">ROUND(AVERAGE(C14,E14,G14,I14,K14),0)</f>
        <v>9</v>
      </c>
      <c r="M14" s="1" t="str">
        <f aca="false">IF(L14&gt;6,"TEA",IF(L14&gt;3,"TEP","TED"))</f>
        <v>TEA</v>
      </c>
      <c r="N14" s="1" t="str">
        <f aca="false">IF(L14&gt;6,"TEA",IF(L14&gt;3,"TEP","TED"))</f>
        <v>TEA</v>
      </c>
      <c r="O14" s="2" t="s">
        <v>18</v>
      </c>
      <c r="P14" s="1" t="n">
        <v>10</v>
      </c>
      <c r="Q14" s="3" t="n">
        <f aca="false">ROUND(AVERAGE(L14,P14),0)</f>
        <v>10</v>
      </c>
      <c r="R14" s="3" t="str">
        <f aca="false">IF(Q14&gt;6,"TEA",IF(Q14&gt;3,"TEP","TED"))</f>
        <v>TEA</v>
      </c>
    </row>
    <row r="15" s="1" customFormat="true" ht="15.5" hidden="false" customHeight="false" outlineLevel="0" collapsed="false">
      <c r="A15" s="1" t="n">
        <v>14</v>
      </c>
      <c r="B15" s="2" t="s">
        <v>30</v>
      </c>
      <c r="C15" s="1" t="n">
        <v>10</v>
      </c>
      <c r="E15" s="1" t="n">
        <v>10</v>
      </c>
      <c r="G15" s="1" t="n">
        <v>8</v>
      </c>
      <c r="I15" s="1" t="n">
        <v>10</v>
      </c>
      <c r="K15" s="1" t="n">
        <v>9</v>
      </c>
      <c r="L15" s="1" t="n">
        <f aca="false">ROUND(AVERAGE(C15,E15,G15,I15,K15),0)</f>
        <v>9</v>
      </c>
      <c r="M15" s="1" t="str">
        <f aca="false">IF(L15&gt;6,"TEA",IF(L15&gt;3,"TEP","TED"))</f>
        <v>TEA</v>
      </c>
      <c r="N15" s="1" t="str">
        <f aca="false">IF(L15&gt;6,"TEA",IF(L15&gt;3,"TEP","TED"))</f>
        <v>TEA</v>
      </c>
      <c r="O15" s="2" t="s">
        <v>16</v>
      </c>
      <c r="P15" s="1" t="n">
        <v>10</v>
      </c>
      <c r="Q15" s="3" t="n">
        <f aca="false">ROUND(AVERAGE(L15,P15),0)</f>
        <v>10</v>
      </c>
      <c r="R15" s="3" t="str">
        <f aca="false">IF(Q15&gt;6,"TEA",IF(Q15&gt;3,"TEP","TED"))</f>
        <v>TEA</v>
      </c>
    </row>
    <row r="16" s="1" customFormat="true" ht="15.5" hidden="false" customHeight="false" outlineLevel="0" collapsed="false">
      <c r="A16" s="1" t="n">
        <v>15</v>
      </c>
      <c r="B16" s="2" t="s">
        <v>31</v>
      </c>
      <c r="C16" s="1" t="n">
        <v>8</v>
      </c>
      <c r="D16" s="5" t="n">
        <v>46171</v>
      </c>
      <c r="E16" s="1" t="n">
        <v>9</v>
      </c>
      <c r="F16" s="5" t="n">
        <v>46171</v>
      </c>
      <c r="G16" s="1" t="n">
        <v>6</v>
      </c>
      <c r="H16" s="5" t="n">
        <v>46171</v>
      </c>
      <c r="I16" s="1" t="n">
        <v>10</v>
      </c>
      <c r="J16" s="5" t="n">
        <v>46171</v>
      </c>
      <c r="K16" s="1" t="n">
        <v>8</v>
      </c>
      <c r="L16" s="1" t="n">
        <f aca="false">ROUND(AVERAGE(C16,E16,G16,I16,K16),0)</f>
        <v>8</v>
      </c>
      <c r="M16" s="1" t="str">
        <f aca="false">IF(L16&gt;6,"TEA",IF(L16&gt;3,"TEP","TED"))</f>
        <v>TEA</v>
      </c>
      <c r="N16" s="1" t="str">
        <f aca="false">IF(L16&gt;6,"TEA",IF(L16&gt;3,"TEP","TED"))</f>
        <v>TEA</v>
      </c>
      <c r="O16" s="2" t="s">
        <v>16</v>
      </c>
      <c r="P16" s="1" t="n">
        <v>10</v>
      </c>
      <c r="Q16" s="3" t="n">
        <f aca="false">ROUND(AVERAGE(L16,P16),0)</f>
        <v>9</v>
      </c>
      <c r="R16" s="3" t="str">
        <f aca="false">IF(Q16&gt;6,"TEA",IF(Q16&gt;3,"TEP","TED"))</f>
        <v>TEA</v>
      </c>
    </row>
    <row r="17" s="1" customFormat="true" ht="15.5" hidden="false" customHeight="false" outlineLevel="0" collapsed="false">
      <c r="A17" s="1" t="n">
        <v>16</v>
      </c>
      <c r="B17" s="2" t="s">
        <v>32</v>
      </c>
      <c r="C17" s="1" t="n">
        <v>6</v>
      </c>
      <c r="D17" s="5" t="n">
        <v>46171</v>
      </c>
      <c r="E17" s="1" t="n">
        <v>6</v>
      </c>
      <c r="F17" s="5" t="n">
        <v>46171</v>
      </c>
      <c r="G17" s="1" t="n">
        <v>7</v>
      </c>
      <c r="I17" s="1" t="n">
        <v>8</v>
      </c>
      <c r="K17" s="1" t="n">
        <v>7</v>
      </c>
      <c r="L17" s="1" t="n">
        <f aca="false">ROUND(AVERAGE(C17,E17,G17,I17,K17),0)</f>
        <v>7</v>
      </c>
      <c r="M17" s="1" t="str">
        <f aca="false">IF(L17&gt;6,"TEA",IF(L17&gt;3,"TEP","TED"))</f>
        <v>TEA</v>
      </c>
      <c r="N17" s="1" t="str">
        <f aca="false">IF(L17&gt;6,"TEA",IF(L17&gt;3,"TEP","TED"))</f>
        <v>TEA</v>
      </c>
      <c r="O17" s="2" t="s">
        <v>16</v>
      </c>
      <c r="P17" s="1" t="n">
        <v>8</v>
      </c>
      <c r="Q17" s="3" t="n">
        <f aca="false">ROUND(AVERAGE(L17,P17),0)</f>
        <v>8</v>
      </c>
      <c r="R17" s="3" t="str">
        <f aca="false">IF(Q17&gt;6,"TEA",IF(Q17&gt;3,"TEP","TED"))</f>
        <v>TEA</v>
      </c>
    </row>
    <row r="18" s="1" customFormat="true" ht="15.5" hidden="false" customHeight="false" outlineLevel="0" collapsed="false">
      <c r="A18" s="1" t="n">
        <v>17</v>
      </c>
      <c r="B18" s="2" t="s">
        <v>33</v>
      </c>
      <c r="C18" s="1" t="n">
        <v>8</v>
      </c>
      <c r="E18" s="1" t="n">
        <v>8</v>
      </c>
      <c r="G18" s="1" t="n">
        <v>7</v>
      </c>
      <c r="I18" s="1" t="n">
        <v>10</v>
      </c>
      <c r="K18" s="1" t="n">
        <v>8</v>
      </c>
      <c r="L18" s="1" t="n">
        <f aca="false">ROUND(AVERAGE(C18,E18,G18,I18,K18),0)</f>
        <v>8</v>
      </c>
      <c r="M18" s="1" t="str">
        <f aca="false">IF(L18&gt;6,"TEA",IF(L18&gt;3,"TEP","TED"))</f>
        <v>TEA</v>
      </c>
      <c r="N18" s="1" t="str">
        <f aca="false">IF(L18&gt;6,"TEA",IF(L18&gt;3,"TEP","TED"))</f>
        <v>TEA</v>
      </c>
      <c r="O18" s="2" t="s">
        <v>14</v>
      </c>
      <c r="P18" s="1" t="n">
        <v>10</v>
      </c>
      <c r="Q18" s="3" t="n">
        <f aca="false">ROUND(AVERAGE(L18,P18),0)</f>
        <v>9</v>
      </c>
      <c r="R18" s="3" t="str">
        <f aca="false">IF(Q18&gt;6,"TEA",IF(Q18&gt;3,"TEP","TED"))</f>
        <v>TEA</v>
      </c>
    </row>
    <row r="19" s="1" customFormat="true" ht="15.5" hidden="false" customHeight="false" outlineLevel="0" collapsed="false">
      <c r="A19" s="1" t="n">
        <v>18</v>
      </c>
      <c r="B19" s="2" t="s">
        <v>34</v>
      </c>
      <c r="C19" s="1" t="n">
        <v>9</v>
      </c>
      <c r="E19" s="1" t="n">
        <v>9</v>
      </c>
      <c r="G19" s="1" t="n">
        <v>1</v>
      </c>
      <c r="I19" s="1" t="n">
        <v>7</v>
      </c>
      <c r="J19" s="5" t="n">
        <v>46186</v>
      </c>
      <c r="K19" s="1" t="n">
        <v>6</v>
      </c>
      <c r="L19" s="1" t="n">
        <f aca="false">ROUND(AVERAGE(C19,E19,G19,I19,K19),0)</f>
        <v>6</v>
      </c>
      <c r="M19" s="1" t="str">
        <f aca="false">IF(L19&gt;6,"TEA",IF(L19&gt;3,"TEP","TED"))</f>
        <v>TEP</v>
      </c>
      <c r="N19" s="1" t="str">
        <f aca="false">IF(L19&gt;6,"TEA",IF(L19&gt;3,"TEP","TED"))</f>
        <v>TEP</v>
      </c>
      <c r="O19" s="2" t="s">
        <v>24</v>
      </c>
      <c r="P19" s="1" t="n">
        <v>6</v>
      </c>
      <c r="Q19" s="3" t="n">
        <f aca="false">ROUND(AVERAGE(L19,P19),0)</f>
        <v>6</v>
      </c>
      <c r="R19" s="3" t="str">
        <f aca="false">IF(Q19&gt;6,"TEA",IF(Q19&gt;3,"TEP","TED"))</f>
        <v>TEP</v>
      </c>
    </row>
    <row r="20" s="1" customFormat="true" ht="15.5" hidden="false" customHeight="false" outlineLevel="0" collapsed="false">
      <c r="A20" s="1" t="n">
        <v>19</v>
      </c>
      <c r="B20" s="2" t="s">
        <v>35</v>
      </c>
      <c r="C20" s="1" t="n">
        <v>8</v>
      </c>
      <c r="D20" s="5" t="n">
        <v>46132</v>
      </c>
      <c r="E20" s="1" t="n">
        <v>9</v>
      </c>
      <c r="F20" s="5" t="n">
        <v>46132</v>
      </c>
      <c r="G20" s="1" t="n">
        <v>9</v>
      </c>
      <c r="I20" s="1" t="n">
        <v>9</v>
      </c>
      <c r="J20" s="5" t="n">
        <v>46160</v>
      </c>
      <c r="K20" s="1" t="n">
        <v>8</v>
      </c>
      <c r="L20" s="1" t="n">
        <f aca="false">ROUND(AVERAGE(C20,E20,G20,I20,K20),0)</f>
        <v>9</v>
      </c>
      <c r="M20" s="1" t="str">
        <f aca="false">IF(L20&gt;6,"TEA",IF(L20&gt;3,"TEP","TED"))</f>
        <v>TEA</v>
      </c>
      <c r="N20" s="1" t="str">
        <f aca="false">IF(L20&gt;6,"TEA",IF(L20&gt;3,"TEP","TED"))</f>
        <v>TEA</v>
      </c>
      <c r="O20" s="2" t="s">
        <v>18</v>
      </c>
      <c r="P20" s="1" t="n">
        <v>10</v>
      </c>
      <c r="Q20" s="3" t="n">
        <f aca="false">ROUND(AVERAGE(L20,P20),0)</f>
        <v>10</v>
      </c>
      <c r="R20" s="3" t="str">
        <f aca="false">IF(Q20&gt;6,"TEA",IF(Q20&gt;3,"TEP","TED"))</f>
        <v>TEA</v>
      </c>
    </row>
    <row r="21" s="1" customFormat="true" ht="21.2" hidden="false" customHeight="true" outlineLevel="0" collapsed="false">
      <c r="A21" s="1" t="n">
        <v>20</v>
      </c>
      <c r="B21" s="2" t="s">
        <v>36</v>
      </c>
      <c r="C21" s="1" t="n">
        <v>1</v>
      </c>
      <c r="E21" s="1" t="n">
        <v>1</v>
      </c>
      <c r="G21" s="1" t="n">
        <v>1</v>
      </c>
      <c r="I21" s="1" t="n">
        <v>10</v>
      </c>
      <c r="K21" s="1" t="n">
        <v>3</v>
      </c>
      <c r="L21" s="1" t="n">
        <f aca="false">ROUND(AVERAGE(C21,E21,G21,I21,K21),0)</f>
        <v>3</v>
      </c>
      <c r="M21" s="1" t="str">
        <f aca="false">IF(L21&gt;6,"TEA",IF(L21&gt;3,"TEP","TED"))</f>
        <v>TED</v>
      </c>
      <c r="N21" s="1" t="str">
        <f aca="false">IF(L21&gt;6,"TEA",IF(L21&gt;3,"TEP","TED"))</f>
        <v>TED</v>
      </c>
      <c r="O21" s="2" t="s">
        <v>14</v>
      </c>
      <c r="P21" s="1" t="n">
        <v>6</v>
      </c>
      <c r="Q21" s="3" t="n">
        <f aca="false">ROUND(AVERAGE(L21,P21),0)</f>
        <v>5</v>
      </c>
      <c r="R21" s="3" t="str">
        <f aca="false">IF(Q21&gt;6,"TEA",IF(Q21&gt;3,"TEP","TED"))</f>
        <v>TEP</v>
      </c>
    </row>
    <row r="22" s="1" customFormat="true" ht="15.5" hidden="false" customHeight="false" outlineLevel="0" collapsed="false">
      <c r="A22" s="1" t="n">
        <v>21</v>
      </c>
      <c r="B22" s="2" t="s">
        <v>37</v>
      </c>
      <c r="C22" s="1" t="n">
        <v>9</v>
      </c>
      <c r="E22" s="1" t="n">
        <v>9</v>
      </c>
      <c r="G22" s="1" t="n">
        <v>9</v>
      </c>
      <c r="I22" s="1" t="n">
        <v>9</v>
      </c>
      <c r="K22" s="1" t="n">
        <v>9</v>
      </c>
      <c r="L22" s="1" t="n">
        <f aca="false">ROUND(AVERAGE(C22,E22,G22,I22,K22),0)</f>
        <v>9</v>
      </c>
      <c r="M22" s="1" t="str">
        <f aca="false">IF(L22&gt;6,"TEA",IF(L22&gt;3,"TEP","TED"))</f>
        <v>TEA</v>
      </c>
      <c r="N22" s="1" t="str">
        <f aca="false">IF(L22&gt;6,"TEA",IF(L22&gt;3,"TEP","TED"))</f>
        <v>TEA</v>
      </c>
      <c r="O22" s="2" t="s">
        <v>14</v>
      </c>
      <c r="P22" s="1" t="n">
        <v>10</v>
      </c>
      <c r="Q22" s="3" t="n">
        <f aca="false">ROUND(AVERAGE(L22,P22),0)</f>
        <v>10</v>
      </c>
      <c r="R22" s="3" t="str">
        <f aca="false">IF(Q22&gt;6,"TEA",IF(Q22&gt;3,"TEP","TED"))</f>
        <v>TEA</v>
      </c>
    </row>
    <row r="23" s="1" customFormat="true" ht="15.5" hidden="false" customHeight="false" outlineLevel="0" collapsed="false">
      <c r="A23" s="1" t="n">
        <v>22</v>
      </c>
      <c r="B23" s="2" t="s">
        <v>38</v>
      </c>
      <c r="C23" s="1" t="n">
        <v>9</v>
      </c>
      <c r="E23" s="1" t="n">
        <v>9</v>
      </c>
      <c r="G23" s="1" t="n">
        <v>8</v>
      </c>
      <c r="I23" s="1" t="n">
        <v>10</v>
      </c>
      <c r="K23" s="1" t="n">
        <v>7</v>
      </c>
      <c r="L23" s="1" t="n">
        <f aca="false">ROUND(AVERAGE(C23,E23,G23,I23,K23),0)</f>
        <v>9</v>
      </c>
      <c r="M23" s="1" t="str">
        <f aca="false">IF(L23&gt;6,"TEA",IF(L23&gt;3,"TEP","TED"))</f>
        <v>TEA</v>
      </c>
      <c r="N23" s="1" t="str">
        <f aca="false">IF(L23&gt;6,"TEA",IF(L23&gt;3,"TEP","TED"))</f>
        <v>TEA</v>
      </c>
      <c r="O23" s="2" t="s">
        <v>24</v>
      </c>
      <c r="P23" s="1" t="n">
        <v>10</v>
      </c>
      <c r="Q23" s="3" t="n">
        <f aca="false">ROUND(AVERAGE(L23,P23),0)</f>
        <v>10</v>
      </c>
      <c r="R23" s="3" t="str">
        <f aca="false">IF(Q23&gt;6,"TEA",IF(Q23&gt;3,"TEP","TED"))</f>
        <v>TEA</v>
      </c>
    </row>
    <row r="24" s="1" customFormat="true" ht="15.5" hidden="false" customHeight="false" outlineLevel="0" collapsed="false">
      <c r="A24" s="1" t="n">
        <v>23</v>
      </c>
      <c r="B24" s="2" t="s">
        <v>39</v>
      </c>
      <c r="C24" s="1" t="n">
        <v>7</v>
      </c>
      <c r="E24" s="1" t="n">
        <v>7</v>
      </c>
      <c r="G24" s="1" t="n">
        <v>9</v>
      </c>
      <c r="I24" s="1" t="n">
        <v>10</v>
      </c>
      <c r="K24" s="1" t="n">
        <v>10</v>
      </c>
      <c r="L24" s="1" t="n">
        <f aca="false">ROUND(AVERAGE(C24,E24,G24,I24,K24),0)</f>
        <v>9</v>
      </c>
      <c r="M24" s="1" t="str">
        <f aca="false">IF(L24&gt;6,"TEA",IF(L24&gt;3,"TEP","TED"))</f>
        <v>TEA</v>
      </c>
      <c r="N24" s="1" t="str">
        <f aca="false">IF(L24&gt;6,"TEA",IF(L24&gt;3,"TEP","TED"))</f>
        <v>TEA</v>
      </c>
      <c r="O24" s="2" t="s">
        <v>16</v>
      </c>
      <c r="P24" s="1" t="n">
        <v>10</v>
      </c>
      <c r="Q24" s="3" t="n">
        <f aca="false">ROUND(AVERAGE(L24,P24),0)</f>
        <v>10</v>
      </c>
      <c r="R24" s="3" t="str">
        <f aca="false">IF(Q24&gt;6,"TEA",IF(Q24&gt;3,"TEP","TED"))</f>
        <v>TEA</v>
      </c>
    </row>
    <row r="25" s="1" customFormat="true" ht="15.5" hidden="false" customHeight="false" outlineLevel="0" collapsed="false">
      <c r="A25" s="1" t="n">
        <v>24</v>
      </c>
      <c r="B25" s="2" t="s">
        <v>40</v>
      </c>
      <c r="C25" s="1" t="n">
        <v>9</v>
      </c>
      <c r="E25" s="1" t="n">
        <v>9</v>
      </c>
      <c r="G25" s="1" t="n">
        <v>9</v>
      </c>
      <c r="I25" s="1" t="n">
        <v>10</v>
      </c>
      <c r="K25" s="1" t="n">
        <v>8</v>
      </c>
      <c r="L25" s="1" t="n">
        <f aca="false">ROUND(AVERAGE(C25,E25,G25,I25,K25),0)</f>
        <v>9</v>
      </c>
      <c r="M25" s="1" t="str">
        <f aca="false">IF(L25&gt;6,"TEA",IF(L25&gt;3,"TEP","TED"))</f>
        <v>TEA</v>
      </c>
      <c r="N25" s="1" t="str">
        <f aca="false">IF(L25&gt;6,"TEA",IF(L25&gt;3,"TEP","TED"))</f>
        <v>TEA</v>
      </c>
      <c r="O25" s="2" t="s">
        <v>18</v>
      </c>
      <c r="P25" s="1" t="n">
        <v>10</v>
      </c>
      <c r="Q25" s="3" t="n">
        <f aca="false">ROUND(AVERAGE(L25,P25),0)</f>
        <v>10</v>
      </c>
      <c r="R25" s="3" t="str">
        <f aca="false">IF(Q25&gt;6,"TEA",IF(Q25&gt;3,"TEP","TED"))</f>
        <v>TEA</v>
      </c>
    </row>
    <row r="26" s="1" customFormat="true" ht="15.5" hidden="false" customHeight="false" outlineLevel="0" collapsed="false">
      <c r="A26" s="1" t="n">
        <v>25</v>
      </c>
      <c r="B26" s="2" t="s">
        <v>41</v>
      </c>
      <c r="C26" s="1" t="n">
        <v>7</v>
      </c>
      <c r="E26" s="1" t="n">
        <v>7</v>
      </c>
      <c r="G26" s="1" t="n">
        <v>9</v>
      </c>
      <c r="I26" s="1" t="n">
        <v>10</v>
      </c>
      <c r="K26" s="1" t="n">
        <v>7</v>
      </c>
      <c r="L26" s="1" t="n">
        <f aca="false">ROUND(AVERAGE(C26,E26,G26,I26,K26),0)</f>
        <v>8</v>
      </c>
      <c r="M26" s="1" t="str">
        <f aca="false">IF(L26&gt;6,"TEA",IF(L26&gt;3,"TEP","TED"))</f>
        <v>TEA</v>
      </c>
      <c r="N26" s="1" t="str">
        <f aca="false">IF(L26&gt;6,"TEA",IF(L26&gt;3,"TEP","TED"))</f>
        <v>TEA</v>
      </c>
      <c r="O26" s="2" t="s">
        <v>24</v>
      </c>
      <c r="P26" s="1" t="n">
        <v>10</v>
      </c>
      <c r="Q26" s="3" t="n">
        <f aca="false">ROUND(AVERAGE(L26,P26),0)</f>
        <v>9</v>
      </c>
      <c r="R26" s="3" t="str">
        <f aca="false">IF(Q26&gt;6,"TEA",IF(Q26&gt;3,"TEP","TED"))</f>
        <v>TEA</v>
      </c>
    </row>
    <row r="27" s="1" customFormat="true" ht="15.5" hidden="false" customHeight="false" outlineLevel="0" collapsed="false">
      <c r="A27" s="1" t="n">
        <v>26</v>
      </c>
      <c r="B27" s="2" t="s">
        <v>42</v>
      </c>
      <c r="C27" s="1" t="n">
        <v>7</v>
      </c>
      <c r="E27" s="1" t="n">
        <v>7</v>
      </c>
      <c r="G27" s="1" t="n">
        <v>6</v>
      </c>
      <c r="I27" s="1" t="n">
        <v>10</v>
      </c>
      <c r="K27" s="1" t="n">
        <v>4</v>
      </c>
      <c r="L27" s="1" t="n">
        <f aca="false">ROUND(AVERAGE(C27,E27,G27,I27,K27),0)</f>
        <v>7</v>
      </c>
      <c r="M27" s="1" t="str">
        <f aca="false">IF(L27&gt;6,"TEA",IF(L27&gt;3,"TEP","TED"))</f>
        <v>TEA</v>
      </c>
      <c r="N27" s="1" t="str">
        <f aca="false">IF(L27&gt;6,"TEA",IF(L27&gt;3,"TEP","TED"))</f>
        <v>TEA</v>
      </c>
      <c r="O27" s="2" t="s">
        <v>14</v>
      </c>
      <c r="P27" s="1" t="n">
        <v>6</v>
      </c>
      <c r="Q27" s="3" t="n">
        <f aca="false">ROUND(AVERAGE(L27,P27),0)</f>
        <v>7</v>
      </c>
      <c r="R27" s="3" t="str">
        <f aca="false">IF(Q27&gt;6,"TEA",IF(Q27&gt;3,"TEP","TED"))</f>
        <v>TEA</v>
      </c>
    </row>
    <row r="28" s="1" customFormat="true" ht="15" hidden="false" customHeight="false" outlineLevel="0" collapsed="false"/>
    <row r="29" s="1" customFormat="true" ht="15.65" hidden="false" customHeight="false" outlineLevel="0" collapsed="false"/>
    <row r="30" s="1" customFormat="true" ht="15.65" hidden="false" customHeight="false" outlineLevel="0" collapsed="false"/>
    <row r="31" s="1" customFormat="true" ht="15.65" hidden="false" customHeight="false" outlineLevel="0" collapsed="false"/>
    <row r="32" s="1" customFormat="true" ht="15.65" hidden="false" customHeight="false" outlineLevel="0" collapsed="false"/>
    <row r="33" s="1" customFormat="true" ht="15.65" hidden="false" customHeight="false" outlineLevel="0" collapsed="false"/>
    <row r="34" s="1" customFormat="true" ht="15.65" hidden="false" customHeight="false" outlineLevel="0" collapsed="false"/>
    <row r="35" customFormat="false" ht="15.65" hidden="false" customHeight="false" outlineLevel="0" collapsed="false"/>
  </sheetData>
  <conditionalFormatting sqref="Q2:R27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2026-07-17T15:06:41Z</dcterms:modified>
  <cp:revision>162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