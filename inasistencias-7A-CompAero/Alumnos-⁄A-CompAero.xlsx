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" sheetId="2" state="visible" r:id="rId4"/>
    <sheet name="1-uml" sheetId="3" state="visible" r:id="rId5"/>
    <sheet name="2-DAct" sheetId="4" state="visible" r:id="rId6"/>
    <sheet name="3-DCU" sheetId="5" state="visible" r:id="rId7"/>
    <sheet name="4-java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<sst xmlns="http://schemas.openxmlformats.org/spreadsheetml/2006/main" count="784" uniqueCount="113">
  <si>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</si>
  <si>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</si>
  <si>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</si>
  <si>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</si>
  <si>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</si>
  <si>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</t>
  </si>
  <si>
    <t xml:space="preserve">media</t>
  </si>
  <si>
    <t xml:space="preserve">tarde</t>
  </si>
  <si>
    <t xml:space="preserve">ausente</t>
  </si>
  <si>
    <t xml:space="preserve">total</t>
  </si>
  <si>
    <t xml:space="preserve">nota</t>
  </si>
  <si>
    <t xml:space="preserve">Lautaro Agustin</t>
  </si>
  <si>
    <t xml:space="preserve">Agasi</t>
  </si>
  <si>
    <t xml:space="preserve">lautyagasi808@gmail.com</t>
  </si>
  <si>
    <t xml:space="preserve">M</t>
  </si>
  <si>
    <t xml:space="preserve">P</t>
  </si>
  <si>
    <t xml:space="preserve">T</t>
  </si>
  <si>
    <t xml:space="preserve">A</t>
  </si>
  <si>
    <t xml:space="preserve">Thaiel Omar</t>
  </si>
  <si>
    <t xml:space="preserve">ANGELES</t>
  </si>
  <si>
    <t xml:space="preserve">thaielomar44@gmail.com</t>
  </si>
  <si>
    <t xml:space="preserve">Franco Tomas</t>
  </si>
  <si>
    <t xml:space="preserve">Barrera</t>
  </si>
  <si>
    <t xml:space="preserve">48373431@gmail.com</t>
  </si>
  <si>
    <t xml:space="preserve">Julian Gabriel</t>
  </si>
  <si>
    <t xml:space="preserve">BATTAGLIA</t>
  </si>
  <si>
    <t xml:space="preserve">48702442@gmail.com</t>
  </si>
  <si>
    <t xml:space="preserve">Rodrigo Jesus</t>
  </si>
  <si>
    <t xml:space="preserve">Bernal</t>
  </si>
  <si>
    <t xml:space="preserve">rodribernalel10@gmail.com</t>
  </si>
  <si>
    <t xml:space="preserve">Yoel Santiago</t>
  </si>
  <si>
    <t xml:space="preserve">Caballero</t>
  </si>
  <si>
    <t xml:space="preserve">yoecaballero@hotmail.com</t>
  </si>
  <si>
    <t xml:space="preserve">Hector Hernan</t>
  </si>
  <si>
    <t xml:space="preserve">CANCLINI</t>
  </si>
  <si>
    <t xml:space="preserve">canclinihector@gmail.com</t>
  </si>
  <si>
    <t xml:space="preserve">Martin Ezequiel</t>
  </si>
  <si>
    <t xml:space="preserve">Celestino</t>
  </si>
  <si>
    <t xml:space="preserve">martin.ezequiel.celestino@gmail.com</t>
  </si>
  <si>
    <t xml:space="preserve">Benjamin Matias</t>
  </si>
  <si>
    <t xml:space="preserve">CORNEJO</t>
  </si>
  <si>
    <t xml:space="preserve">benjamatias007@gmail.com</t>
  </si>
  <si>
    <t xml:space="preserve">Lucio</t>
  </si>
  <si>
    <t xml:space="preserve">Del mastro</t>
  </si>
  <si>
    <t xml:space="preserve">47514980@gmail.com</t>
  </si>
  <si>
    <t xml:space="preserve">Tobias Nicolas</t>
  </si>
  <si>
    <t xml:space="preserve">DIAZ</t>
  </si>
  <si>
    <t xml:space="preserve">tobiasdiaz2008@gmail.com</t>
  </si>
  <si>
    <t xml:space="preserve">Valentino Eduardo Javier</t>
  </si>
  <si>
    <t xml:space="preserve">FERNANDEZ</t>
  </si>
  <si>
    <t xml:space="preserve">valentinoel12@gmail.com</t>
  </si>
  <si>
    <t xml:space="preserve">Ariadna Uma</t>
  </si>
  <si>
    <t xml:space="preserve">Ferrari Rubini</t>
  </si>
  <si>
    <t xml:space="preserve">48241663@gmail.com</t>
  </si>
  <si>
    <t xml:space="preserve">German Francisco</t>
  </si>
  <si>
    <t xml:space="preserve">GIRALDES MIRAVAL</t>
  </si>
  <si>
    <t xml:space="preserve">47866914@gmail.com</t>
  </si>
  <si>
    <t xml:space="preserve">Julian uziel</t>
  </si>
  <si>
    <t xml:space="preserve">Gonzalez</t>
  </si>
  <si>
    <t xml:space="preserve">48847759@gmail.com</t>
  </si>
  <si>
    <t xml:space="preserve">VALENTIN</t>
  </si>
  <si>
    <t xml:space="preserve">GUERRA</t>
  </si>
  <si>
    <t xml:space="preserve">valengamer07@outlook.com</t>
  </si>
  <si>
    <t xml:space="preserve">Joaquín</t>
  </si>
  <si>
    <t xml:space="preserve">HERRERA</t>
  </si>
  <si>
    <t xml:space="preserve">joaquinsimonherrera@gmail.com</t>
  </si>
  <si>
    <t xml:space="preserve">p</t>
  </si>
  <si>
    <t xml:space="preserve">Lucas Sebastian</t>
  </si>
  <si>
    <t xml:space="preserve">Muñoz</t>
  </si>
  <si>
    <t xml:space="preserve">47171973@gmail.com</t>
  </si>
  <si>
    <t xml:space="preserve">Thomas Adrián</t>
  </si>
  <si>
    <t xml:space="preserve">Peter</t>
  </si>
  <si>
    <t xml:space="preserve">thominahi@gmail.com</t>
  </si>
  <si>
    <t xml:space="preserve">Carlos Miguel</t>
  </si>
  <si>
    <t xml:space="preserve">Rivero Montesino</t>
  </si>
  <si>
    <t xml:space="preserve">carlomontes06@gmail.com</t>
  </si>
  <si>
    <t xml:space="preserve">Ignacio</t>
  </si>
  <si>
    <t xml:space="preserve">Rojas</t>
  </si>
  <si>
    <t xml:space="preserve">nachoenzorojas@gmail.com</t>
  </si>
  <si>
    <t xml:space="preserve">Franco Emanuel</t>
  </si>
  <si>
    <t xml:space="preserve">SALINA</t>
  </si>
  <si>
    <t xml:space="preserve">francopuma2000@gmail.com</t>
  </si>
  <si>
    <t xml:space="preserve">Maia Zoel</t>
  </si>
  <si>
    <t xml:space="preserve">SOSA ARCE</t>
  </si>
  <si>
    <t xml:space="preserve">48110972@gmail.com</t>
  </si>
  <si>
    <t xml:space="preserve">turno medico</t>
  </si>
  <si>
    <t xml:space="preserve">Carlos Leonel</t>
  </si>
  <si>
    <t xml:space="preserve">TRINIDAD SANABRIA</t>
  </si>
  <si>
    <t xml:space="preserve">48183416@gmail.com</t>
  </si>
  <si>
    <t xml:space="preserve">Santiago Osmar</t>
  </si>
  <si>
    <t xml:space="preserve">VEGA</t>
  </si>
  <si>
    <t xml:space="preserve">megustaelpene@gmail.com</t>
  </si>
  <si>
    <t xml:space="preserve">Luciano Emanuel</t>
  </si>
  <si>
    <t xml:space="preserve">Velásquez</t>
  </si>
  <si>
    <t xml:space="preserve">lucianovel31@gmail.com</t>
  </si>
  <si>
    <t xml:space="preserve">media falta</t>
  </si>
  <si>
    <t xml:space="preserve">Tarde</t>
  </si>
  <si>
    <t xml:space="preserve">1- uml</t>
  </si>
  <si>
    <t xml:space="preserve">Recup</t>
  </si>
  <si>
    <t xml:space="preserve">2-D Act</t>
  </si>
  <si>
    <t xml:space="preserve">3-DCU</t>
  </si>
  <si>
    <t xml:space="preserve">4-java</t>
  </si>
  <si>
    <t xml:space="preserve">Asistencia</t>
  </si>
  <si>
    <t xml:space="preserve">Valoracion</t>
  </si>
  <si>
    <t xml:space="preserve">BARRERA</t>
  </si>
  <si>
    <t xml:space="preserve">DEL MASTRO</t>
  </si>
  <si>
    <t xml:space="preserve">FERRARI RUBINI</t>
  </si>
  <si>
    <t xml:space="preserve">GONZALEZ</t>
  </si>
  <si>
    <t xml:space="preserve">Calificación/10,00</t>
  </si>
  <si>
    <t xml:space="preserve">promedio</t>
  </si>
  <si>
    <t xml:space="preserve">segundo</t>
  </si>
  <si>
    <t xml:space="preserve">final</t>
  </si>
  <si>
    <t xml:space="preserve">totall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</si>
</sst>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3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F30" activeCellId="0" sqref="AF30"/>
    </sheetView>
  </sheetViews>
  <sheetFormatPr defaultColWidth="8.87109375" defaultRowHeight="15" zeroHeight="false" outlineLevelRow="0" outlineLevelCol="0"/>
  <cols>
    <col collapsed="false" customWidth="true" hidden="false" outlineLevel="0" max="1" min="1" style="1" width="4.87"/>
    <col collapsed="false" customWidth="true" hidden="true" outlineLevel="0" max="2" min="2" style="1" width="21.98"/>
    <col collapsed="false" customWidth="true" hidden="false" outlineLevel="0" max="3" min="3" style="1" width="18.61"/>
    <col collapsed="false" customWidth="true" hidden="true" outlineLevel="0" max="4" min="4" style="1" width="33.13"/>
    <col collapsed="false" customWidth="true" hidden="true" outlineLevel="0" max="5" min="5" style="1" width="8.72"/>
    <col collapsed="false" customWidth="false" hidden="true" outlineLevel="0" max="14" min="6" style="1" width="8.87"/>
    <col collapsed="false" customWidth="true" hidden="true" outlineLevel="0" max="15" min="15" style="1" width="12.55"/>
    <col collapsed="false" customWidth="false" hidden="true" outlineLevel="0" max="20" min="16" style="1" width="8.87"/>
    <col collapsed="false" customWidth="true" hidden="false" outlineLevel="0" max="16384" min="16334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46094</v>
      </c>
      <c r="G2" s="3" t="n">
        <v>46108</v>
      </c>
      <c r="H2" s="3" t="n">
        <v>46115</v>
      </c>
      <c r="I2" s="3" t="n">
        <v>46121</v>
      </c>
      <c r="J2" s="3" t="n">
        <v>46122</v>
      </c>
      <c r="K2" s="3" t="s">
        <v>4</v>
      </c>
      <c r="L2" s="3" t="n">
        <v>46129</v>
      </c>
      <c r="M2" s="3" t="s">
        <v>4</v>
      </c>
      <c r="N2" s="3" t="n">
        <v>46136</v>
      </c>
      <c r="O2" s="3" t="s">
        <v>4</v>
      </c>
      <c r="P2" s="3" t="n">
        <v>46150</v>
      </c>
      <c r="Q2" s="3" t="s">
        <v>4</v>
      </c>
      <c r="R2" s="3" t="n">
        <v>46157</v>
      </c>
      <c r="S2" s="3" t="s">
        <v>4</v>
      </c>
      <c r="T2" s="3" t="n">
        <v>46164</v>
      </c>
      <c r="U2" s="3" t="s">
        <v>4</v>
      </c>
      <c r="V2" s="3" t="n">
        <v>46171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  <c r="AD2" s="3" t="n">
        <v>46178</v>
      </c>
      <c r="AE2" s="3" t="n">
        <v>46185</v>
      </c>
      <c r="AF2" s="3" t="n">
        <v>46192</v>
      </c>
      <c r="AG2" s="3" t="n">
        <v>46199</v>
      </c>
      <c r="AH2" s="3" t="n">
        <v>46206</v>
      </c>
      <c r="AI2" s="3" t="n">
        <v>46213</v>
      </c>
      <c r="AJ2" s="3" t="n">
        <v>46220</v>
      </c>
      <c r="AK2" s="3" t="n">
        <v>46227</v>
      </c>
      <c r="AL2" s="3" t="n">
        <v>46234</v>
      </c>
      <c r="AM2" s="3" t="n">
        <v>46241</v>
      </c>
      <c r="AN2" s="3" t="n">
        <v>46248</v>
      </c>
      <c r="AO2" s="3" t="n">
        <v>46255</v>
      </c>
      <c r="AP2" s="3" t="n">
        <v>46262</v>
      </c>
      <c r="AQ2" s="3" t="n">
        <v>46269</v>
      </c>
      <c r="AR2" s="3" t="n">
        <v>46276</v>
      </c>
      <c r="AS2" s="3" t="n">
        <v>46283</v>
      </c>
      <c r="AT2" s="3" t="n">
        <v>46290</v>
      </c>
      <c r="AU2" s="3" t="n">
        <v>46297</v>
      </c>
      <c r="AV2" s="3" t="n">
        <v>46304</v>
      </c>
      <c r="AW2" s="3" t="n">
        <v>46311</v>
      </c>
      <c r="AX2" s="3" t="n">
        <v>46318</v>
      </c>
      <c r="AY2" s="3" t="n">
        <v>46325</v>
      </c>
      <c r="AZ2" s="3" t="n">
        <v>46332</v>
      </c>
      <c r="BA2" s="3" t="n">
        <v>46339</v>
      </c>
      <c r="BB2" s="3" t="n">
        <v>46346</v>
      </c>
      <c r="BC2" s="3" t="n">
        <v>46353</v>
      </c>
      <c r="BD2" s="3" t="n">
        <v>46360</v>
      </c>
      <c r="BE2" s="3" t="n">
        <v>46367</v>
      </c>
      <c r="BF2" s="3" t="n">
        <v>46374</v>
      </c>
      <c r="BG2" s="3" t="n">
        <v>46381</v>
      </c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5" hidden="false" customHeight="false" outlineLevel="0" collapsed="false">
      <c r="A3" s="1" t="n">
        <v>1</v>
      </c>
      <c r="B3" s="2" t="s">
        <v>11</v>
      </c>
      <c r="C3" s="2" t="s">
        <v>12</v>
      </c>
      <c r="D3" s="2" t="s">
        <v>13</v>
      </c>
      <c r="E3" s="1" t="s">
        <v>14</v>
      </c>
      <c r="F3" s="4" t="n">
        <v>0.604166666666667</v>
      </c>
      <c r="G3" s="2" t="s">
        <v>14</v>
      </c>
      <c r="H3" s="4" t="n">
        <v>0.611111111111111</v>
      </c>
      <c r="I3" s="2" t="s">
        <v>15</v>
      </c>
      <c r="J3" s="2" t="s">
        <v>15</v>
      </c>
      <c r="L3" s="2" t="s">
        <v>16</v>
      </c>
      <c r="M3" s="4" t="n">
        <v>0.625</v>
      </c>
      <c r="N3" s="2" t="s">
        <v>16</v>
      </c>
      <c r="O3" s="4" t="n">
        <v>0.618055555555556</v>
      </c>
      <c r="P3" s="2" t="s">
        <v>16</v>
      </c>
      <c r="Q3" s="4" t="n">
        <v>0.614583333333333</v>
      </c>
      <c r="R3" s="2" t="s">
        <v>16</v>
      </c>
      <c r="S3" s="4" t="n">
        <v>0.625</v>
      </c>
      <c r="T3" s="2" t="s">
        <v>17</v>
      </c>
      <c r="V3" s="2" t="s">
        <v>17</v>
      </c>
      <c r="X3" s="2" t="n">
        <f aca="false">COUNTIF(E3:W3,"P")</f>
        <v>2</v>
      </c>
      <c r="Y3" s="2" t="n">
        <f aca="false">COUNTIF(E3:W3,"M")</f>
        <v>2</v>
      </c>
      <c r="Z3" s="2" t="n">
        <f aca="false">COUNTIF(E3:W3,"T")</f>
        <v>4</v>
      </c>
      <c r="AA3" s="2" t="n">
        <f aca="false">COUNTIF(E3:W3,"A")</f>
        <v>2</v>
      </c>
      <c r="AB3" s="2" t="n">
        <f aca="false">SUM(X3:AA3)</f>
        <v>10</v>
      </c>
      <c r="AC3" s="5" t="n">
        <f aca="false">ROUND((X3+Y3/2+Z3/4)*10/AB3,0)</f>
        <v>4</v>
      </c>
      <c r="AD3" s="2" t="s">
        <v>15</v>
      </c>
      <c r="AE3" s="2" t="s">
        <v>17</v>
      </c>
      <c r="AF3" s="6" t="s">
        <v>17</v>
      </c>
    </row>
    <row r="4" customFormat="false" ht="15" hidden="false" customHeight="false" outlineLevel="0" collapsed="false">
      <c r="A4" s="1" t="n">
        <v>2</v>
      </c>
      <c r="B4" s="2" t="s">
        <v>18</v>
      </c>
      <c r="C4" s="7" t="s">
        <v>19</v>
      </c>
      <c r="D4" s="2" t="s">
        <v>20</v>
      </c>
      <c r="E4" s="1" t="s">
        <v>15</v>
      </c>
      <c r="G4" s="2" t="s">
        <v>15</v>
      </c>
      <c r="I4" s="2" t="s">
        <v>15</v>
      </c>
      <c r="J4" s="2" t="s">
        <v>15</v>
      </c>
      <c r="L4" s="2" t="s">
        <v>15</v>
      </c>
      <c r="N4" s="2" t="s">
        <v>17</v>
      </c>
      <c r="P4" s="2" t="s">
        <v>15</v>
      </c>
      <c r="R4" s="2" t="s">
        <v>15</v>
      </c>
      <c r="T4" s="2" t="s">
        <v>15</v>
      </c>
      <c r="V4" s="2" t="s">
        <v>17</v>
      </c>
      <c r="X4" s="2" t="n">
        <f aca="false">COUNTIF(E4:W4,"P")</f>
        <v>8</v>
      </c>
      <c r="Y4" s="2" t="n">
        <f aca="false">COUNTIF(E4:W4,"M")</f>
        <v>0</v>
      </c>
      <c r="Z4" s="2" t="n">
        <f aca="false">COUNTIF(E4:W4,"T")</f>
        <v>0</v>
      </c>
      <c r="AA4" s="2" t="n">
        <f aca="false">COUNTIF(E4:W4,"A")</f>
        <v>2</v>
      </c>
      <c r="AB4" s="2" t="n">
        <f aca="false">SUM(X4:AA4)</f>
        <v>10</v>
      </c>
      <c r="AC4" s="5" t="n">
        <f aca="false">ROUND((X4+Y4/2+Z4/4)*10/AB4,0)</f>
        <v>8</v>
      </c>
      <c r="AD4" s="2" t="s">
        <v>15</v>
      </c>
      <c r="AE4" s="2" t="s">
        <v>15</v>
      </c>
      <c r="AF4" s="6" t="s">
        <v>15</v>
      </c>
    </row>
    <row r="5" customFormat="false" ht="15" hidden="false" customHeight="false" outlineLevel="0" collapsed="false">
      <c r="A5" s="1" t="n">
        <v>3</v>
      </c>
      <c r="B5" s="2" t="s">
        <v>21</v>
      </c>
      <c r="C5" s="2" t="s">
        <v>22</v>
      </c>
      <c r="D5" s="2" t="s">
        <v>23</v>
      </c>
      <c r="E5" s="1" t="s">
        <v>15</v>
      </c>
      <c r="G5" s="2" t="s">
        <v>15</v>
      </c>
      <c r="I5" s="2" t="s">
        <v>15</v>
      </c>
      <c r="J5" s="2" t="s">
        <v>15</v>
      </c>
      <c r="L5" s="2" t="s">
        <v>16</v>
      </c>
      <c r="M5" s="4" t="n">
        <v>0.618055555555556</v>
      </c>
      <c r="N5" s="2" t="s">
        <v>16</v>
      </c>
      <c r="O5" s="4" t="n">
        <v>0.631944444444444</v>
      </c>
      <c r="P5" s="2" t="s">
        <v>16</v>
      </c>
      <c r="Q5" s="4" t="n">
        <v>0.618055555555556</v>
      </c>
      <c r="R5" s="2" t="s">
        <v>17</v>
      </c>
      <c r="T5" s="2" t="s">
        <v>15</v>
      </c>
      <c r="V5" s="2" t="s">
        <v>14</v>
      </c>
      <c r="W5" s="4" t="n">
        <v>0.607638888888889</v>
      </c>
      <c r="X5" s="2" t="n">
        <f aca="false">COUNTIF(E5:W5,"P")</f>
        <v>5</v>
      </c>
      <c r="Y5" s="2" t="n">
        <f aca="false">COUNTIF(E5:W5,"M")</f>
        <v>1</v>
      </c>
      <c r="Z5" s="2" t="n">
        <f aca="false">COUNTIF(E5:W5,"T")</f>
        <v>3</v>
      </c>
      <c r="AA5" s="2" t="n">
        <f aca="false">COUNTIF(E5:W5,"A")</f>
        <v>1</v>
      </c>
      <c r="AB5" s="2" t="n">
        <f aca="false">SUM(X5:AA5)</f>
        <v>10</v>
      </c>
      <c r="AC5" s="5" t="n">
        <f aca="false">ROUND((X5+Y5/2+Z5/4)*10/AB5,0)</f>
        <v>6</v>
      </c>
      <c r="AD5" s="2" t="s">
        <v>15</v>
      </c>
      <c r="AE5" s="2" t="s">
        <v>15</v>
      </c>
      <c r="AF5" s="6" t="s">
        <v>15</v>
      </c>
    </row>
    <row r="6" customFormat="false" ht="15" hidden="false" customHeight="false" outlineLevel="0" collapsed="false">
      <c r="A6" s="1" t="n">
        <v>4</v>
      </c>
      <c r="B6" s="2" t="s">
        <v>24</v>
      </c>
      <c r="C6" s="2" t="s">
        <v>25</v>
      </c>
      <c r="D6" s="2" t="s">
        <v>26</v>
      </c>
      <c r="E6" s="1" t="s">
        <v>17</v>
      </c>
      <c r="G6" s="2" t="s">
        <v>14</v>
      </c>
      <c r="H6" s="4" t="n">
        <v>0.611111111111111</v>
      </c>
      <c r="I6" s="2" t="s">
        <v>15</v>
      </c>
      <c r="J6" s="2" t="s">
        <v>17</v>
      </c>
      <c r="L6" s="2" t="s">
        <v>16</v>
      </c>
      <c r="M6" s="4" t="n">
        <v>0.625</v>
      </c>
      <c r="N6" s="2" t="s">
        <v>16</v>
      </c>
      <c r="O6" s="4" t="n">
        <v>0.625</v>
      </c>
      <c r="P6" s="2" t="s">
        <v>17</v>
      </c>
      <c r="R6" s="2" t="s">
        <v>16</v>
      </c>
      <c r="S6" s="4" t="n">
        <v>0.625</v>
      </c>
      <c r="T6" s="2" t="s">
        <v>17</v>
      </c>
      <c r="V6" s="2" t="s">
        <v>15</v>
      </c>
      <c r="X6" s="2" t="n">
        <f aca="false">COUNTIF(E6:W6,"P")</f>
        <v>2</v>
      </c>
      <c r="Y6" s="2" t="n">
        <f aca="false">COUNTIF(E6:W6,"M")</f>
        <v>1</v>
      </c>
      <c r="Z6" s="2" t="n">
        <f aca="false">COUNTIF(E6:W6,"T")</f>
        <v>3</v>
      </c>
      <c r="AA6" s="2" t="n">
        <f aca="false">COUNTIF(E6:W6,"A")</f>
        <v>4</v>
      </c>
      <c r="AB6" s="2" t="n">
        <f aca="false">SUM(X6:AA6)</f>
        <v>10</v>
      </c>
      <c r="AC6" s="5" t="n">
        <f aca="false">ROUND((X6+Y6/2+Z6/4)*10/AB6,0)</f>
        <v>3</v>
      </c>
      <c r="AD6" s="2" t="s">
        <v>17</v>
      </c>
      <c r="AE6" s="2" t="s">
        <v>15</v>
      </c>
      <c r="AF6" s="6" t="s">
        <v>15</v>
      </c>
    </row>
    <row r="7" customFormat="false" ht="15" hidden="false" customHeight="false" outlineLevel="0" collapsed="false">
      <c r="A7" s="1" t="n">
        <v>5</v>
      </c>
      <c r="B7" s="2" t="s">
        <v>27</v>
      </c>
      <c r="C7" s="2" t="s">
        <v>28</v>
      </c>
      <c r="D7" s="2" t="s">
        <v>29</v>
      </c>
      <c r="E7" s="1" t="s">
        <v>15</v>
      </c>
      <c r="G7" s="2" t="s">
        <v>15</v>
      </c>
      <c r="I7" s="2" t="s">
        <v>15</v>
      </c>
      <c r="J7" s="2" t="s">
        <v>15</v>
      </c>
      <c r="L7" s="2" t="s">
        <v>15</v>
      </c>
      <c r="N7" s="2" t="s">
        <v>15</v>
      </c>
      <c r="P7" s="2" t="s">
        <v>16</v>
      </c>
      <c r="Q7" s="4" t="n">
        <v>0.625</v>
      </c>
      <c r="R7" s="2" t="s">
        <v>16</v>
      </c>
      <c r="S7" s="4" t="n">
        <v>0.645833333333333</v>
      </c>
      <c r="T7" s="2" t="s">
        <v>16</v>
      </c>
      <c r="U7" s="4" t="n">
        <v>0.611111111111111</v>
      </c>
      <c r="V7" s="2" t="s">
        <v>17</v>
      </c>
      <c r="X7" s="2" t="n">
        <f aca="false">COUNTIF(E7:W7,"P")</f>
        <v>6</v>
      </c>
      <c r="Y7" s="2" t="n">
        <f aca="false">COUNTIF(E7:W7,"M")</f>
        <v>0</v>
      </c>
      <c r="Z7" s="2" t="n">
        <f aca="false">COUNTIF(E7:W7,"T")</f>
        <v>3</v>
      </c>
      <c r="AA7" s="2" t="n">
        <f aca="false">COUNTIF(E7:W7,"A")</f>
        <v>1</v>
      </c>
      <c r="AB7" s="2" t="n">
        <f aca="false">SUM(X7:AA7)</f>
        <v>10</v>
      </c>
      <c r="AC7" s="5" t="n">
        <f aca="false">ROUND((X7+Y7/2+Z7/4)*10/AB7,0)</f>
        <v>7</v>
      </c>
      <c r="AD7" s="2" t="s">
        <v>15</v>
      </c>
      <c r="AE7" s="2" t="s">
        <v>15</v>
      </c>
      <c r="AF7" s="6" t="s">
        <v>15</v>
      </c>
    </row>
    <row r="8" customFormat="false" ht="15" hidden="false" customHeight="false" outlineLevel="0" collapsed="false">
      <c r="A8" s="1" t="n">
        <v>6</v>
      </c>
      <c r="B8" s="2" t="s">
        <v>30</v>
      </c>
      <c r="C8" s="2" t="s">
        <v>31</v>
      </c>
      <c r="D8" s="2" t="s">
        <v>32</v>
      </c>
      <c r="E8" s="1" t="s">
        <v>15</v>
      </c>
      <c r="G8" s="2" t="s">
        <v>17</v>
      </c>
      <c r="I8" s="2" t="s">
        <v>15</v>
      </c>
      <c r="J8" s="2" t="s">
        <v>15</v>
      </c>
      <c r="L8" s="2" t="s">
        <v>15</v>
      </c>
      <c r="N8" s="2" t="s">
        <v>17</v>
      </c>
      <c r="P8" s="2" t="s">
        <v>16</v>
      </c>
      <c r="Q8" s="4" t="n">
        <v>0.618055555555556</v>
      </c>
      <c r="R8" s="2" t="s">
        <v>17</v>
      </c>
      <c r="T8" s="2" t="s">
        <v>17</v>
      </c>
      <c r="V8" s="2" t="s">
        <v>17</v>
      </c>
      <c r="X8" s="2" t="n">
        <f aca="false">COUNTIF(E8:W8,"P")</f>
        <v>4</v>
      </c>
      <c r="Y8" s="2" t="n">
        <f aca="false">COUNTIF(E8:W8,"M")</f>
        <v>0</v>
      </c>
      <c r="Z8" s="2" t="n">
        <f aca="false">COUNTIF(E8:W8,"T")</f>
        <v>1</v>
      </c>
      <c r="AA8" s="2" t="n">
        <f aca="false">COUNTIF(E8:W8,"A")</f>
        <v>5</v>
      </c>
      <c r="AB8" s="2" t="n">
        <f aca="false">SUM(X8:AA8)</f>
        <v>10</v>
      </c>
      <c r="AC8" s="5" t="n">
        <f aca="false">ROUND((X8+Y8/2+Z8/4)*10/AB8,0)</f>
        <v>4</v>
      </c>
      <c r="AD8" s="2" t="s">
        <v>15</v>
      </c>
      <c r="AE8" s="2" t="s">
        <v>17</v>
      </c>
      <c r="AF8" s="6" t="s">
        <v>17</v>
      </c>
    </row>
    <row r="9" customFormat="false" ht="15" hidden="false" customHeight="false" outlineLevel="0" collapsed="false">
      <c r="A9" s="1" t="n">
        <v>7</v>
      </c>
      <c r="B9" s="2" t="s">
        <v>33</v>
      </c>
      <c r="C9" s="2" t="s">
        <v>34</v>
      </c>
      <c r="D9" s="2" t="s">
        <v>35</v>
      </c>
      <c r="E9" s="1" t="s">
        <v>15</v>
      </c>
      <c r="G9" s="2" t="s">
        <v>15</v>
      </c>
      <c r="I9" s="2" t="s">
        <v>15</v>
      </c>
      <c r="J9" s="2" t="s">
        <v>15</v>
      </c>
      <c r="L9" s="2" t="s">
        <v>15</v>
      </c>
      <c r="N9" s="2" t="s">
        <v>15</v>
      </c>
      <c r="P9" s="2" t="s">
        <v>16</v>
      </c>
      <c r="Q9" s="4" t="n">
        <v>0.625</v>
      </c>
      <c r="R9" s="2" t="s">
        <v>15</v>
      </c>
      <c r="T9" s="2" t="s">
        <v>15</v>
      </c>
      <c r="V9" s="2" t="s">
        <v>17</v>
      </c>
      <c r="X9" s="2" t="n">
        <f aca="false">COUNTIF(E9:W9,"P")</f>
        <v>8</v>
      </c>
      <c r="Y9" s="2" t="n">
        <f aca="false">COUNTIF(E9:W9,"M")</f>
        <v>0</v>
      </c>
      <c r="Z9" s="2" t="n">
        <f aca="false">COUNTIF(E9:W9,"T")</f>
        <v>1</v>
      </c>
      <c r="AA9" s="2" t="n">
        <f aca="false">COUNTIF(E9:W9,"A")</f>
        <v>1</v>
      </c>
      <c r="AB9" s="2" t="n">
        <f aca="false">SUM(X9:AA9)</f>
        <v>10</v>
      </c>
      <c r="AC9" s="5" t="n">
        <f aca="false">ROUND((X9+Y9/2+Z9/4)*10/AB9,0)</f>
        <v>8</v>
      </c>
      <c r="AD9" s="2" t="s">
        <v>15</v>
      </c>
      <c r="AE9" s="2" t="s">
        <v>15</v>
      </c>
      <c r="AF9" s="6" t="s">
        <v>15</v>
      </c>
    </row>
    <row r="10" customFormat="false" ht="15" hidden="false" customHeight="false" outlineLevel="0" collapsed="false">
      <c r="A10" s="1" t="n">
        <v>8</v>
      </c>
      <c r="B10" s="2" t="s">
        <v>36</v>
      </c>
      <c r="C10" s="2" t="s">
        <v>37</v>
      </c>
      <c r="D10" s="2" t="s">
        <v>38</v>
      </c>
      <c r="E10" s="1" t="s">
        <v>15</v>
      </c>
      <c r="G10" s="2" t="s">
        <v>14</v>
      </c>
      <c r="H10" s="4" t="n">
        <v>0.611111111111111</v>
      </c>
      <c r="I10" s="2" t="s">
        <v>15</v>
      </c>
      <c r="J10" s="2" t="s">
        <v>15</v>
      </c>
      <c r="L10" s="2" t="s">
        <v>15</v>
      </c>
      <c r="N10" s="2" t="s">
        <v>15</v>
      </c>
      <c r="P10" s="2" t="s">
        <v>16</v>
      </c>
      <c r="Q10" s="4" t="n">
        <v>0.625</v>
      </c>
      <c r="R10" s="2" t="s">
        <v>15</v>
      </c>
      <c r="T10" s="2" t="s">
        <v>15</v>
      </c>
      <c r="V10" s="2" t="s">
        <v>15</v>
      </c>
      <c r="X10" s="2" t="n">
        <f aca="false">COUNTIF(E10:W10,"P")</f>
        <v>8</v>
      </c>
      <c r="Y10" s="2" t="n">
        <f aca="false">COUNTIF(E10:W10,"M")</f>
        <v>1</v>
      </c>
      <c r="Z10" s="2" t="n">
        <f aca="false">COUNTIF(E10:W10,"T")</f>
        <v>1</v>
      </c>
      <c r="AA10" s="2" t="n">
        <f aca="false">COUNTIF(E10:W10,"A")</f>
        <v>0</v>
      </c>
      <c r="AB10" s="2" t="n">
        <f aca="false">SUM(X10:AA10)</f>
        <v>10</v>
      </c>
      <c r="AC10" s="5" t="n">
        <f aca="false">ROUND((X10+Y10/2+Z10/4)*10/AB10,0)</f>
        <v>9</v>
      </c>
      <c r="AD10" s="2" t="s">
        <v>15</v>
      </c>
      <c r="AE10" s="2" t="s">
        <v>15</v>
      </c>
      <c r="AF10" s="6" t="s">
        <v>15</v>
      </c>
    </row>
    <row r="11" customFormat="false" ht="15" hidden="false" customHeight="false" outlineLevel="0" collapsed="false">
      <c r="A11" s="1" t="n">
        <v>9</v>
      </c>
      <c r="B11" s="2" t="s">
        <v>39</v>
      </c>
      <c r="C11" s="2" t="s">
        <v>40</v>
      </c>
      <c r="D11" s="2" t="s">
        <v>41</v>
      </c>
      <c r="E11" s="1" t="s">
        <v>15</v>
      </c>
      <c r="G11" s="2" t="s">
        <v>15</v>
      </c>
      <c r="I11" s="2" t="s">
        <v>15</v>
      </c>
      <c r="J11" s="2" t="s">
        <v>15</v>
      </c>
      <c r="L11" s="2" t="s">
        <v>15</v>
      </c>
      <c r="N11" s="2" t="s">
        <v>17</v>
      </c>
      <c r="P11" s="2" t="s">
        <v>15</v>
      </c>
      <c r="R11" s="2" t="s">
        <v>15</v>
      </c>
      <c r="T11" s="2" t="s">
        <v>15</v>
      </c>
      <c r="V11" s="2" t="s">
        <v>15</v>
      </c>
      <c r="X11" s="2" t="n">
        <f aca="false">COUNTIF(E11:W11,"P")</f>
        <v>9</v>
      </c>
      <c r="Y11" s="2" t="n">
        <f aca="false">COUNTIF(E11:W11,"M")</f>
        <v>0</v>
      </c>
      <c r="Z11" s="2" t="n">
        <f aca="false">COUNTIF(E11:W11,"T")</f>
        <v>0</v>
      </c>
      <c r="AA11" s="2" t="n">
        <f aca="false">COUNTIF(E11:W11,"A")</f>
        <v>1</v>
      </c>
      <c r="AB11" s="2" t="n">
        <f aca="false">SUM(X11:AA11)</f>
        <v>10</v>
      </c>
      <c r="AC11" s="5" t="n">
        <f aca="false">ROUND((X11+Y11/2+Z11/4)*10/AB11,0)</f>
        <v>9</v>
      </c>
      <c r="AD11" s="2" t="s">
        <v>15</v>
      </c>
      <c r="AE11" s="2" t="s">
        <v>15</v>
      </c>
      <c r="AF11" s="6" t="s">
        <v>15</v>
      </c>
    </row>
    <row r="12" customFormat="false" ht="15" hidden="false" customHeight="false" outlineLevel="0" collapsed="false">
      <c r="A12" s="1" t="n">
        <v>10</v>
      </c>
      <c r="B12" s="2" t="s">
        <v>42</v>
      </c>
      <c r="C12" s="2" t="s">
        <v>43</v>
      </c>
      <c r="D12" s="2" t="s">
        <v>44</v>
      </c>
      <c r="E12" s="1" t="s">
        <v>17</v>
      </c>
      <c r="G12" s="2" t="s">
        <v>15</v>
      </c>
      <c r="I12" s="2" t="s">
        <v>15</v>
      </c>
      <c r="J12" s="2" t="s">
        <v>15</v>
      </c>
      <c r="L12" s="2" t="s">
        <v>15</v>
      </c>
      <c r="N12" s="2" t="s">
        <v>16</v>
      </c>
      <c r="O12" s="4" t="n">
        <v>0.618055555555556</v>
      </c>
      <c r="P12" s="2" t="s">
        <v>16</v>
      </c>
      <c r="Q12" s="4" t="n">
        <v>0.625</v>
      </c>
      <c r="R12" s="2" t="s">
        <v>17</v>
      </c>
      <c r="T12" s="2" t="s">
        <v>15</v>
      </c>
      <c r="V12" s="2" t="s">
        <v>15</v>
      </c>
      <c r="X12" s="2" t="n">
        <f aca="false">COUNTIF(E12:W12,"P")</f>
        <v>6</v>
      </c>
      <c r="Y12" s="2" t="n">
        <f aca="false">COUNTIF(E12:W12,"M")</f>
        <v>0</v>
      </c>
      <c r="Z12" s="2" t="n">
        <f aca="false">COUNTIF(E12:W12,"T")</f>
        <v>2</v>
      </c>
      <c r="AA12" s="2" t="n">
        <f aca="false">COUNTIF(E12:W12,"A")</f>
        <v>2</v>
      </c>
      <c r="AB12" s="2" t="n">
        <f aca="false">SUM(X12:AA12)</f>
        <v>10</v>
      </c>
      <c r="AC12" s="5" t="n">
        <f aca="false">ROUND((X12+Y12/2+Z12/4)*10/AB12,0)</f>
        <v>7</v>
      </c>
      <c r="AD12" s="2" t="s">
        <v>15</v>
      </c>
      <c r="AE12" s="2" t="s">
        <v>15</v>
      </c>
      <c r="AF12" s="6" t="s">
        <v>15</v>
      </c>
    </row>
    <row r="13" customFormat="false" ht="15" hidden="false" customHeight="false" outlineLevel="0" collapsed="false">
      <c r="A13" s="1" t="n">
        <v>11</v>
      </c>
      <c r="B13" s="2" t="s">
        <v>45</v>
      </c>
      <c r="C13" s="2" t="s">
        <v>46</v>
      </c>
      <c r="D13" s="2" t="s">
        <v>47</v>
      </c>
      <c r="E13" s="1" t="s">
        <v>15</v>
      </c>
      <c r="G13" s="2" t="s">
        <v>15</v>
      </c>
      <c r="I13" s="2" t="s">
        <v>15</v>
      </c>
      <c r="J13" s="2" t="s">
        <v>15</v>
      </c>
      <c r="L13" s="2" t="s">
        <v>15</v>
      </c>
      <c r="N13" s="2" t="s">
        <v>15</v>
      </c>
      <c r="P13" s="2" t="s">
        <v>15</v>
      </c>
      <c r="R13" s="2" t="s">
        <v>17</v>
      </c>
      <c r="T13" s="2" t="s">
        <v>15</v>
      </c>
      <c r="V13" s="2" t="s">
        <v>15</v>
      </c>
      <c r="X13" s="2" t="n">
        <f aca="false">COUNTIF(E13:W13,"P")</f>
        <v>9</v>
      </c>
      <c r="Y13" s="2" t="n">
        <f aca="false">COUNTIF(E13:W13,"M")</f>
        <v>0</v>
      </c>
      <c r="Z13" s="2" t="n">
        <f aca="false">COUNTIF(E13:W13,"T")</f>
        <v>0</v>
      </c>
      <c r="AA13" s="2" t="n">
        <f aca="false">COUNTIF(E13:W13,"A")</f>
        <v>1</v>
      </c>
      <c r="AB13" s="2" t="n">
        <f aca="false">SUM(X13:AA13)</f>
        <v>10</v>
      </c>
      <c r="AC13" s="5" t="n">
        <f aca="false">ROUND((X13+Y13/2+Z13/4)*10/AB13,0)</f>
        <v>9</v>
      </c>
      <c r="AD13" s="2" t="s">
        <v>15</v>
      </c>
      <c r="AE13" s="2" t="s">
        <v>15</v>
      </c>
      <c r="AF13" s="6" t="s">
        <v>15</v>
      </c>
    </row>
    <row r="14" customFormat="false" ht="15" hidden="false" customHeight="false" outlineLevel="0" collapsed="false">
      <c r="A14" s="1" t="n">
        <v>12</v>
      </c>
      <c r="B14" s="2" t="s">
        <v>48</v>
      </c>
      <c r="C14" s="2" t="s">
        <v>49</v>
      </c>
      <c r="D14" s="2" t="s">
        <v>50</v>
      </c>
      <c r="E14" s="1" t="s">
        <v>15</v>
      </c>
      <c r="G14" s="2" t="s">
        <v>14</v>
      </c>
      <c r="H14" s="4" t="n">
        <v>0.611111111111111</v>
      </c>
      <c r="I14" s="2" t="s">
        <v>15</v>
      </c>
      <c r="J14" s="2" t="s">
        <v>17</v>
      </c>
      <c r="L14" s="2" t="s">
        <v>16</v>
      </c>
      <c r="M14" s="4" t="n">
        <v>0.625</v>
      </c>
      <c r="N14" s="2" t="s">
        <v>16</v>
      </c>
      <c r="O14" s="4" t="n">
        <v>0.625</v>
      </c>
      <c r="P14" s="2" t="s">
        <v>17</v>
      </c>
      <c r="R14" s="2" t="s">
        <v>17</v>
      </c>
      <c r="T14" s="2" t="s">
        <v>15</v>
      </c>
      <c r="V14" s="2" t="s">
        <v>17</v>
      </c>
      <c r="X14" s="2" t="n">
        <f aca="false">COUNTIF(E14:W14,"P")</f>
        <v>3</v>
      </c>
      <c r="Y14" s="2" t="n">
        <f aca="false">COUNTIF(E14:W14,"M")</f>
        <v>1</v>
      </c>
      <c r="Z14" s="2" t="n">
        <f aca="false">COUNTIF(E14:W14,"T")</f>
        <v>2</v>
      </c>
      <c r="AA14" s="2" t="n">
        <f aca="false">COUNTIF(E14:W14,"A")</f>
        <v>4</v>
      </c>
      <c r="AB14" s="2" t="n">
        <f aca="false">SUM(X14:AA14)</f>
        <v>10</v>
      </c>
      <c r="AC14" s="5" t="n">
        <f aca="false">ROUND((X14+Y14/2+Z14/4)*10/AB14,0)</f>
        <v>4</v>
      </c>
      <c r="AD14" s="2" t="s">
        <v>15</v>
      </c>
      <c r="AE14" s="2" t="s">
        <v>17</v>
      </c>
      <c r="AF14" s="6" t="s">
        <v>17</v>
      </c>
    </row>
    <row r="15" customFormat="false" ht="15" hidden="false" customHeight="false" outlineLevel="0" collapsed="false">
      <c r="A15" s="1" t="n">
        <v>13</v>
      </c>
      <c r="B15" s="2" t="s">
        <v>51</v>
      </c>
      <c r="C15" s="2" t="s">
        <v>52</v>
      </c>
      <c r="D15" s="2" t="s">
        <v>53</v>
      </c>
      <c r="E15" s="1" t="s">
        <v>15</v>
      </c>
      <c r="G15" s="2" t="s">
        <v>15</v>
      </c>
      <c r="I15" s="2" t="s">
        <v>15</v>
      </c>
      <c r="J15" s="2" t="s">
        <v>17</v>
      </c>
      <c r="L15" s="2" t="s">
        <v>17</v>
      </c>
      <c r="N15" s="2" t="s">
        <v>15</v>
      </c>
      <c r="P15" s="2" t="s">
        <v>15</v>
      </c>
      <c r="R15" s="2" t="s">
        <v>15</v>
      </c>
      <c r="T15" s="2" t="s">
        <v>15</v>
      </c>
      <c r="V15" s="2" t="s">
        <v>15</v>
      </c>
      <c r="X15" s="2" t="n">
        <f aca="false">COUNTIF(E15:W15,"P")</f>
        <v>8</v>
      </c>
      <c r="Y15" s="2" t="n">
        <f aca="false">COUNTIF(E15:W15,"M")</f>
        <v>0</v>
      </c>
      <c r="Z15" s="2" t="n">
        <f aca="false">COUNTIF(E15:W15,"T")</f>
        <v>0</v>
      </c>
      <c r="AA15" s="2" t="n">
        <f aca="false">COUNTIF(E15:W15,"A")</f>
        <v>2</v>
      </c>
      <c r="AB15" s="2" t="n">
        <f aca="false">SUM(X15:AA15)</f>
        <v>10</v>
      </c>
      <c r="AC15" s="5" t="n">
        <f aca="false">ROUND((X15+Y15/2+Z15/4)*10/AB15,0)</f>
        <v>8</v>
      </c>
      <c r="AD15" s="2" t="s">
        <v>15</v>
      </c>
      <c r="AE15" s="2" t="s">
        <v>15</v>
      </c>
      <c r="AF15" s="6" t="s">
        <v>17</v>
      </c>
    </row>
    <row r="16" customFormat="false" ht="15" hidden="false" customHeight="false" outlineLevel="0" collapsed="false">
      <c r="A16" s="1" t="n">
        <v>14</v>
      </c>
      <c r="B16" s="2" t="s">
        <v>54</v>
      </c>
      <c r="C16" s="2" t="s">
        <v>55</v>
      </c>
      <c r="D16" s="2" t="s">
        <v>56</v>
      </c>
      <c r="E16" s="1" t="s">
        <v>15</v>
      </c>
      <c r="G16" s="2" t="s">
        <v>15</v>
      </c>
      <c r="I16" s="2" t="s">
        <v>15</v>
      </c>
      <c r="J16" s="2" t="s">
        <v>15</v>
      </c>
      <c r="L16" s="2" t="s">
        <v>15</v>
      </c>
      <c r="N16" s="2" t="s">
        <v>15</v>
      </c>
      <c r="P16" s="2" t="s">
        <v>15</v>
      </c>
      <c r="R16" s="2" t="s">
        <v>15</v>
      </c>
      <c r="T16" s="2" t="s">
        <v>15</v>
      </c>
      <c r="V16" s="2" t="s">
        <v>17</v>
      </c>
      <c r="X16" s="2" t="n">
        <f aca="false">COUNTIF(E16:W16,"P")</f>
        <v>9</v>
      </c>
      <c r="Y16" s="2" t="n">
        <f aca="false">COUNTIF(E16:W16,"M")</f>
        <v>0</v>
      </c>
      <c r="Z16" s="2" t="n">
        <f aca="false">COUNTIF(E16:W16,"T")</f>
        <v>0</v>
      </c>
      <c r="AA16" s="2" t="n">
        <f aca="false">COUNTIF(E16:W16,"A")</f>
        <v>1</v>
      </c>
      <c r="AB16" s="2" t="n">
        <f aca="false">SUM(X16:AA16)</f>
        <v>10</v>
      </c>
      <c r="AC16" s="5" t="n">
        <f aca="false">ROUND((X16+Y16/2+Z16/4)*10/AB16,0)</f>
        <v>9</v>
      </c>
      <c r="AD16" s="2" t="s">
        <v>15</v>
      </c>
      <c r="AE16" s="2" t="s">
        <v>15</v>
      </c>
      <c r="AF16" s="6" t="s">
        <v>15</v>
      </c>
    </row>
    <row r="17" customFormat="false" ht="15" hidden="false" customHeight="false" outlineLevel="0" collapsed="false">
      <c r="A17" s="1" t="n">
        <v>15</v>
      </c>
      <c r="B17" s="2" t="s">
        <v>57</v>
      </c>
      <c r="C17" s="8" t="s">
        <v>58</v>
      </c>
      <c r="D17" s="2" t="s">
        <v>59</v>
      </c>
      <c r="E17" s="1" t="s">
        <v>15</v>
      </c>
      <c r="G17" s="2" t="s">
        <v>14</v>
      </c>
      <c r="H17" s="4" t="n">
        <v>0.611111111111111</v>
      </c>
      <c r="I17" s="2" t="s">
        <v>15</v>
      </c>
      <c r="J17" s="2" t="s">
        <v>15</v>
      </c>
      <c r="L17" s="2" t="s">
        <v>15</v>
      </c>
      <c r="N17" s="2" t="s">
        <v>15</v>
      </c>
      <c r="P17" s="2" t="s">
        <v>17</v>
      </c>
      <c r="R17" s="2" t="s">
        <v>15</v>
      </c>
      <c r="T17" s="2" t="s">
        <v>17</v>
      </c>
      <c r="V17" s="2" t="s">
        <v>15</v>
      </c>
      <c r="X17" s="2" t="n">
        <f aca="false">COUNTIF(E17:W17,"P")</f>
        <v>7</v>
      </c>
      <c r="Y17" s="2" t="n">
        <f aca="false">COUNTIF(E17:W17,"M")</f>
        <v>1</v>
      </c>
      <c r="Z17" s="2" t="n">
        <f aca="false">COUNTIF(E17:W17,"T")</f>
        <v>0</v>
      </c>
      <c r="AA17" s="2" t="n">
        <f aca="false">COUNTIF(E17:W17,"A")</f>
        <v>2</v>
      </c>
      <c r="AB17" s="2" t="n">
        <f aca="false">SUM(X17:AA17)</f>
        <v>10</v>
      </c>
      <c r="AC17" s="5" t="n">
        <f aca="false">ROUND((X17+Y17/2+Z17/4)*10/AB17,0)</f>
        <v>8</v>
      </c>
      <c r="AD17" s="2" t="s">
        <v>15</v>
      </c>
      <c r="AE17" s="2" t="s">
        <v>17</v>
      </c>
      <c r="AF17" s="6" t="s">
        <v>15</v>
      </c>
    </row>
    <row r="18" customFormat="false" ht="15" hidden="false" customHeight="false" outlineLevel="0" collapsed="false">
      <c r="A18" s="1" t="n">
        <v>16</v>
      </c>
      <c r="B18" s="2" t="s">
        <v>60</v>
      </c>
      <c r="C18" s="2" t="s">
        <v>61</v>
      </c>
      <c r="D18" s="2" t="s">
        <v>62</v>
      </c>
      <c r="E18" s="1" t="s">
        <v>14</v>
      </c>
      <c r="F18" s="4" t="n">
        <v>0.611111111111111</v>
      </c>
      <c r="G18" s="2" t="s">
        <v>15</v>
      </c>
      <c r="I18" s="2" t="s">
        <v>15</v>
      </c>
      <c r="J18" s="2" t="s">
        <v>15</v>
      </c>
      <c r="L18" s="2" t="s">
        <v>16</v>
      </c>
      <c r="M18" s="4" t="n">
        <v>0.625</v>
      </c>
      <c r="N18" s="2" t="s">
        <v>17</v>
      </c>
      <c r="P18" s="2" t="s">
        <v>15</v>
      </c>
      <c r="R18" s="2" t="s">
        <v>15</v>
      </c>
      <c r="T18" s="2" t="s">
        <v>15</v>
      </c>
      <c r="V18" s="2" t="s">
        <v>16</v>
      </c>
      <c r="W18" s="4" t="n">
        <v>0.638888888888889</v>
      </c>
      <c r="X18" s="2" t="n">
        <f aca="false">COUNTIF(E18:W18,"P")</f>
        <v>6</v>
      </c>
      <c r="Y18" s="2" t="n">
        <f aca="false">COUNTIF(E18:W18,"M")</f>
        <v>1</v>
      </c>
      <c r="Z18" s="2" t="n">
        <f aca="false">COUNTIF(E18:W18,"T")</f>
        <v>2</v>
      </c>
      <c r="AA18" s="2" t="n">
        <f aca="false">COUNTIF(E18:W18,"A")</f>
        <v>1</v>
      </c>
      <c r="AB18" s="2" t="n">
        <f aca="false">SUM(X18:AA18)</f>
        <v>10</v>
      </c>
      <c r="AC18" s="5" t="n">
        <f aca="false">ROUND((X18+Y18/2+Z18/4)*10/AB18,0)</f>
        <v>7</v>
      </c>
      <c r="AD18" s="2" t="s">
        <v>15</v>
      </c>
      <c r="AE18" s="2" t="s">
        <v>15</v>
      </c>
      <c r="AF18" s="6" t="s">
        <v>15</v>
      </c>
    </row>
    <row r="19" customFormat="false" ht="15" hidden="false" customHeight="false" outlineLevel="0" collapsed="false">
      <c r="A19" s="1" t="n">
        <v>17</v>
      </c>
      <c r="B19" s="2" t="s">
        <v>63</v>
      </c>
      <c r="C19" s="2" t="s">
        <v>64</v>
      </c>
      <c r="D19" s="2" t="s">
        <v>65</v>
      </c>
      <c r="E19" s="1" t="s">
        <v>15</v>
      </c>
      <c r="G19" s="2" t="s">
        <v>15</v>
      </c>
      <c r="I19" s="2" t="s">
        <v>15</v>
      </c>
      <c r="J19" s="2" t="s">
        <v>15</v>
      </c>
      <c r="L19" s="2" t="s">
        <v>17</v>
      </c>
      <c r="N19" s="2" t="s">
        <v>15</v>
      </c>
      <c r="P19" s="2" t="s">
        <v>15</v>
      </c>
      <c r="R19" s="2" t="s">
        <v>15</v>
      </c>
      <c r="T19" s="2" t="s">
        <v>16</v>
      </c>
      <c r="U19" s="4" t="n">
        <v>0.625</v>
      </c>
      <c r="V19" s="2" t="s">
        <v>15</v>
      </c>
      <c r="X19" s="2" t="n">
        <f aca="false">COUNTIF(E19:W19,"P")</f>
        <v>8</v>
      </c>
      <c r="Y19" s="2" t="n">
        <f aca="false">COUNTIF(E19:W19,"M")</f>
        <v>0</v>
      </c>
      <c r="Z19" s="2" t="n">
        <f aca="false">COUNTIF(E19:W19,"T")</f>
        <v>1</v>
      </c>
      <c r="AA19" s="2" t="n">
        <f aca="false">COUNTIF(E19:W19,"A")</f>
        <v>1</v>
      </c>
      <c r="AB19" s="2" t="n">
        <f aca="false">SUM(X19:AA19)</f>
        <v>10</v>
      </c>
      <c r="AC19" s="5" t="n">
        <f aca="false">ROUND((X19+Y19/2+Z19/4)*10/AB19,0)</f>
        <v>8</v>
      </c>
      <c r="AD19" s="2" t="s">
        <v>66</v>
      </c>
      <c r="AE19" s="2" t="s">
        <v>15</v>
      </c>
      <c r="AF19" s="6" t="s">
        <v>15</v>
      </c>
    </row>
    <row r="20" customFormat="false" ht="15" hidden="false" customHeight="false" outlineLevel="0" collapsed="false">
      <c r="A20" s="1" t="n">
        <v>18</v>
      </c>
      <c r="B20" s="2" t="s">
        <v>67</v>
      </c>
      <c r="C20" s="2" t="s">
        <v>68</v>
      </c>
      <c r="D20" s="2" t="s">
        <v>69</v>
      </c>
      <c r="E20" s="1" t="s">
        <v>15</v>
      </c>
      <c r="G20" s="2" t="s">
        <v>15</v>
      </c>
      <c r="I20" s="2" t="s">
        <v>15</v>
      </c>
      <c r="J20" s="2" t="s">
        <v>17</v>
      </c>
      <c r="L20" s="2" t="s">
        <v>17</v>
      </c>
      <c r="N20" s="2" t="s">
        <v>16</v>
      </c>
      <c r="O20" s="4" t="n">
        <v>0.611111111111111</v>
      </c>
      <c r="P20" s="2" t="s">
        <v>15</v>
      </c>
      <c r="R20" s="2" t="s">
        <v>15</v>
      </c>
      <c r="T20" s="2" t="s">
        <v>16</v>
      </c>
      <c r="U20" s="4" t="n">
        <v>0.625</v>
      </c>
      <c r="V20" s="2" t="s">
        <v>17</v>
      </c>
      <c r="X20" s="2" t="n">
        <f aca="false">COUNTIF(E20:W20,"P")</f>
        <v>5</v>
      </c>
      <c r="Y20" s="2" t="n">
        <f aca="false">COUNTIF(E20:W20,"M")</f>
        <v>0</v>
      </c>
      <c r="Z20" s="2" t="n">
        <f aca="false">COUNTIF(E20:W20,"T")</f>
        <v>2</v>
      </c>
      <c r="AA20" s="2" t="n">
        <f aca="false">COUNTIF(E20:W20,"A")</f>
        <v>3</v>
      </c>
      <c r="AB20" s="2" t="n">
        <f aca="false">SUM(X20:AA20)</f>
        <v>10</v>
      </c>
      <c r="AC20" s="5" t="n">
        <f aca="false">ROUND((X20+Y20/2+Z20/4)*10/AB20,0)</f>
        <v>6</v>
      </c>
      <c r="AD20" s="2" t="s">
        <v>15</v>
      </c>
      <c r="AE20" s="2" t="s">
        <v>17</v>
      </c>
      <c r="AF20" s="6" t="s">
        <v>17</v>
      </c>
    </row>
    <row r="21" s="1" customFormat="true" ht="15" hidden="false" customHeight="false" outlineLevel="0" collapsed="false">
      <c r="A21" s="1" t="n">
        <v>19</v>
      </c>
      <c r="B21" s="2" t="s">
        <v>70</v>
      </c>
      <c r="C21" s="2" t="s">
        <v>71</v>
      </c>
      <c r="D21" s="2" t="s">
        <v>72</v>
      </c>
      <c r="E21" s="1" t="s">
        <v>15</v>
      </c>
      <c r="G21" s="1" t="s">
        <v>15</v>
      </c>
      <c r="I21" s="2" t="s">
        <v>15</v>
      </c>
      <c r="J21" s="1" t="s">
        <v>15</v>
      </c>
      <c r="L21" s="1" t="s">
        <v>15</v>
      </c>
      <c r="N21" s="2" t="s">
        <v>17</v>
      </c>
      <c r="P21" s="1" t="s">
        <v>17</v>
      </c>
      <c r="R21" s="1" t="s">
        <v>15</v>
      </c>
      <c r="T21" s="1" t="s">
        <v>15</v>
      </c>
      <c r="V21" s="1" t="s">
        <v>15</v>
      </c>
      <c r="X21" s="2" t="n">
        <f aca="false">COUNTIF(E21:W21,"P")</f>
        <v>8</v>
      </c>
      <c r="Y21" s="2" t="n">
        <f aca="false">COUNTIF(E21:W21,"M")</f>
        <v>0</v>
      </c>
      <c r="Z21" s="2" t="n">
        <f aca="false">COUNTIF(E21:W21,"T")</f>
        <v>0</v>
      </c>
      <c r="AA21" s="2" t="n">
        <f aca="false">COUNTIF(E21:W21,"A")</f>
        <v>2</v>
      </c>
      <c r="AB21" s="2" t="n">
        <f aca="false">SUM(X21:AA21)</f>
        <v>10</v>
      </c>
      <c r="AC21" s="5" t="n">
        <f aca="false">ROUND((X21+Y21/2+Z21/4)*10/AB21,0)</f>
        <v>8</v>
      </c>
      <c r="AD21" s="1" t="s">
        <v>15</v>
      </c>
      <c r="AE21" s="1" t="s">
        <v>15</v>
      </c>
      <c r="AF21" s="1" t="s">
        <v>15</v>
      </c>
    </row>
    <row r="22" customFormat="false" ht="15" hidden="false" customHeight="false" outlineLevel="0" collapsed="false">
      <c r="A22" s="1" t="n">
        <v>20</v>
      </c>
      <c r="B22" s="2" t="s">
        <v>73</v>
      </c>
      <c r="C22" s="2" t="s">
        <v>74</v>
      </c>
      <c r="D22" s="2" t="s">
        <v>75</v>
      </c>
      <c r="E22" s="1" t="s">
        <v>15</v>
      </c>
      <c r="G22" s="2" t="s">
        <v>17</v>
      </c>
      <c r="I22" s="2" t="s">
        <v>15</v>
      </c>
      <c r="J22" s="2" t="s">
        <v>17</v>
      </c>
      <c r="L22" s="2" t="s">
        <v>17</v>
      </c>
      <c r="N22" s="2" t="s">
        <v>16</v>
      </c>
      <c r="O22" s="4" t="n">
        <v>0.625</v>
      </c>
      <c r="P22" s="2" t="s">
        <v>16</v>
      </c>
      <c r="Q22" s="4" t="n">
        <v>0.625</v>
      </c>
      <c r="R22" s="2" t="s">
        <v>17</v>
      </c>
      <c r="T22" s="2" t="s">
        <v>17</v>
      </c>
      <c r="V22" s="2" t="s">
        <v>17</v>
      </c>
      <c r="X22" s="2" t="n">
        <f aca="false">COUNTIF(E22:W22,"P")</f>
        <v>2</v>
      </c>
      <c r="Y22" s="2" t="n">
        <f aca="false">COUNTIF(E22:W22,"M")</f>
        <v>0</v>
      </c>
      <c r="Z22" s="2" t="n">
        <f aca="false">COUNTIF(E22:W22,"T")</f>
        <v>2</v>
      </c>
      <c r="AA22" s="2" t="n">
        <f aca="false">COUNTIF(E22:W22,"A")</f>
        <v>6</v>
      </c>
      <c r="AB22" s="2" t="n">
        <f aca="false">SUM(X22:AA22)</f>
        <v>10</v>
      </c>
      <c r="AC22" s="5" t="n">
        <f aca="false">ROUND((X22+Y22/2+Z22/4)*10/AB22,0)</f>
        <v>3</v>
      </c>
      <c r="AD22" s="2" t="s">
        <v>17</v>
      </c>
      <c r="AE22" s="2" t="s">
        <v>15</v>
      </c>
      <c r="AF22" s="6" t="s">
        <v>17</v>
      </c>
    </row>
    <row r="23" customFormat="false" ht="15" hidden="false" customHeight="false" outlineLevel="0" collapsed="false">
      <c r="A23" s="1" t="n">
        <v>21</v>
      </c>
      <c r="B23" s="2" t="s">
        <v>76</v>
      </c>
      <c r="C23" s="2" t="s">
        <v>77</v>
      </c>
      <c r="D23" s="2" t="s">
        <v>78</v>
      </c>
      <c r="E23" s="1" t="s">
        <v>15</v>
      </c>
      <c r="G23" s="2" t="s">
        <v>15</v>
      </c>
      <c r="H23" s="4" t="n">
        <v>0.611111111111111</v>
      </c>
      <c r="I23" s="2" t="s">
        <v>15</v>
      </c>
      <c r="J23" s="2" t="s">
        <v>15</v>
      </c>
      <c r="L23" s="2" t="s">
        <v>15</v>
      </c>
      <c r="N23" s="2" t="s">
        <v>17</v>
      </c>
      <c r="P23" s="2" t="s">
        <v>15</v>
      </c>
      <c r="R23" s="2" t="s">
        <v>15</v>
      </c>
      <c r="T23" s="2" t="s">
        <v>15</v>
      </c>
      <c r="V23" s="2" t="s">
        <v>15</v>
      </c>
      <c r="X23" s="2" t="n">
        <f aca="false">COUNTIF(E23:W23,"P")</f>
        <v>9</v>
      </c>
      <c r="Y23" s="2" t="n">
        <f aca="false">COUNTIF(E23:W23,"M")</f>
        <v>0</v>
      </c>
      <c r="Z23" s="2" t="n">
        <f aca="false">COUNTIF(E23:W23,"T")</f>
        <v>0</v>
      </c>
      <c r="AA23" s="2" t="n">
        <f aca="false">COUNTIF(E23:W23,"A")</f>
        <v>1</v>
      </c>
      <c r="AB23" s="2" t="n">
        <f aca="false">SUM(X23:AA23)</f>
        <v>10</v>
      </c>
      <c r="AC23" s="5" t="n">
        <f aca="false">ROUND((X23+Y23/2+Z23/4)*10/AB23,0)</f>
        <v>9</v>
      </c>
      <c r="AD23" s="2" t="s">
        <v>15</v>
      </c>
      <c r="AE23" s="2" t="s">
        <v>15</v>
      </c>
      <c r="AF23" s="6" t="s">
        <v>15</v>
      </c>
    </row>
    <row r="24" customFormat="false" ht="15" hidden="false" customHeight="false" outlineLevel="0" collapsed="false">
      <c r="A24" s="1" t="n">
        <v>22</v>
      </c>
      <c r="B24" s="2" t="s">
        <v>79</v>
      </c>
      <c r="C24" s="2" t="s">
        <v>80</v>
      </c>
      <c r="D24" s="2" t="s">
        <v>81</v>
      </c>
      <c r="E24" s="1" t="s">
        <v>15</v>
      </c>
      <c r="G24" s="2" t="s">
        <v>15</v>
      </c>
      <c r="I24" s="2" t="s">
        <v>15</v>
      </c>
      <c r="J24" s="2" t="s">
        <v>15</v>
      </c>
      <c r="L24" s="2" t="s">
        <v>15</v>
      </c>
      <c r="N24" s="2" t="s">
        <v>17</v>
      </c>
      <c r="P24" s="2" t="s">
        <v>17</v>
      </c>
      <c r="R24" s="2" t="s">
        <v>15</v>
      </c>
      <c r="T24" s="2" t="s">
        <v>16</v>
      </c>
      <c r="U24" s="4" t="n">
        <v>0.611111111111111</v>
      </c>
      <c r="V24" s="2" t="s">
        <v>15</v>
      </c>
      <c r="X24" s="2" t="n">
        <f aca="false">COUNTIF(E24:W24,"P")</f>
        <v>7</v>
      </c>
      <c r="Y24" s="2" t="n">
        <f aca="false">COUNTIF(E24:W24,"M")</f>
        <v>0</v>
      </c>
      <c r="Z24" s="2" t="n">
        <f aca="false">COUNTIF(E24:W24,"T")</f>
        <v>1</v>
      </c>
      <c r="AA24" s="2" t="n">
        <f aca="false">COUNTIF(E24:W24,"A")</f>
        <v>2</v>
      </c>
      <c r="AB24" s="2" t="n">
        <f aca="false">SUM(X24:AA24)</f>
        <v>10</v>
      </c>
      <c r="AC24" s="5" t="n">
        <f aca="false">ROUND((X24+Y24/2+Z24/4)*10/AB24,0)</f>
        <v>7</v>
      </c>
      <c r="AD24" s="2" t="s">
        <v>15</v>
      </c>
      <c r="AE24" s="2" t="s">
        <v>15</v>
      </c>
      <c r="AF24" s="6" t="s">
        <v>15</v>
      </c>
    </row>
    <row r="25" customFormat="false" ht="15" hidden="false" customHeight="false" outlineLevel="0" collapsed="false">
      <c r="A25" s="1" t="n">
        <v>23</v>
      </c>
      <c r="B25" s="2" t="s">
        <v>82</v>
      </c>
      <c r="C25" s="2" t="s">
        <v>83</v>
      </c>
      <c r="D25" s="2" t="s">
        <v>84</v>
      </c>
      <c r="E25" s="1" t="s">
        <v>15</v>
      </c>
      <c r="G25" s="2" t="s">
        <v>15</v>
      </c>
      <c r="I25" s="2" t="s">
        <v>15</v>
      </c>
      <c r="J25" s="2" t="s">
        <v>15</v>
      </c>
      <c r="L25" s="2" t="s">
        <v>15</v>
      </c>
      <c r="N25" s="2" t="s">
        <v>15</v>
      </c>
      <c r="O25" s="2" t="s">
        <v>85</v>
      </c>
      <c r="P25" s="2" t="s">
        <v>15</v>
      </c>
      <c r="R25" s="2" t="s">
        <v>15</v>
      </c>
      <c r="T25" s="2" t="s">
        <v>15</v>
      </c>
      <c r="V25" s="2" t="s">
        <v>15</v>
      </c>
      <c r="X25" s="2" t="n">
        <f aca="false">COUNTIF(E25:W25,"P")</f>
        <v>10</v>
      </c>
      <c r="Y25" s="2" t="n">
        <f aca="false">COUNTIF(E25:W25,"M")</f>
        <v>0</v>
      </c>
      <c r="Z25" s="2" t="n">
        <f aca="false">COUNTIF(E25:W25,"T")</f>
        <v>0</v>
      </c>
      <c r="AA25" s="2" t="n">
        <f aca="false">COUNTIF(E25:W25,"A")</f>
        <v>0</v>
      </c>
      <c r="AB25" s="2" t="n">
        <f aca="false">SUM(X25:AA25)</f>
        <v>10</v>
      </c>
      <c r="AC25" s="5" t="n">
        <f aca="false">ROUND((X25+Y25/2+Z25/4)*10/AB25,0)</f>
        <v>10</v>
      </c>
      <c r="AD25" s="2" t="s">
        <v>15</v>
      </c>
      <c r="AE25" s="2" t="s">
        <v>15</v>
      </c>
      <c r="AF25" s="6" t="s">
        <v>15</v>
      </c>
    </row>
    <row r="26" customFormat="false" ht="15" hidden="false" customHeight="false" outlineLevel="0" collapsed="false">
      <c r="A26" s="1" t="n">
        <v>24</v>
      </c>
      <c r="B26" s="2" t="s">
        <v>86</v>
      </c>
      <c r="C26" s="2" t="s">
        <v>87</v>
      </c>
      <c r="D26" s="2" t="s">
        <v>88</v>
      </c>
      <c r="E26" s="1" t="s">
        <v>15</v>
      </c>
      <c r="G26" s="2" t="s">
        <v>15</v>
      </c>
      <c r="I26" s="2" t="s">
        <v>15</v>
      </c>
      <c r="J26" s="2" t="s">
        <v>15</v>
      </c>
      <c r="L26" s="2" t="s">
        <v>15</v>
      </c>
      <c r="N26" s="2" t="s">
        <v>15</v>
      </c>
      <c r="P26" s="2" t="s">
        <v>15</v>
      </c>
      <c r="R26" s="2" t="s">
        <v>17</v>
      </c>
      <c r="T26" s="2" t="s">
        <v>15</v>
      </c>
      <c r="V26" s="2" t="s">
        <v>17</v>
      </c>
      <c r="X26" s="2" t="n">
        <f aca="false">COUNTIF(E26:W26,"P")</f>
        <v>8</v>
      </c>
      <c r="Y26" s="2" t="n">
        <f aca="false">COUNTIF(E26:W26,"M")</f>
        <v>0</v>
      </c>
      <c r="Z26" s="2" t="n">
        <f aca="false">COUNTIF(E26:W26,"T")</f>
        <v>0</v>
      </c>
      <c r="AA26" s="2" t="n">
        <f aca="false">COUNTIF(E26:W26,"A")</f>
        <v>2</v>
      </c>
      <c r="AB26" s="2" t="n">
        <f aca="false">SUM(X26:AA26)</f>
        <v>10</v>
      </c>
      <c r="AC26" s="5" t="n">
        <f aca="false">ROUND((X26+Y26/2+Z26/4)*10/AB26,0)</f>
        <v>8</v>
      </c>
      <c r="AD26" s="2" t="s">
        <v>15</v>
      </c>
      <c r="AE26" s="2" t="s">
        <v>15</v>
      </c>
      <c r="AF26" s="6" t="s">
        <v>15</v>
      </c>
    </row>
    <row r="27" customFormat="false" ht="15" hidden="false" customHeight="false" outlineLevel="0" collapsed="false">
      <c r="A27" s="1" t="n">
        <v>25</v>
      </c>
      <c r="B27" s="2" t="s">
        <v>89</v>
      </c>
      <c r="C27" s="2" t="s">
        <v>90</v>
      </c>
      <c r="D27" s="2" t="s">
        <v>91</v>
      </c>
      <c r="E27" s="1" t="s">
        <v>15</v>
      </c>
      <c r="G27" s="2" t="s">
        <v>15</v>
      </c>
      <c r="I27" s="2" t="s">
        <v>15</v>
      </c>
      <c r="J27" s="2" t="s">
        <v>17</v>
      </c>
      <c r="L27" s="2" t="s">
        <v>16</v>
      </c>
      <c r="M27" s="4" t="n">
        <v>0.618055555555556</v>
      </c>
      <c r="N27" s="2" t="s">
        <v>16</v>
      </c>
      <c r="O27" s="4" t="n">
        <v>0.631944444444444</v>
      </c>
      <c r="P27" s="2" t="s">
        <v>17</v>
      </c>
      <c r="R27" s="2" t="s">
        <v>15</v>
      </c>
      <c r="T27" s="2" t="s">
        <v>15</v>
      </c>
      <c r="V27" s="2" t="s">
        <v>15</v>
      </c>
      <c r="X27" s="2" t="n">
        <f aca="false">COUNTIF(E27:W27,"P")</f>
        <v>6</v>
      </c>
      <c r="Y27" s="2" t="n">
        <f aca="false">COUNTIF(E27:W27,"M")</f>
        <v>0</v>
      </c>
      <c r="Z27" s="2" t="n">
        <f aca="false">COUNTIF(E27:W27,"T")</f>
        <v>2</v>
      </c>
      <c r="AA27" s="2" t="n">
        <f aca="false">COUNTIF(E27:W27,"A")</f>
        <v>2</v>
      </c>
      <c r="AB27" s="2" t="n">
        <f aca="false">SUM(X27:AA27)</f>
        <v>10</v>
      </c>
      <c r="AC27" s="5" t="n">
        <f aca="false">ROUND((X27+Y27/2+Z27/4)*10/AB27,0)</f>
        <v>7</v>
      </c>
      <c r="AD27" s="2" t="s">
        <v>15</v>
      </c>
      <c r="AE27" s="2" t="s">
        <v>15</v>
      </c>
      <c r="AF27" s="6" t="s">
        <v>15</v>
      </c>
    </row>
    <row r="28" customFormat="false" ht="15" hidden="false" customHeight="false" outlineLevel="0" collapsed="false">
      <c r="A28" s="1" t="n">
        <v>26</v>
      </c>
      <c r="B28" s="2" t="s">
        <v>92</v>
      </c>
      <c r="C28" s="2" t="s">
        <v>93</v>
      </c>
      <c r="D28" s="2" t="s">
        <v>94</v>
      </c>
      <c r="E28" s="1" t="s">
        <v>15</v>
      </c>
      <c r="G28" s="2" t="s">
        <v>17</v>
      </c>
      <c r="I28" s="2" t="s">
        <v>15</v>
      </c>
      <c r="J28" s="2" t="s">
        <v>14</v>
      </c>
      <c r="K28" s="4" t="n">
        <v>0.597222222222222</v>
      </c>
      <c r="L28" s="2" t="s">
        <v>17</v>
      </c>
      <c r="N28" s="2" t="s">
        <v>16</v>
      </c>
      <c r="O28" s="4" t="n">
        <v>0.611111111111111</v>
      </c>
      <c r="P28" s="2" t="s">
        <v>16</v>
      </c>
      <c r="Q28" s="4" t="n">
        <v>0.611111111111111</v>
      </c>
      <c r="R28" s="2" t="s">
        <v>17</v>
      </c>
      <c r="T28" s="2" t="s">
        <v>15</v>
      </c>
      <c r="V28" s="2" t="s">
        <v>16</v>
      </c>
      <c r="W28" s="4" t="n">
        <v>0.611111111111111</v>
      </c>
      <c r="X28" s="2" t="n">
        <f aca="false">COUNTIF(E28:W28,"P")</f>
        <v>3</v>
      </c>
      <c r="Y28" s="2" t="n">
        <f aca="false">COUNTIF(E28:W28,"M")</f>
        <v>1</v>
      </c>
      <c r="Z28" s="2" t="n">
        <f aca="false">COUNTIF(E28:W28,"T")</f>
        <v>3</v>
      </c>
      <c r="AA28" s="2" t="n">
        <f aca="false">COUNTIF(E28:W28,"A")</f>
        <v>3</v>
      </c>
      <c r="AB28" s="2" t="n">
        <f aca="false">SUM(X28:AA28)</f>
        <v>10</v>
      </c>
      <c r="AC28" s="5" t="n">
        <f aca="false">ROUND((X28+Y28/2+Z28/4)*10/AB28,0)</f>
        <v>4</v>
      </c>
      <c r="AD28" s="2" t="s">
        <v>15</v>
      </c>
      <c r="AE28" s="2" t="s">
        <v>15</v>
      </c>
      <c r="AF28" s="6" t="s">
        <v>15</v>
      </c>
    </row>
    <row r="29" customFormat="false" ht="15" hidden="false" customHeight="false" outlineLevel="0" collapsed="false">
      <c r="C29" s="1" t="s">
        <v>5</v>
      </c>
      <c r="E29" s="1" t="n">
        <f aca="false">COUNTIF(E3:E28,"p")</f>
        <v>22</v>
      </c>
      <c r="G29" s="1" t="n">
        <f aca="false">COUNTIF(G3:G28,"p")</f>
        <v>18</v>
      </c>
      <c r="J29" s="1" t="n">
        <f aca="false">COUNTIF(J3:J28,"p")</f>
        <v>19</v>
      </c>
      <c r="L29" s="1" t="n">
        <f aca="false">COUNTIF(L3:L28,"p")</f>
        <v>15</v>
      </c>
      <c r="N29" s="1" t="n">
        <f aca="false">COUNTIF(N3:N28,"p")</f>
        <v>10</v>
      </c>
      <c r="P29" s="1" t="n">
        <f aca="false">COUNTIF(P3:P28,"p")</f>
        <v>11</v>
      </c>
      <c r="R29" s="1" t="n">
        <f aca="false">COUNTIF(R3:R28,"p")</f>
        <v>15</v>
      </c>
      <c r="T29" s="1" t="n">
        <f aca="false">COUNTIF(T3:T28,"p")</f>
        <v>17</v>
      </c>
      <c r="U29" s="1"/>
      <c r="V29" s="1" t="n">
        <f aca="false">COUNTIF(V3:V28,"p")</f>
        <v>13</v>
      </c>
      <c r="W29" s="1"/>
      <c r="AD29" s="1" t="n">
        <f aca="false">COUNTIF(AD3:AD28,"p")</f>
        <v>24</v>
      </c>
      <c r="AE29" s="1" t="n">
        <f aca="false">COUNTIF(AE3:AE28,"p")</f>
        <v>21</v>
      </c>
      <c r="AF29" s="1" t="n">
        <f aca="false">COUNTIF(AF3:AF28,"p")</f>
        <v>20</v>
      </c>
    </row>
    <row r="30" customFormat="false" ht="15" hidden="false" customHeight="false" outlineLevel="0" collapsed="false">
      <c r="C30" s="1" t="s">
        <v>95</v>
      </c>
      <c r="E30" s="1" t="n">
        <f aca="false">COUNTIF(E3:E28,"M")</f>
        <v>2</v>
      </c>
      <c r="G30" s="1" t="n">
        <f aca="false">COUNTIF(G3:G28,"M")</f>
        <v>5</v>
      </c>
      <c r="J30" s="1" t="n">
        <f aca="false">COUNTIF(J3:J28,"M")</f>
        <v>1</v>
      </c>
      <c r="L30" s="1" t="n">
        <f aca="false">COUNTIF(L3:L28,"M")</f>
        <v>0</v>
      </c>
      <c r="N30" s="1" t="n">
        <f aca="false">COUNTIF(N3:N28,"M")</f>
        <v>0</v>
      </c>
      <c r="P30" s="1" t="n">
        <f aca="false">COUNTIF(P3:P28,"M")</f>
        <v>0</v>
      </c>
      <c r="R30" s="1" t="n">
        <f aca="false">COUNTIF(R3:R28,"M")</f>
        <v>0</v>
      </c>
      <c r="T30" s="1" t="n">
        <f aca="false">COUNTIF(T3:T28,"M")</f>
        <v>0</v>
      </c>
      <c r="U30" s="1"/>
      <c r="V30" s="1" t="n">
        <f aca="false">COUNTIF(V3:V28,"M")</f>
        <v>1</v>
      </c>
      <c r="W30" s="1"/>
      <c r="AD30" s="1" t="n">
        <f aca="false">COUNTIF(AD3:AD28,"M")</f>
        <v>0</v>
      </c>
      <c r="AE30" s="1" t="n">
        <f aca="false">COUNTIF(AE3:AE28,"M")</f>
        <v>0</v>
      </c>
      <c r="AF30" s="1" t="n">
        <f aca="false">COUNTIF(AF3:AF28,"M")</f>
        <v>0</v>
      </c>
    </row>
    <row r="31" customFormat="false" ht="15" hidden="false" customHeight="false" outlineLevel="0" collapsed="false">
      <c r="C31" s="1" t="s">
        <v>96</v>
      </c>
      <c r="E31" s="1" t="n">
        <f aca="false">COUNTIF(E3:E28,"T")</f>
        <v>0</v>
      </c>
      <c r="G31" s="1" t="n">
        <f aca="false">COUNTIF(G3:G28,"T")</f>
        <v>0</v>
      </c>
      <c r="J31" s="1" t="n">
        <f aca="false">COUNTIF(J3:J28,"T")</f>
        <v>0</v>
      </c>
      <c r="L31" s="1" t="n">
        <f aca="false">COUNTIF(L3:L28,"T")</f>
        <v>6</v>
      </c>
      <c r="N31" s="1" t="n">
        <f aca="false">COUNTIF(N3:N28,"T")</f>
        <v>9</v>
      </c>
      <c r="P31" s="1" t="n">
        <f aca="false">COUNTIF(P3:P28,"T")</f>
        <v>9</v>
      </c>
      <c r="R31" s="1" t="n">
        <f aca="false">COUNTIF(R3:R28,"T")</f>
        <v>3</v>
      </c>
      <c r="T31" s="1" t="n">
        <f aca="false">COUNTIF(T3:T28,"T")</f>
        <v>4</v>
      </c>
      <c r="U31" s="1"/>
      <c r="V31" s="1" t="n">
        <f aca="false">COUNTIF(V3:V28,"T")</f>
        <v>2</v>
      </c>
      <c r="W31" s="1"/>
      <c r="AD31" s="1" t="n">
        <f aca="false">COUNTIF(AD3:AD28,"T")</f>
        <v>0</v>
      </c>
      <c r="AE31" s="1" t="n">
        <f aca="false">COUNTIF(AE3:AE28,"T")</f>
        <v>0</v>
      </c>
      <c r="AF31" s="1" t="n">
        <f aca="false">COUNTIF(AF3:AF28,"T")</f>
        <v>0</v>
      </c>
    </row>
    <row r="32" customFormat="false" ht="15" hidden="false" customHeight="false" outlineLevel="0" collapsed="false">
      <c r="C32" s="1" t="s">
        <v>9</v>
      </c>
      <c r="E32" s="1" t="n">
        <f aca="false">SUM(E29:E31)</f>
        <v>24</v>
      </c>
      <c r="G32" s="1" t="n">
        <f aca="false">SUM(G29:G31)</f>
        <v>23</v>
      </c>
      <c r="J32" s="1" t="n">
        <f aca="false">SUM(J29:J31)</f>
        <v>20</v>
      </c>
      <c r="L32" s="1" t="n">
        <f aca="false">SUM(L29:L31)</f>
        <v>21</v>
      </c>
      <c r="N32" s="1" t="n">
        <f aca="false">SUM(N29:N31)</f>
        <v>19</v>
      </c>
      <c r="P32" s="1" t="n">
        <f aca="false">SUM(P29:P31)</f>
        <v>20</v>
      </c>
      <c r="R32" s="1" t="n">
        <f aca="false">SUM(R29:R31)</f>
        <v>18</v>
      </c>
      <c r="T32" s="1" t="n">
        <f aca="false">SUM(T29:T31)</f>
        <v>21</v>
      </c>
      <c r="U32" s="1"/>
      <c r="V32" s="1" t="n">
        <f aca="false">SUM(V29:V31)</f>
        <v>16</v>
      </c>
      <c r="W32" s="1"/>
      <c r="AD32" s="1" t="n">
        <f aca="false">SUM(AD29:AD31)</f>
        <v>24</v>
      </c>
      <c r="AE32" s="1" t="n">
        <f aca="false">SUM(AE29:AE31)</f>
        <v>21</v>
      </c>
      <c r="AF32" s="1" t="n">
        <f aca="false">SUM(AF29:AF31)</f>
        <v>20</v>
      </c>
    </row>
  </sheetData>
  <conditionalFormatting sqref="AC3:AC28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7" activeCellId="0" sqref="E17"/>
    </sheetView>
  </sheetViews>
  <sheetFormatPr defaultColWidth="9.71484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54"/>
    <col collapsed="false" customWidth="true" hidden="false" outlineLevel="0" max="16384" min="16304" style="1" width="10.58"/>
  </cols>
  <sheetData>
    <row r="1" customFormat="false" ht="15" hidden="false" customHeight="false" outlineLevel="0" collapsed="false">
      <c r="B1" s="2" t="s">
        <v>2</v>
      </c>
      <c r="C1" s="1" t="s">
        <v>97</v>
      </c>
      <c r="D1" s="1" t="s">
        <v>98</v>
      </c>
      <c r="E1" s="1" t="s">
        <v>99</v>
      </c>
      <c r="F1" s="1" t="s">
        <v>98</v>
      </c>
      <c r="G1" s="1" t="s">
        <v>100</v>
      </c>
      <c r="H1" s="1" t="s">
        <v>98</v>
      </c>
      <c r="I1" s="1" t="s">
        <v>101</v>
      </c>
      <c r="J1" s="1" t="s">
        <v>98</v>
      </c>
      <c r="K1" s="1" t="s">
        <v>102</v>
      </c>
      <c r="L1" s="1" t="s">
        <v>10</v>
      </c>
      <c r="M1" s="1" t="s">
        <v>103</v>
      </c>
    </row>
    <row r="2" customFormat="false" ht="15" hidden="false" customHeight="false" outlineLevel="0" collapsed="false">
      <c r="A2" s="1" t="n">
        <v>1</v>
      </c>
      <c r="B2" s="2" t="s">
        <v>12</v>
      </c>
      <c r="C2" s="5" t="n">
        <v>9</v>
      </c>
      <c r="E2" s="1" t="n">
        <v>9</v>
      </c>
      <c r="G2" s="1" t="n">
        <v>8</v>
      </c>
      <c r="I2" s="1" t="n">
        <v>9</v>
      </c>
      <c r="K2" s="1" t="n">
        <v>4</v>
      </c>
      <c r="L2" s="1" t="n">
        <f aca="false">ROUND(AVERAGE(C2,E2,G2,I2,K2),0)</f>
        <v>8</v>
      </c>
      <c r="M2" s="1" t="str">
        <f aca="false">IF(L2&gt;6,"TEA",IF(L2&gt;3,"TEP","TED"))</f>
        <v>TEA</v>
      </c>
    </row>
    <row r="3" customFormat="false" ht="15" hidden="false" customHeight="false" outlineLevel="0" collapsed="false">
      <c r="A3" s="1" t="n">
        <v>2</v>
      </c>
      <c r="B3" s="7" t="s">
        <v>19</v>
      </c>
      <c r="C3" s="5" t="n">
        <v>6</v>
      </c>
      <c r="E3" s="1" t="n">
        <v>6</v>
      </c>
      <c r="G3" s="1" t="n">
        <v>8</v>
      </c>
      <c r="I3" s="1" t="n">
        <v>10</v>
      </c>
      <c r="K3" s="1" t="n">
        <v>8</v>
      </c>
      <c r="L3" s="1" t="n">
        <f aca="false">ROUND(AVERAGE(C3,E3,G3,I3,K3),0)</f>
        <v>8</v>
      </c>
      <c r="M3" s="1" t="str">
        <f aca="false">IF(L3&gt;6,"TEA",IF(L3&gt;3,"TEP","TED"))</f>
        <v>TEA</v>
      </c>
    </row>
    <row r="4" customFormat="false" ht="15" hidden="false" customHeight="false" outlineLevel="0" collapsed="false">
      <c r="A4" s="1" t="n">
        <v>3</v>
      </c>
      <c r="B4" s="2" t="s">
        <v>104</v>
      </c>
      <c r="C4" s="5" t="n">
        <v>9</v>
      </c>
      <c r="E4" s="1" t="n">
        <v>9</v>
      </c>
      <c r="G4" s="1" t="n">
        <v>7</v>
      </c>
      <c r="I4" s="1" t="n">
        <v>9</v>
      </c>
      <c r="K4" s="1" t="n">
        <v>6</v>
      </c>
      <c r="L4" s="1" t="n">
        <f aca="false">ROUND(AVERAGE(C4,E4,G4,I4,K4),0)</f>
        <v>8</v>
      </c>
      <c r="M4" s="1" t="str">
        <f aca="false">IF(L4&gt;6,"TEA",IF(L4&gt;3,"TEP","TED"))</f>
        <v>TEA</v>
      </c>
    </row>
    <row r="5" customFormat="false" ht="15" hidden="false" customHeight="false" outlineLevel="0" collapsed="false">
      <c r="A5" s="1" t="n">
        <v>4</v>
      </c>
      <c r="B5" s="2" t="s">
        <v>25</v>
      </c>
      <c r="C5" s="5" t="n">
        <v>7</v>
      </c>
      <c r="E5" s="1" t="n">
        <v>7</v>
      </c>
      <c r="G5" s="1" t="n">
        <v>7</v>
      </c>
      <c r="I5" s="1" t="n">
        <v>9</v>
      </c>
      <c r="K5" s="1" t="n">
        <v>3</v>
      </c>
      <c r="L5" s="1" t="n">
        <f aca="false">ROUND(AVERAGE(C5,E5,G5,I5,K5),0)</f>
        <v>7</v>
      </c>
      <c r="M5" s="1" t="str">
        <f aca="false">IF(L5&gt;6,"TEA",IF(L5&gt;3,"TEP","TED"))</f>
        <v>TEA</v>
      </c>
    </row>
    <row r="6" customFormat="false" ht="15" hidden="false" customHeight="false" outlineLevel="0" collapsed="false">
      <c r="A6" s="1" t="n">
        <v>5</v>
      </c>
      <c r="B6" s="2" t="s">
        <v>28</v>
      </c>
      <c r="C6" s="5" t="n">
        <v>10</v>
      </c>
      <c r="E6" s="1" t="n">
        <v>10</v>
      </c>
      <c r="G6" s="1" t="n">
        <v>8</v>
      </c>
      <c r="I6" s="1" t="n">
        <v>10</v>
      </c>
      <c r="K6" s="1" t="n">
        <v>7</v>
      </c>
      <c r="L6" s="1" t="n">
        <f aca="false">ROUND(AVERAGE(C6,E6,G6,I6,K6),0)</f>
        <v>9</v>
      </c>
      <c r="M6" s="1" t="str">
        <f aca="false">IF(L6&gt;6,"TEA",IF(L6&gt;3,"TEP","TED"))</f>
        <v>TEA</v>
      </c>
    </row>
    <row r="7" customFormat="false" ht="15" hidden="false" customHeight="false" outlineLevel="0" collapsed="false">
      <c r="A7" s="1" t="n">
        <v>6</v>
      </c>
      <c r="B7" s="2" t="s">
        <v>31</v>
      </c>
      <c r="C7" s="5" t="n">
        <v>1</v>
      </c>
      <c r="E7" s="1" t="n">
        <v>1</v>
      </c>
      <c r="G7" s="1" t="n">
        <v>6</v>
      </c>
      <c r="I7" s="1" t="n">
        <v>1</v>
      </c>
      <c r="K7" s="1" t="n">
        <v>4</v>
      </c>
      <c r="L7" s="1" t="n">
        <f aca="false">ROUND(AVERAGE(C7,E7,G7,I7,K7),0)</f>
        <v>3</v>
      </c>
      <c r="M7" s="1" t="str">
        <f aca="false">IF(L7&gt;6,"TEA",IF(L7&gt;3,"TEP","TED"))</f>
        <v>TED</v>
      </c>
    </row>
    <row r="8" customFormat="false" ht="15" hidden="false" customHeight="false" outlineLevel="0" collapsed="false">
      <c r="A8" s="1" t="n">
        <v>7</v>
      </c>
      <c r="B8" s="2" t="s">
        <v>34</v>
      </c>
      <c r="C8" s="5" t="n">
        <v>8</v>
      </c>
      <c r="E8" s="1" t="n">
        <v>8</v>
      </c>
      <c r="G8" s="1" t="n">
        <v>9</v>
      </c>
      <c r="I8" s="1" t="n">
        <v>10</v>
      </c>
      <c r="K8" s="1" t="n">
        <v>8</v>
      </c>
      <c r="L8" s="1" t="n">
        <f aca="false">ROUND(AVERAGE(C8,E8,G8,I8,K8),0)</f>
        <v>9</v>
      </c>
      <c r="M8" s="1" t="str">
        <f aca="false">IF(L8&gt;6,"TEA",IF(L8&gt;3,"TEP","TED"))</f>
        <v>TEA</v>
      </c>
    </row>
    <row r="9" customFormat="false" ht="15" hidden="false" customHeight="false" outlineLevel="0" collapsed="false">
      <c r="A9" s="1" t="n">
        <v>8</v>
      </c>
      <c r="B9" s="2" t="s">
        <v>37</v>
      </c>
      <c r="C9" s="5" t="n">
        <v>9</v>
      </c>
      <c r="E9" s="1" t="n">
        <v>9</v>
      </c>
      <c r="G9" s="1" t="n">
        <v>7</v>
      </c>
      <c r="I9" s="1" t="n">
        <v>10</v>
      </c>
      <c r="K9" s="1" t="n">
        <v>9</v>
      </c>
      <c r="L9" s="1" t="n">
        <f aca="false">ROUND(AVERAGE(C9,E9,G9,I9,K9),0)</f>
        <v>9</v>
      </c>
      <c r="M9" s="1" t="str">
        <f aca="false">IF(L9&gt;6,"TEA",IF(L9&gt;3,"TEP","TED"))</f>
        <v>TEA</v>
      </c>
    </row>
    <row r="10" customFormat="false" ht="15" hidden="false" customHeight="false" outlineLevel="0" collapsed="false">
      <c r="A10" s="1" t="n">
        <v>9</v>
      </c>
      <c r="B10" s="2" t="s">
        <v>40</v>
      </c>
      <c r="C10" s="5" t="n">
        <v>10</v>
      </c>
      <c r="E10" s="1" t="n">
        <v>10</v>
      </c>
      <c r="G10" s="1" t="n">
        <v>10</v>
      </c>
      <c r="I10" s="1" t="n">
        <v>10</v>
      </c>
      <c r="K10" s="1" t="n">
        <v>9</v>
      </c>
      <c r="L10" s="1" t="n">
        <f aca="false">ROUND(AVERAGE(C10,E10,G10,I10,K10),0)</f>
        <v>10</v>
      </c>
      <c r="M10" s="1" t="str">
        <f aca="false">IF(L10&gt;6,"TEA",IF(L10&gt;3,"TEP","TED"))</f>
        <v>TEA</v>
      </c>
    </row>
    <row r="11" s="1" customFormat="true" ht="15" hidden="false" customHeight="false" outlineLevel="0" collapsed="false">
      <c r="A11" s="1" t="n">
        <v>10</v>
      </c>
      <c r="B11" s="2" t="s">
        <v>105</v>
      </c>
      <c r="C11" s="5" t="n">
        <v>8</v>
      </c>
      <c r="E11" s="1" t="n">
        <v>8</v>
      </c>
      <c r="G11" s="1" t="n">
        <v>8</v>
      </c>
      <c r="I11" s="1" t="n">
        <v>1</v>
      </c>
      <c r="K11" s="1" t="n">
        <v>7</v>
      </c>
      <c r="L11" s="1" t="n">
        <f aca="false">ROUND(AVERAGE(C11,E11,G11,I11,K11),0)</f>
        <v>6</v>
      </c>
      <c r="M11" s="1" t="str">
        <f aca="false">IF(L11&gt;6,"TEA",IF(L11&gt;3,"TEP","TED"))</f>
        <v>TEP</v>
      </c>
    </row>
    <row r="12" s="1" customFormat="true" ht="15" hidden="false" customHeight="false" outlineLevel="0" collapsed="false">
      <c r="A12" s="1" t="n">
        <v>11</v>
      </c>
      <c r="B12" s="2" t="s">
        <v>46</v>
      </c>
      <c r="C12" s="5" t="n">
        <v>10</v>
      </c>
      <c r="E12" s="1" t="n">
        <v>10</v>
      </c>
      <c r="G12" s="1" t="n">
        <v>8</v>
      </c>
      <c r="I12" s="1" t="n">
        <v>8</v>
      </c>
      <c r="K12" s="1" t="n">
        <v>9</v>
      </c>
      <c r="L12" s="1" t="n">
        <f aca="false">ROUND(AVERAGE(C12,E12,G12,I12,K12),0)</f>
        <v>9</v>
      </c>
      <c r="M12" s="1" t="str">
        <f aca="false">IF(L12&gt;6,"TEA",IF(L12&gt;3,"TEP","TED"))</f>
        <v>TEA</v>
      </c>
    </row>
    <row r="13" s="1" customFormat="true" ht="15" hidden="false" customHeight="false" outlineLevel="0" collapsed="false">
      <c r="A13" s="1" t="n">
        <v>12</v>
      </c>
      <c r="B13" s="2" t="s">
        <v>49</v>
      </c>
      <c r="C13" s="5" t="n">
        <v>9</v>
      </c>
      <c r="E13" s="1" t="n">
        <v>9</v>
      </c>
      <c r="G13" s="1" t="n">
        <v>8</v>
      </c>
      <c r="I13" s="1" t="n">
        <v>1</v>
      </c>
      <c r="K13" s="1" t="n">
        <v>4</v>
      </c>
      <c r="L13" s="1" t="n">
        <f aca="false">ROUND(AVERAGE(C13,E13,G13,I13,K13),0)</f>
        <v>6</v>
      </c>
      <c r="M13" s="1" t="str">
        <f aca="false">IF(L13&gt;6,"TEA",IF(L13&gt;3,"TEP","TED"))</f>
        <v>TEP</v>
      </c>
    </row>
    <row r="14" s="1" customFormat="true" ht="14.9" hidden="false" customHeight="true" outlineLevel="0" collapsed="false">
      <c r="A14" s="1" t="n">
        <v>13</v>
      </c>
      <c r="B14" s="2" t="s">
        <v>106</v>
      </c>
      <c r="C14" s="5" t="n">
        <v>9</v>
      </c>
      <c r="E14" s="1" t="n">
        <v>9</v>
      </c>
      <c r="G14" s="1" t="n">
        <v>9</v>
      </c>
      <c r="I14" s="1" t="n">
        <v>10</v>
      </c>
      <c r="K14" s="1" t="n">
        <v>8</v>
      </c>
      <c r="L14" s="1" t="n">
        <f aca="false">ROUND(AVERAGE(C14,E14,G14,I14,K14),0)</f>
        <v>9</v>
      </c>
      <c r="M14" s="1" t="str">
        <f aca="false">IF(L14&gt;6,"TEA",IF(L14&gt;3,"TEP","TED"))</f>
        <v>TEA</v>
      </c>
    </row>
    <row r="15" s="1" customFormat="true" ht="15.5" hidden="false" customHeight="false" outlineLevel="0" collapsed="false">
      <c r="A15" s="1" t="n">
        <v>14</v>
      </c>
      <c r="B15" s="2" t="s">
        <v>55</v>
      </c>
      <c r="C15" s="5" t="n">
        <v>10</v>
      </c>
      <c r="E15" s="1" t="n">
        <v>10</v>
      </c>
      <c r="G15" s="1" t="n">
        <v>8</v>
      </c>
      <c r="I15" s="1" t="n">
        <v>10</v>
      </c>
      <c r="K15" s="1" t="n">
        <v>9</v>
      </c>
      <c r="L15" s="1" t="n">
        <f aca="false">ROUND(AVERAGE(C15,E15,G15,I15,K15),0)</f>
        <v>9</v>
      </c>
      <c r="M15" s="1" t="str">
        <f aca="false">IF(L15&gt;6,"TEA",IF(L15&gt;3,"TEP","TED"))</f>
        <v>TEA</v>
      </c>
    </row>
    <row r="16" s="1" customFormat="true" ht="15.5" hidden="false" customHeight="false" outlineLevel="0" collapsed="false">
      <c r="A16" s="1" t="n">
        <v>15</v>
      </c>
      <c r="B16" s="2" t="s">
        <v>107</v>
      </c>
      <c r="C16" s="5" t="n">
        <v>8</v>
      </c>
      <c r="D16" s="3" t="n">
        <v>46171</v>
      </c>
      <c r="E16" s="1" t="n">
        <v>9</v>
      </c>
      <c r="F16" s="3" t="n">
        <v>46171</v>
      </c>
      <c r="G16" s="1" t="n">
        <v>6</v>
      </c>
      <c r="H16" s="3" t="n">
        <v>46171</v>
      </c>
      <c r="I16" s="1" t="n">
        <v>10</v>
      </c>
      <c r="J16" s="3" t="n">
        <v>46171</v>
      </c>
      <c r="K16" s="1" t="n">
        <v>8</v>
      </c>
      <c r="L16" s="1" t="n">
        <f aca="false">ROUND(AVERAGE(C16,E16,G16,I16,K16),0)</f>
        <v>8</v>
      </c>
      <c r="M16" s="1" t="str">
        <f aca="false">IF(L16&gt;6,"TEA",IF(L16&gt;3,"TEP","TED"))</f>
        <v>TEA</v>
      </c>
    </row>
    <row r="17" s="1" customFormat="true" ht="15.5" hidden="false" customHeight="false" outlineLevel="0" collapsed="false">
      <c r="A17" s="1" t="n">
        <v>16</v>
      </c>
      <c r="B17" s="2" t="s">
        <v>61</v>
      </c>
      <c r="C17" s="5" t="n">
        <v>6</v>
      </c>
      <c r="D17" s="3" t="n">
        <v>46171</v>
      </c>
      <c r="E17" s="1" t="n">
        <v>1</v>
      </c>
      <c r="G17" s="1" t="n">
        <v>7</v>
      </c>
      <c r="I17" s="1" t="n">
        <v>8</v>
      </c>
      <c r="K17" s="1" t="n">
        <v>7</v>
      </c>
      <c r="L17" s="1" t="n">
        <f aca="false">ROUND(AVERAGE(C17,E17,G17,I17,K17),0)</f>
        <v>6</v>
      </c>
      <c r="M17" s="1" t="str">
        <f aca="false">IF(L17&gt;6,"TEA",IF(L17&gt;3,"TEP","TED"))</f>
        <v>TEP</v>
      </c>
    </row>
    <row r="18" s="1" customFormat="true" ht="15.5" hidden="false" customHeight="false" outlineLevel="0" collapsed="false">
      <c r="A18" s="1" t="n">
        <v>17</v>
      </c>
      <c r="B18" s="2" t="s">
        <v>64</v>
      </c>
      <c r="C18" s="5" t="n">
        <v>8</v>
      </c>
      <c r="E18" s="1" t="n">
        <v>8</v>
      </c>
      <c r="G18" s="1" t="n">
        <v>7</v>
      </c>
      <c r="I18" s="1" t="n">
        <v>10</v>
      </c>
      <c r="K18" s="1" t="n">
        <v>8</v>
      </c>
      <c r="L18" s="1" t="n">
        <f aca="false">ROUND(AVERAGE(C18,E18,G18,I18,K18),0)</f>
        <v>8</v>
      </c>
      <c r="M18" s="1" t="str">
        <f aca="false">IF(L18&gt;6,"TEA",IF(L18&gt;3,"TEP","TED"))</f>
        <v>TEA</v>
      </c>
    </row>
    <row r="19" s="1" customFormat="true" ht="15.5" hidden="false" customHeight="false" outlineLevel="0" collapsed="false">
      <c r="A19" s="1" t="n">
        <v>18</v>
      </c>
      <c r="B19" s="2" t="s">
        <v>68</v>
      </c>
      <c r="C19" s="5" t="n">
        <v>9</v>
      </c>
      <c r="E19" s="1" t="n">
        <v>9</v>
      </c>
      <c r="G19" s="1" t="n">
        <v>1</v>
      </c>
      <c r="I19" s="1" t="n">
        <v>1</v>
      </c>
      <c r="K19" s="1" t="n">
        <v>6</v>
      </c>
      <c r="L19" s="1" t="n">
        <f aca="false">ROUND(AVERAGE(C19,E19,G19,I19,K19),0)</f>
        <v>5</v>
      </c>
      <c r="M19" s="1" t="str">
        <f aca="false">IF(L19&gt;6,"TEA",IF(L19&gt;3,"TEP","TED"))</f>
        <v>TEP</v>
      </c>
    </row>
    <row r="20" s="1" customFormat="true" ht="15.5" hidden="false" customHeight="false" outlineLevel="0" collapsed="false">
      <c r="A20" s="1" t="n">
        <v>19</v>
      </c>
      <c r="B20" s="2" t="s">
        <v>71</v>
      </c>
      <c r="C20" s="5" t="n">
        <v>8</v>
      </c>
      <c r="D20" s="3" t="n">
        <v>46132</v>
      </c>
      <c r="E20" s="1" t="n">
        <v>9</v>
      </c>
      <c r="F20" s="3" t="n">
        <v>46132</v>
      </c>
      <c r="G20" s="1" t="n">
        <v>9</v>
      </c>
      <c r="I20" s="1" t="n">
        <v>1</v>
      </c>
      <c r="K20" s="1" t="n">
        <v>8</v>
      </c>
      <c r="L20" s="1" t="n">
        <f aca="false">ROUND(AVERAGE(C20,E20,G20,I20,K20),0)</f>
        <v>7</v>
      </c>
      <c r="M20" s="1" t="str">
        <f aca="false">IF(L20&gt;6,"TEA",IF(L20&gt;3,"TEP","TED"))</f>
        <v>TEA</v>
      </c>
    </row>
    <row r="21" s="1" customFormat="true" ht="21.2" hidden="false" customHeight="true" outlineLevel="0" collapsed="false">
      <c r="A21" s="1" t="n">
        <v>20</v>
      </c>
      <c r="B21" s="2" t="s">
        <v>74</v>
      </c>
      <c r="C21" s="5" t="n">
        <v>1</v>
      </c>
      <c r="E21" s="1" t="n">
        <v>1</v>
      </c>
      <c r="G21" s="1" t="n">
        <v>1</v>
      </c>
      <c r="I21" s="1" t="n">
        <v>10</v>
      </c>
      <c r="K21" s="1" t="n">
        <v>3</v>
      </c>
      <c r="L21" s="1" t="n">
        <f aca="false">ROUND(AVERAGE(C21,E21,G21,I21,K21),0)</f>
        <v>3</v>
      </c>
      <c r="M21" s="1" t="str">
        <f aca="false">IF(L21&gt;6,"TEA",IF(L21&gt;3,"TEP","TED"))</f>
        <v>TED</v>
      </c>
    </row>
    <row r="22" s="1" customFormat="true" ht="15.5" hidden="false" customHeight="false" outlineLevel="0" collapsed="false">
      <c r="A22" s="1" t="n">
        <v>21</v>
      </c>
      <c r="B22" s="2" t="s">
        <v>77</v>
      </c>
      <c r="C22" s="5" t="n">
        <v>9</v>
      </c>
      <c r="E22" s="1" t="n">
        <v>9</v>
      </c>
      <c r="G22" s="1" t="n">
        <v>9</v>
      </c>
      <c r="I22" s="1" t="n">
        <v>9</v>
      </c>
      <c r="K22" s="1" t="n">
        <v>9</v>
      </c>
      <c r="L22" s="1" t="n">
        <f aca="false">ROUND(AVERAGE(C22,E22,G22,I22,K22),0)</f>
        <v>9</v>
      </c>
      <c r="M22" s="1" t="str">
        <f aca="false">IF(L22&gt;6,"TEA",IF(L22&gt;3,"TEP","TED"))</f>
        <v>TEA</v>
      </c>
    </row>
    <row r="23" s="1" customFormat="true" ht="15.5" hidden="false" customHeight="false" outlineLevel="0" collapsed="false">
      <c r="A23" s="1" t="n">
        <v>22</v>
      </c>
      <c r="B23" s="2" t="s">
        <v>80</v>
      </c>
      <c r="C23" s="5" t="n">
        <v>9</v>
      </c>
      <c r="E23" s="1" t="n">
        <v>9</v>
      </c>
      <c r="G23" s="1" t="n">
        <v>8</v>
      </c>
      <c r="I23" s="1" t="n">
        <v>10</v>
      </c>
      <c r="K23" s="1" t="n">
        <v>7</v>
      </c>
      <c r="L23" s="1" t="n">
        <f aca="false">ROUND(AVERAGE(C23,E23,G23,I23,K23),0)</f>
        <v>9</v>
      </c>
      <c r="M23" s="1" t="str">
        <f aca="false">IF(L23&gt;6,"TEA",IF(L23&gt;3,"TEP","TED"))</f>
        <v>TEA</v>
      </c>
    </row>
    <row r="24" s="1" customFormat="true" ht="15.5" hidden="false" customHeight="false" outlineLevel="0" collapsed="false">
      <c r="A24" s="1" t="n">
        <v>23</v>
      </c>
      <c r="B24" s="2" t="s">
        <v>83</v>
      </c>
      <c r="C24" s="5" t="n">
        <v>7</v>
      </c>
      <c r="E24" s="1" t="n">
        <v>7</v>
      </c>
      <c r="G24" s="1" t="n">
        <v>9</v>
      </c>
      <c r="I24" s="1" t="n">
        <v>10</v>
      </c>
      <c r="K24" s="1" t="n">
        <v>10</v>
      </c>
      <c r="L24" s="1" t="n">
        <f aca="false">ROUND(AVERAGE(C24,E24,G24,I24,K24),0)</f>
        <v>9</v>
      </c>
      <c r="M24" s="1" t="str">
        <f aca="false">IF(L24&gt;6,"TEA",IF(L24&gt;3,"TEP","TED"))</f>
        <v>TEA</v>
      </c>
    </row>
    <row r="25" s="1" customFormat="true" ht="15.5" hidden="false" customHeight="false" outlineLevel="0" collapsed="false">
      <c r="A25" s="1" t="n">
        <v>24</v>
      </c>
      <c r="B25" s="2" t="s">
        <v>87</v>
      </c>
      <c r="C25" s="5" t="n">
        <v>9</v>
      </c>
      <c r="E25" s="1" t="n">
        <v>9</v>
      </c>
      <c r="G25" s="1" t="n">
        <v>9</v>
      </c>
      <c r="I25" s="1" t="n">
        <v>10</v>
      </c>
      <c r="K25" s="1" t="n">
        <v>8</v>
      </c>
      <c r="L25" s="1" t="n">
        <f aca="false">ROUND(AVERAGE(C25,E25,G25,I25,K25),0)</f>
        <v>9</v>
      </c>
      <c r="M25" s="1" t="str">
        <f aca="false">IF(L25&gt;6,"TEA",IF(L25&gt;3,"TEP","TED"))</f>
        <v>TEA</v>
      </c>
    </row>
    <row r="26" s="1" customFormat="true" ht="15.5" hidden="false" customHeight="false" outlineLevel="0" collapsed="false">
      <c r="A26" s="1" t="n">
        <v>25</v>
      </c>
      <c r="B26" s="2" t="s">
        <v>90</v>
      </c>
      <c r="C26" s="5" t="n">
        <v>7</v>
      </c>
      <c r="E26" s="1" t="n">
        <v>7</v>
      </c>
      <c r="G26" s="1" t="n">
        <v>9</v>
      </c>
      <c r="I26" s="1" t="n">
        <v>10</v>
      </c>
      <c r="K26" s="1" t="n">
        <v>7</v>
      </c>
      <c r="L26" s="1" t="n">
        <f aca="false">ROUND(AVERAGE(C26,E26,G26,I26,K26),0)</f>
        <v>8</v>
      </c>
      <c r="M26" s="1" t="str">
        <f aca="false">IF(L26&gt;6,"TEA",IF(L26&gt;3,"TEP","TED"))</f>
        <v>TEA</v>
      </c>
    </row>
    <row r="27" s="1" customFormat="true" ht="15.5" hidden="false" customHeight="false" outlineLevel="0" collapsed="false">
      <c r="A27" s="1" t="n">
        <v>26</v>
      </c>
      <c r="B27" s="2" t="s">
        <v>93</v>
      </c>
      <c r="C27" s="5" t="n">
        <v>7</v>
      </c>
      <c r="E27" s="1" t="n">
        <v>7</v>
      </c>
      <c r="G27" s="1" t="n">
        <v>6</v>
      </c>
      <c r="I27" s="1" t="n">
        <v>10</v>
      </c>
      <c r="K27" s="1" t="n">
        <v>4</v>
      </c>
      <c r="L27" s="1" t="n">
        <f aca="false">ROUND(AVERAGE(C27,E27,G27,I27,K27),0)</f>
        <v>7</v>
      </c>
      <c r="M27" s="1" t="str">
        <f aca="false">IF(L27&gt;6,"TEA",IF(L27&gt;3,"TEP","TED"))</f>
        <v>TEA</v>
      </c>
    </row>
    <row r="28" s="1" customFormat="true" ht="15" hidden="false" customHeight="false" outlineLevel="0" collapsed="false"/>
    <row r="29" s="1" customFormat="true" ht="15.65" hidden="false" customHeight="false" outlineLevel="0" collapsed="false"/>
    <row r="30" s="1" customFormat="true" ht="15.65" hidden="false" customHeight="false" outlineLevel="0" collapsed="false"/>
    <row r="31" s="1" customFormat="true" ht="15.65" hidden="false" customHeight="false" outlineLevel="0" collapsed="false"/>
    <row r="32" s="1" customFormat="true" ht="15.65" hidden="false" customHeight="false" outlineLevel="0" collapsed="false"/>
    <row r="33" s="1" customFormat="true" ht="15.65" hidden="false" customHeight="false" outlineLevel="0" collapsed="false"/>
    <row r="34" s="1" customFormat="true" ht="15.65" hidden="false" customHeight="false" outlineLevel="0" collapsed="false"/>
    <row r="35" customFormat="false" ht="15.65" hidden="false" customHeight="false" outlineLevel="0" collapsed="false"/>
  </sheetData>
  <conditionalFormatting sqref="C2:C2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E2:E27">
    <cfRule type="cellIs" priority="5" operator="greaterThan" aboveAverage="0" equalAverage="0" bottom="0" percent="0" rank="0" text="" dxfId="0">
      <formula>5</formula>
    </cfRule>
    <cfRule type="cellIs" priority="6" operator="between" aboveAverage="0" equalAverage="0" bottom="0" percent="0" rank="0" text="" dxfId="1">
      <formula>4</formula>
      <formula>6</formula>
    </cfRule>
    <cfRule type="cellIs" priority="7" operator="lessThan" aboveAverage="0" equalAverage="0" bottom="0" percent="0" rank="0" text="" dxfId="2">
      <formula>4</formula>
    </cfRule>
  </conditionalFormatting>
  <conditionalFormatting sqref="G2:H27">
    <cfRule type="cellIs" priority="8" operator="greaterThan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</conditionalFormatting>
  <conditionalFormatting sqref="I2:M27">
    <cfRule type="cellIs" priority="11" operator="greaterThan" aboveAverage="0" equalAverage="0" bottom="0" percent="0" rank="0" text="" dxfId="0">
      <formula>6</formula>
    </cfRule>
    <cfRule type="cellIs" priority="12" operator="between" aboveAverage="0" equalAverage="0" bottom="0" percent="0" rank="0" text="" dxfId="1">
      <formula>4</formula>
      <formula>6</formula>
    </cfRule>
    <cfRule type="cellIs" priority="13" operator="lessThan" aboveAverage="0" equalAverage="0" bottom="0" percent="0" rank="0" text="" dxfId="2">
      <formula>4</formula>
    </cfRule>
    <cfRule type="cellIs" priority="14" operator="equal" aboveAverage="0" equalAverage="0" bottom="0" percent="0" rank="0" text="" dxfId="0">
      <formula>"TEA"</formula>
    </cfRule>
    <cfRule type="cellIs" priority="15" operator="equal" aboveAverage="0" equalAverage="0" bottom="0" percent="0" rank="0" text="" dxfId="1">
      <formula>"TEP"</formula>
    </cfRule>
    <cfRule type="cellIs" priority="16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9" activeCellId="0" sqref="B19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5.02"/>
    <col collapsed="false" customWidth="true" hidden="false" outlineLevel="0" max="3" min="2" style="1" width="18.54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108</v>
      </c>
      <c r="E1" s="1" t="s">
        <v>109</v>
      </c>
      <c r="F1" s="1" t="s">
        <v>110</v>
      </c>
      <c r="G1" s="1" t="s">
        <v>111</v>
      </c>
    </row>
    <row r="2" customFormat="false" ht="15" hidden="false" customHeight="false" outlineLevel="0" collapsed="false">
      <c r="A2" s="1" t="n">
        <v>1</v>
      </c>
      <c r="B2" s="2" t="s">
        <v>12</v>
      </c>
      <c r="C2" s="1" t="s">
        <v>12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7" t="s">
        <v>19</v>
      </c>
      <c r="C3" s="1" t="s">
        <v>19</v>
      </c>
      <c r="D3" s="1" t="n">
        <v>6</v>
      </c>
      <c r="G3" s="1" t="n">
        <v>6</v>
      </c>
    </row>
    <row r="4" customFormat="false" ht="15" hidden="false" customHeight="false" outlineLevel="0" collapsed="false">
      <c r="A4" s="1" t="n">
        <v>3</v>
      </c>
      <c r="B4" s="2" t="s">
        <v>104</v>
      </c>
      <c r="C4" s="1" t="s">
        <v>22</v>
      </c>
      <c r="D4" s="1" t="n">
        <v>9</v>
      </c>
      <c r="G4" s="1" t="n">
        <v>9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7</v>
      </c>
      <c r="G5" s="1" t="n">
        <v>7</v>
      </c>
    </row>
    <row r="6" customFormat="false" ht="15" hidden="false" customHeight="false" outlineLevel="0" collapsed="false">
      <c r="A6" s="1" t="n">
        <v>5</v>
      </c>
      <c r="B6" s="2" t="s">
        <v>28</v>
      </c>
      <c r="C6" s="1" t="s">
        <v>28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6</v>
      </c>
      <c r="B7" s="2" t="s">
        <v>31</v>
      </c>
      <c r="D7" s="1" t="n">
        <v>1</v>
      </c>
      <c r="G7" s="1" t="n">
        <v>1</v>
      </c>
    </row>
    <row r="8" customFormat="false" ht="15" hidden="false" customHeight="false" outlineLevel="0" collapsed="false">
      <c r="A8" s="1" t="n">
        <v>7</v>
      </c>
      <c r="B8" s="2" t="s">
        <v>34</v>
      </c>
      <c r="C8" s="1" t="s">
        <v>34</v>
      </c>
      <c r="D8" s="1" t="n">
        <v>8</v>
      </c>
      <c r="G8" s="1" t="n">
        <v>8</v>
      </c>
    </row>
    <row r="9" customFormat="false" ht="15" hidden="false" customHeight="false" outlineLevel="0" collapsed="false">
      <c r="A9" s="1" t="n">
        <v>8</v>
      </c>
      <c r="B9" s="2" t="s">
        <v>37</v>
      </c>
      <c r="C9" s="1" t="s">
        <v>37</v>
      </c>
      <c r="D9" s="1" t="n">
        <v>10</v>
      </c>
      <c r="E9" s="1" t="n">
        <f aca="false">ROUND(AVERAGE(D9:D12),0)</f>
        <v>7</v>
      </c>
      <c r="F9" s="1" t="n">
        <v>9</v>
      </c>
      <c r="G9" s="1" t="n">
        <f aca="false">MAX(F9,E9)</f>
        <v>9</v>
      </c>
    </row>
    <row r="10" customFormat="false" ht="15" hidden="false" customHeight="false" outlineLevel="0" collapsed="false">
      <c r="C10" s="1" t="s">
        <v>37</v>
      </c>
      <c r="D10" s="1" t="n">
        <v>9</v>
      </c>
    </row>
    <row r="11" customFormat="false" ht="15" hidden="false" customHeight="false" outlineLevel="0" collapsed="false">
      <c r="C11" s="1" t="s">
        <v>37</v>
      </c>
      <c r="D11" s="1" t="n">
        <v>5</v>
      </c>
    </row>
    <row r="12" customFormat="false" ht="15" hidden="false" customHeight="false" outlineLevel="0" collapsed="false">
      <c r="C12" s="1" t="s">
        <v>37</v>
      </c>
      <c r="D12" s="1" t="n">
        <v>3</v>
      </c>
    </row>
    <row r="13" customFormat="false" ht="15" hidden="false" customHeight="false" outlineLevel="0" collapsed="false">
      <c r="A13" s="1" t="n">
        <v>9</v>
      </c>
      <c r="B13" s="2" t="s">
        <v>40</v>
      </c>
      <c r="C13" s="1" t="s">
        <v>40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10</v>
      </c>
      <c r="B14" s="2" t="s">
        <v>43</v>
      </c>
      <c r="C14" s="1" t="s">
        <v>43</v>
      </c>
      <c r="D14" s="1" t="n">
        <v>8</v>
      </c>
      <c r="G14" s="1" t="n">
        <v>8</v>
      </c>
    </row>
    <row r="15" customFormat="false" ht="15" hidden="false" customHeight="false" outlineLevel="0" collapsed="false">
      <c r="A15" s="1" t="n">
        <v>11</v>
      </c>
      <c r="B15" s="2" t="s">
        <v>46</v>
      </c>
      <c r="C15" s="1" t="s">
        <v>46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12</v>
      </c>
      <c r="B16" s="2" t="s">
        <v>49</v>
      </c>
      <c r="C16" s="1" t="s">
        <v>49</v>
      </c>
      <c r="D16" s="1" t="n">
        <v>9</v>
      </c>
      <c r="G16" s="1" t="n">
        <v>9</v>
      </c>
    </row>
    <row r="17" customFormat="false" ht="15" hidden="false" customHeight="false" outlineLevel="0" collapsed="false">
      <c r="A17" s="1" t="n">
        <v>13</v>
      </c>
      <c r="B17" s="1" t="s">
        <v>52</v>
      </c>
      <c r="C17" s="1" t="s">
        <v>52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14</v>
      </c>
      <c r="B18" s="2" t="s">
        <v>55</v>
      </c>
      <c r="C18" s="1" t="s">
        <v>55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15</v>
      </c>
      <c r="B19" s="9" t="s">
        <v>58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16</v>
      </c>
      <c r="B20" s="2" t="s">
        <v>61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17</v>
      </c>
      <c r="B21" s="2" t="s">
        <v>64</v>
      </c>
      <c r="C21" s="1" t="s">
        <v>64</v>
      </c>
      <c r="D21" s="1" t="n">
        <v>8</v>
      </c>
      <c r="G21" s="1" t="n">
        <v>8</v>
      </c>
    </row>
    <row r="22" customFormat="false" ht="15" hidden="false" customHeight="false" outlineLevel="0" collapsed="false">
      <c r="A22" s="1" t="n">
        <v>18</v>
      </c>
      <c r="B22" s="2" t="s">
        <v>68</v>
      </c>
      <c r="C22" s="1" t="s">
        <v>68</v>
      </c>
      <c r="D22" s="1" t="n">
        <v>9</v>
      </c>
      <c r="G22" s="1" t="n">
        <v>9</v>
      </c>
    </row>
    <row r="23" customFormat="false" ht="15" hidden="false" customHeight="false" outlineLevel="0" collapsed="false">
      <c r="A23" s="1" t="n">
        <v>19</v>
      </c>
      <c r="B23" s="2" t="s">
        <v>71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20</v>
      </c>
      <c r="B24" s="2" t="s">
        <v>74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21</v>
      </c>
      <c r="B25" s="2" t="s">
        <v>77</v>
      </c>
      <c r="C25" s="1" t="s">
        <v>77</v>
      </c>
      <c r="D25" s="1" t="n">
        <v>9</v>
      </c>
      <c r="G25" s="1" t="n">
        <v>9</v>
      </c>
    </row>
    <row r="26" customFormat="false" ht="15" hidden="false" customHeight="false" outlineLevel="0" collapsed="false">
      <c r="A26" s="1" t="n">
        <v>22</v>
      </c>
      <c r="B26" s="2" t="s">
        <v>80</v>
      </c>
      <c r="C26" s="1" t="s">
        <v>80</v>
      </c>
      <c r="D26" s="1" t="n">
        <v>10</v>
      </c>
      <c r="E26" s="1" t="n">
        <f aca="false">ROUND(AVERAGE(D26:D30),0)</f>
        <v>8</v>
      </c>
      <c r="F26" s="1" t="n">
        <v>9</v>
      </c>
      <c r="G26" s="1" t="n">
        <f aca="false">MAX(F26,E26)</f>
        <v>9</v>
      </c>
    </row>
    <row r="27" customFormat="false" ht="15" hidden="false" customHeight="false" outlineLevel="0" collapsed="false">
      <c r="C27" s="1" t="s">
        <v>80</v>
      </c>
      <c r="D27" s="1" t="n">
        <v>9</v>
      </c>
    </row>
    <row r="28" customFormat="false" ht="15" hidden="false" customHeight="false" outlineLevel="0" collapsed="false">
      <c r="C28" s="1" t="s">
        <v>80</v>
      </c>
      <c r="D28" s="1" t="n">
        <v>8</v>
      </c>
    </row>
    <row r="29" customFormat="false" ht="15" hidden="false" customHeight="false" outlineLevel="0" collapsed="false">
      <c r="C29" s="1" t="s">
        <v>80</v>
      </c>
      <c r="D29" s="1" t="n">
        <v>7</v>
      </c>
    </row>
    <row r="30" customFormat="false" ht="15" hidden="false" customHeight="false" outlineLevel="0" collapsed="false">
      <c r="C30" s="1" t="s">
        <v>80</v>
      </c>
      <c r="D30" s="1" t="n">
        <v>6</v>
      </c>
    </row>
    <row r="31" customFormat="false" ht="15" hidden="false" customHeight="false" outlineLevel="0" collapsed="false">
      <c r="A31" s="1" t="n">
        <v>23</v>
      </c>
      <c r="B31" s="2" t="s">
        <v>83</v>
      </c>
      <c r="C31" s="1" t="s">
        <v>83</v>
      </c>
      <c r="D31" s="1" t="n">
        <v>7</v>
      </c>
      <c r="G31" s="1" t="n">
        <v>7</v>
      </c>
    </row>
    <row r="32" customFormat="false" ht="15" hidden="false" customHeight="false" outlineLevel="0" collapsed="false">
      <c r="A32" s="1" t="n">
        <v>24</v>
      </c>
      <c r="B32" s="2" t="s">
        <v>87</v>
      </c>
      <c r="C32" s="1" t="s">
        <v>87</v>
      </c>
      <c r="D32" s="1" t="n">
        <v>10</v>
      </c>
      <c r="E32" s="1" t="n">
        <f aca="false">ROUND(AVERAGE(D32:D37),0)</f>
        <v>9</v>
      </c>
      <c r="F32" s="1" t="n">
        <v>9</v>
      </c>
      <c r="G32" s="1" t="n">
        <f aca="false">MAX(F32,E32)</f>
        <v>9</v>
      </c>
    </row>
    <row r="33" customFormat="false" ht="15" hidden="false" customHeight="false" outlineLevel="0" collapsed="false">
      <c r="C33" s="1" t="s">
        <v>87</v>
      </c>
      <c r="D33" s="1" t="n">
        <v>10</v>
      </c>
    </row>
    <row r="34" customFormat="false" ht="15" hidden="false" customHeight="false" outlineLevel="0" collapsed="false">
      <c r="C34" s="1" t="s">
        <v>87</v>
      </c>
      <c r="D34" s="1" t="n">
        <v>9</v>
      </c>
    </row>
    <row r="35" customFormat="false" ht="15" hidden="false" customHeight="false" outlineLevel="0" collapsed="false">
      <c r="C35" s="1" t="s">
        <v>87</v>
      </c>
      <c r="D35" s="1" t="n">
        <v>9</v>
      </c>
    </row>
    <row r="36" customFormat="false" ht="15" hidden="false" customHeight="false" outlineLevel="0" collapsed="false">
      <c r="C36" s="1" t="s">
        <v>87</v>
      </c>
      <c r="D36" s="1" t="n">
        <v>7</v>
      </c>
    </row>
    <row r="37" customFormat="false" ht="15" hidden="false" customHeight="false" outlineLevel="0" collapsed="false">
      <c r="C37" s="1" t="s">
        <v>87</v>
      </c>
      <c r="D37" s="1" t="n">
        <v>7</v>
      </c>
    </row>
    <row r="38" customFormat="false" ht="15" hidden="false" customHeight="false" outlineLevel="0" collapsed="false">
      <c r="A38" s="1" t="n">
        <v>25</v>
      </c>
      <c r="B38" s="2" t="s">
        <v>90</v>
      </c>
      <c r="C38" s="1" t="s">
        <v>90</v>
      </c>
      <c r="D38" s="1" t="n">
        <v>9</v>
      </c>
      <c r="E38" s="1" t="n">
        <f aca="false">ROUND(AVERAGE(D38:D43),0)</f>
        <v>7</v>
      </c>
      <c r="F38" s="1" t="n">
        <v>7</v>
      </c>
      <c r="G38" s="1" t="n">
        <f aca="false">MAX(F38,E38)</f>
        <v>7</v>
      </c>
    </row>
    <row r="39" customFormat="false" ht="15" hidden="false" customHeight="false" outlineLevel="0" collapsed="false">
      <c r="C39" s="1" t="s">
        <v>90</v>
      </c>
      <c r="D39" s="1" t="n">
        <v>7</v>
      </c>
    </row>
    <row r="40" customFormat="false" ht="15" hidden="false" customHeight="false" outlineLevel="0" collapsed="false">
      <c r="C40" s="1" t="s">
        <v>90</v>
      </c>
      <c r="D40" s="1" t="n">
        <v>7</v>
      </c>
    </row>
    <row r="41" customFormat="false" ht="15" hidden="false" customHeight="false" outlineLevel="0" collapsed="false">
      <c r="C41" s="1" t="s">
        <v>90</v>
      </c>
      <c r="D41" s="1" t="n">
        <v>6</v>
      </c>
    </row>
    <row r="42" customFormat="false" ht="15" hidden="false" customHeight="false" outlineLevel="0" collapsed="false">
      <c r="C42" s="1" t="s">
        <v>90</v>
      </c>
      <c r="D42" s="1" t="n">
        <v>6</v>
      </c>
    </row>
    <row r="43" customFormat="false" ht="15" hidden="false" customHeight="false" outlineLevel="0" collapsed="false">
      <c r="C43" s="1" t="s">
        <v>90</v>
      </c>
      <c r="D43" s="1" t="n">
        <v>5</v>
      </c>
    </row>
    <row r="44" customFormat="false" ht="15" hidden="false" customHeight="false" outlineLevel="0" collapsed="false">
      <c r="A44" s="1" t="n">
        <v>26</v>
      </c>
      <c r="B44" s="2" t="s">
        <v>93</v>
      </c>
      <c r="C44" s="1" t="s">
        <v>93</v>
      </c>
      <c r="D44" s="1" t="n">
        <v>8</v>
      </c>
      <c r="E44" s="1" t="n">
        <f aca="false">ROUND(AVERAGE(D44:D46),0)</f>
        <v>7</v>
      </c>
      <c r="F44" s="1" t="n">
        <v>6</v>
      </c>
      <c r="G44" s="1" t="n">
        <f aca="false">MAX(F44,E44)</f>
        <v>7</v>
      </c>
    </row>
    <row r="45" customFormat="false" ht="15" hidden="false" customHeight="false" outlineLevel="0" collapsed="false">
      <c r="C45" s="1" t="s">
        <v>93</v>
      </c>
      <c r="D45" s="1" t="n">
        <v>8</v>
      </c>
    </row>
    <row r="46" customFormat="false" ht="15" hidden="false" customHeight="false" outlineLevel="0" collapsed="false">
      <c r="C46" s="1" t="s">
        <v>93</v>
      </c>
      <c r="D46" s="1" t="n">
        <v>6</v>
      </c>
    </row>
    <row r="48" customFormat="false" ht="15" hidden="false" customHeight="false" outlineLevel="0" collapsed="false">
      <c r="F48" s="1" t="s">
        <v>9</v>
      </c>
      <c r="G48" s="1" t="n">
        <f aca="false">COUNTIF(G2:G47,"&gt;0")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G25" activeCellId="0" sqref="G2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96"/>
    <col collapsed="false" customWidth="true" hidden="false" outlineLevel="0" max="2" min="2" style="1" width="17.06"/>
    <col collapsed="false" customWidth="true" hidden="false" outlineLevel="0" max="3" min="3" style="1" width="18.53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108</v>
      </c>
      <c r="E1" s="1" t="s">
        <v>109</v>
      </c>
      <c r="F1" s="1" t="s">
        <v>110</v>
      </c>
      <c r="G1" s="1" t="s">
        <v>111</v>
      </c>
    </row>
    <row r="2" customFormat="false" ht="15" hidden="false" customHeight="false" outlineLevel="0" collapsed="false">
      <c r="A2" s="1" t="n">
        <v>1</v>
      </c>
      <c r="B2" s="2" t="s">
        <v>12</v>
      </c>
      <c r="C2" s="1" t="s">
        <v>12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7" t="s">
        <v>19</v>
      </c>
      <c r="C3" s="1" t="s">
        <v>19</v>
      </c>
      <c r="D3" s="1" t="n">
        <v>6</v>
      </c>
      <c r="G3" s="1" t="n">
        <v>6</v>
      </c>
    </row>
    <row r="4" customFormat="false" ht="15" hidden="false" customHeight="false" outlineLevel="0" collapsed="false">
      <c r="A4" s="1" t="n">
        <v>3</v>
      </c>
      <c r="B4" s="2" t="s">
        <v>104</v>
      </c>
      <c r="C4" s="1" t="s">
        <v>22</v>
      </c>
      <c r="D4" s="1" t="n">
        <v>9</v>
      </c>
      <c r="G4" s="1" t="n">
        <v>9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7</v>
      </c>
      <c r="G5" s="1" t="n">
        <v>7</v>
      </c>
    </row>
    <row r="6" customFormat="false" ht="15" hidden="false" customHeight="false" outlineLevel="0" collapsed="false">
      <c r="A6" s="1" t="n">
        <v>5</v>
      </c>
      <c r="B6" s="2" t="s">
        <v>28</v>
      </c>
      <c r="C6" s="1" t="s">
        <v>28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6</v>
      </c>
      <c r="B7" s="2" t="s">
        <v>31</v>
      </c>
      <c r="D7" s="1" t="n">
        <v>1</v>
      </c>
      <c r="G7" s="1" t="n">
        <v>1</v>
      </c>
    </row>
    <row r="8" customFormat="false" ht="15" hidden="false" customHeight="false" outlineLevel="0" collapsed="false">
      <c r="A8" s="1" t="n">
        <v>7</v>
      </c>
      <c r="B8" s="2" t="s">
        <v>34</v>
      </c>
      <c r="C8" s="1" t="s">
        <v>34</v>
      </c>
      <c r="D8" s="1" t="n">
        <v>8</v>
      </c>
      <c r="G8" s="1" t="n">
        <v>8</v>
      </c>
    </row>
    <row r="9" customFormat="false" ht="15" hidden="false" customHeight="false" outlineLevel="0" collapsed="false">
      <c r="A9" s="1" t="n">
        <v>8</v>
      </c>
      <c r="B9" s="2" t="s">
        <v>37</v>
      </c>
      <c r="C9" s="1" t="s">
        <v>37</v>
      </c>
      <c r="D9" s="1" t="n">
        <v>10</v>
      </c>
      <c r="E9" s="1" t="n">
        <f aca="false">ROUND(AVERAGE(D9:D12),0)</f>
        <v>7</v>
      </c>
      <c r="F9" s="1" t="n">
        <v>9</v>
      </c>
      <c r="G9" s="1" t="n">
        <f aca="false">MAX(F9,E9)</f>
        <v>9</v>
      </c>
    </row>
    <row r="10" customFormat="false" ht="15" hidden="false" customHeight="false" outlineLevel="0" collapsed="false">
      <c r="C10" s="1" t="s">
        <v>37</v>
      </c>
      <c r="D10" s="1" t="n">
        <v>9</v>
      </c>
    </row>
    <row r="11" customFormat="false" ht="15" hidden="false" customHeight="false" outlineLevel="0" collapsed="false">
      <c r="C11" s="1" t="s">
        <v>37</v>
      </c>
      <c r="D11" s="1" t="n">
        <v>5</v>
      </c>
    </row>
    <row r="12" customFormat="false" ht="15" hidden="false" customHeight="false" outlineLevel="0" collapsed="false">
      <c r="C12" s="1" t="s">
        <v>37</v>
      </c>
      <c r="D12" s="1" t="n">
        <v>3</v>
      </c>
    </row>
    <row r="13" customFormat="false" ht="15" hidden="false" customHeight="false" outlineLevel="0" collapsed="false">
      <c r="A13" s="1" t="n">
        <v>9</v>
      </c>
      <c r="B13" s="2" t="s">
        <v>40</v>
      </c>
      <c r="C13" s="1" t="s">
        <v>40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10</v>
      </c>
      <c r="B14" s="2" t="s">
        <v>43</v>
      </c>
      <c r="C14" s="1" t="s">
        <v>43</v>
      </c>
      <c r="D14" s="1" t="n">
        <v>8</v>
      </c>
      <c r="G14" s="1" t="n">
        <v>8</v>
      </c>
    </row>
    <row r="15" customFormat="false" ht="15" hidden="false" customHeight="false" outlineLevel="0" collapsed="false">
      <c r="A15" s="1" t="n">
        <v>11</v>
      </c>
      <c r="B15" s="2" t="s">
        <v>46</v>
      </c>
      <c r="C15" s="1" t="s">
        <v>46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12</v>
      </c>
      <c r="B16" s="2" t="s">
        <v>49</v>
      </c>
      <c r="C16" s="1" t="s">
        <v>49</v>
      </c>
      <c r="D16" s="1" t="n">
        <v>9</v>
      </c>
      <c r="G16" s="1" t="n">
        <v>9</v>
      </c>
    </row>
    <row r="17" customFormat="false" ht="15" hidden="false" customHeight="false" outlineLevel="0" collapsed="false">
      <c r="A17" s="1" t="n">
        <v>13</v>
      </c>
      <c r="B17" s="2" t="s">
        <v>52</v>
      </c>
      <c r="C17" s="1" t="s">
        <v>52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14</v>
      </c>
      <c r="B18" s="2" t="s">
        <v>55</v>
      </c>
      <c r="C18" s="1" t="s">
        <v>55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15</v>
      </c>
      <c r="B19" s="2" t="s">
        <v>107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16</v>
      </c>
      <c r="B20" s="2" t="s">
        <v>61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17</v>
      </c>
      <c r="B21" s="2" t="s">
        <v>64</v>
      </c>
      <c r="C21" s="1" t="s">
        <v>64</v>
      </c>
      <c r="D21" s="1" t="n">
        <v>8</v>
      </c>
      <c r="G21" s="1" t="n">
        <v>8</v>
      </c>
    </row>
    <row r="22" customFormat="false" ht="15" hidden="false" customHeight="false" outlineLevel="0" collapsed="false">
      <c r="A22" s="1" t="n">
        <v>18</v>
      </c>
      <c r="B22" s="2" t="s">
        <v>68</v>
      </c>
      <c r="C22" s="1" t="s">
        <v>68</v>
      </c>
      <c r="D22" s="1" t="n">
        <v>9</v>
      </c>
      <c r="G22" s="1" t="n">
        <v>9</v>
      </c>
    </row>
    <row r="23" customFormat="false" ht="15" hidden="false" customHeight="false" outlineLevel="0" collapsed="false">
      <c r="A23" s="1" t="n">
        <v>19</v>
      </c>
      <c r="B23" s="2" t="s">
        <v>71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20</v>
      </c>
      <c r="B24" s="2" t="s">
        <v>74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21</v>
      </c>
      <c r="B25" s="2" t="s">
        <v>77</v>
      </c>
      <c r="C25" s="1" t="s">
        <v>77</v>
      </c>
      <c r="D25" s="1" t="n">
        <v>9</v>
      </c>
      <c r="G25" s="1" t="n">
        <v>9</v>
      </c>
    </row>
    <row r="26" customFormat="false" ht="15" hidden="false" customHeight="false" outlineLevel="0" collapsed="false">
      <c r="A26" s="1" t="n">
        <v>22</v>
      </c>
      <c r="B26" s="2" t="s">
        <v>80</v>
      </c>
      <c r="C26" s="1" t="s">
        <v>80</v>
      </c>
      <c r="D26" s="1" t="n">
        <v>10</v>
      </c>
      <c r="E26" s="1" t="n">
        <f aca="false">ROUND(AVERAGE(D26:D30),0)</f>
        <v>8</v>
      </c>
      <c r="F26" s="1" t="n">
        <v>9</v>
      </c>
      <c r="G26" s="1" t="n">
        <f aca="false">MAX(F26,E26)</f>
        <v>9</v>
      </c>
    </row>
    <row r="27" customFormat="false" ht="15" hidden="false" customHeight="false" outlineLevel="0" collapsed="false">
      <c r="C27" s="1" t="s">
        <v>80</v>
      </c>
      <c r="D27" s="1" t="n">
        <v>9</v>
      </c>
    </row>
    <row r="28" customFormat="false" ht="15" hidden="false" customHeight="false" outlineLevel="0" collapsed="false">
      <c r="C28" s="1" t="s">
        <v>80</v>
      </c>
      <c r="D28" s="1" t="n">
        <v>8</v>
      </c>
    </row>
    <row r="29" customFormat="false" ht="15" hidden="false" customHeight="false" outlineLevel="0" collapsed="false">
      <c r="C29" s="1" t="s">
        <v>80</v>
      </c>
      <c r="D29" s="1" t="n">
        <v>7</v>
      </c>
    </row>
    <row r="30" customFormat="false" ht="15" hidden="false" customHeight="false" outlineLevel="0" collapsed="false">
      <c r="C30" s="1" t="s">
        <v>80</v>
      </c>
      <c r="D30" s="1" t="n">
        <v>6</v>
      </c>
    </row>
    <row r="31" customFormat="false" ht="15" hidden="false" customHeight="false" outlineLevel="0" collapsed="false">
      <c r="A31" s="1" t="n">
        <v>23</v>
      </c>
      <c r="B31" s="2" t="s">
        <v>83</v>
      </c>
      <c r="C31" s="1" t="s">
        <v>83</v>
      </c>
      <c r="D31" s="1" t="n">
        <v>7</v>
      </c>
      <c r="G31" s="1" t="n">
        <v>7</v>
      </c>
    </row>
    <row r="32" customFormat="false" ht="15" hidden="false" customHeight="false" outlineLevel="0" collapsed="false">
      <c r="A32" s="1" t="n">
        <v>24</v>
      </c>
      <c r="B32" s="2" t="s">
        <v>87</v>
      </c>
      <c r="C32" s="1" t="s">
        <v>87</v>
      </c>
      <c r="D32" s="1" t="n">
        <v>10</v>
      </c>
      <c r="E32" s="1" t="n">
        <f aca="false">ROUND(AVERAGE(D32:D37),0)</f>
        <v>9</v>
      </c>
      <c r="F32" s="1" t="n">
        <v>9</v>
      </c>
      <c r="G32" s="1" t="n">
        <f aca="false">MAX(F32,E32)</f>
        <v>9</v>
      </c>
    </row>
    <row r="33" customFormat="false" ht="15" hidden="false" customHeight="false" outlineLevel="0" collapsed="false">
      <c r="C33" s="1" t="s">
        <v>87</v>
      </c>
      <c r="D33" s="1" t="n">
        <v>10</v>
      </c>
    </row>
    <row r="34" customFormat="false" ht="15" hidden="false" customHeight="false" outlineLevel="0" collapsed="false">
      <c r="C34" s="1" t="s">
        <v>87</v>
      </c>
      <c r="D34" s="1" t="n">
        <v>9</v>
      </c>
    </row>
    <row r="35" customFormat="false" ht="15" hidden="false" customHeight="false" outlineLevel="0" collapsed="false">
      <c r="C35" s="1" t="s">
        <v>87</v>
      </c>
      <c r="D35" s="1" t="n">
        <v>9</v>
      </c>
    </row>
    <row r="36" customFormat="false" ht="15" hidden="false" customHeight="false" outlineLevel="0" collapsed="false">
      <c r="C36" s="1" t="s">
        <v>87</v>
      </c>
      <c r="D36" s="1" t="n">
        <v>7</v>
      </c>
    </row>
    <row r="37" customFormat="false" ht="15" hidden="false" customHeight="false" outlineLevel="0" collapsed="false">
      <c r="C37" s="1" t="s">
        <v>87</v>
      </c>
      <c r="D37" s="1" t="n">
        <v>7</v>
      </c>
    </row>
    <row r="38" customFormat="false" ht="15" hidden="false" customHeight="false" outlineLevel="0" collapsed="false">
      <c r="A38" s="1" t="n">
        <v>25</v>
      </c>
      <c r="B38" s="2" t="s">
        <v>90</v>
      </c>
      <c r="C38" s="1" t="s">
        <v>90</v>
      </c>
      <c r="D38" s="1" t="n">
        <v>9</v>
      </c>
      <c r="E38" s="1" t="n">
        <f aca="false">ROUND(AVERAGE(D38:D43),0)</f>
        <v>7</v>
      </c>
      <c r="F38" s="1" t="n">
        <v>7</v>
      </c>
      <c r="G38" s="1" t="n">
        <f aca="false">MAX(F38,E38)</f>
        <v>7</v>
      </c>
    </row>
    <row r="39" customFormat="false" ht="15" hidden="false" customHeight="false" outlineLevel="0" collapsed="false">
      <c r="C39" s="1" t="s">
        <v>90</v>
      </c>
      <c r="D39" s="1" t="n">
        <v>7</v>
      </c>
    </row>
    <row r="40" customFormat="false" ht="15" hidden="false" customHeight="false" outlineLevel="0" collapsed="false">
      <c r="C40" s="1" t="s">
        <v>90</v>
      </c>
      <c r="D40" s="1" t="n">
        <v>7</v>
      </c>
    </row>
    <row r="41" customFormat="false" ht="15" hidden="false" customHeight="false" outlineLevel="0" collapsed="false">
      <c r="C41" s="1" t="s">
        <v>90</v>
      </c>
      <c r="D41" s="1" t="n">
        <v>6</v>
      </c>
    </row>
    <row r="42" customFormat="false" ht="15" hidden="false" customHeight="false" outlineLevel="0" collapsed="false">
      <c r="C42" s="1" t="s">
        <v>90</v>
      </c>
      <c r="D42" s="1" t="n">
        <v>6</v>
      </c>
    </row>
    <row r="43" customFormat="false" ht="15" hidden="false" customHeight="false" outlineLevel="0" collapsed="false">
      <c r="C43" s="1" t="s">
        <v>90</v>
      </c>
      <c r="D43" s="1" t="n">
        <v>5</v>
      </c>
    </row>
    <row r="44" customFormat="false" ht="15" hidden="false" customHeight="false" outlineLevel="0" collapsed="false">
      <c r="A44" s="1" t="n">
        <v>26</v>
      </c>
      <c r="B44" s="2" t="s">
        <v>93</v>
      </c>
      <c r="C44" s="1" t="s">
        <v>93</v>
      </c>
      <c r="D44" s="1" t="n">
        <v>8</v>
      </c>
      <c r="E44" s="1" t="n">
        <f aca="false">ROUND(AVERAGE(D44:D46),0)</f>
        <v>7</v>
      </c>
      <c r="F44" s="1" t="n">
        <v>6</v>
      </c>
      <c r="G44" s="1" t="n">
        <f aca="false">MAX(F44,E44)</f>
        <v>7</v>
      </c>
    </row>
    <row r="45" customFormat="false" ht="15" hidden="false" customHeight="false" outlineLevel="0" collapsed="false">
      <c r="C45" s="1" t="s">
        <v>93</v>
      </c>
      <c r="D45" s="1" t="n">
        <v>8</v>
      </c>
    </row>
    <row r="46" customFormat="false" ht="15" hidden="false" customHeight="false" outlineLevel="0" collapsed="false">
      <c r="C46" s="1" t="s">
        <v>93</v>
      </c>
      <c r="D46" s="1" t="n">
        <v>6</v>
      </c>
    </row>
    <row r="47" customFormat="false" ht="15" hidden="false" customHeight="false" outlineLevel="0" collapsed="false">
      <c r="F47" s="1" t="s">
        <v>112</v>
      </c>
      <c r="G47" s="1" t="n">
        <f aca="false">COUNTIF(G2:G46,"&gt;0")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96"/>
    <col collapsed="false" customWidth="true" hidden="false" outlineLevel="0" max="3" min="2" style="1" width="18.53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108</v>
      </c>
      <c r="E1" s="1" t="s">
        <v>109</v>
      </c>
      <c r="F1" s="1" t="s">
        <v>110</v>
      </c>
      <c r="G1" s="1" t="s">
        <v>111</v>
      </c>
    </row>
    <row r="2" customFormat="false" ht="15" hidden="false" customHeight="false" outlineLevel="0" collapsed="false">
      <c r="A2" s="1" t="n">
        <v>1</v>
      </c>
      <c r="B2" s="2" t="s">
        <v>12</v>
      </c>
      <c r="C2" s="1" t="s">
        <v>12</v>
      </c>
      <c r="D2" s="1" t="n">
        <v>8</v>
      </c>
      <c r="G2" s="1" t="n">
        <v>8</v>
      </c>
    </row>
    <row r="3" customFormat="false" ht="15" hidden="false" customHeight="false" outlineLevel="0" collapsed="false">
      <c r="A3" s="1" t="n">
        <v>2</v>
      </c>
      <c r="B3" s="7" t="s">
        <v>19</v>
      </c>
      <c r="C3" s="1" t="s">
        <v>19</v>
      </c>
      <c r="D3" s="1" t="n">
        <v>8</v>
      </c>
      <c r="G3" s="1" t="n">
        <v>8</v>
      </c>
    </row>
    <row r="4" customFormat="false" ht="15" hidden="false" customHeight="false" outlineLevel="0" collapsed="false">
      <c r="A4" s="1" t="n">
        <v>3</v>
      </c>
      <c r="B4" s="2" t="s">
        <v>104</v>
      </c>
      <c r="C4" s="1" t="s">
        <v>22</v>
      </c>
      <c r="D4" s="1" t="n">
        <v>9</v>
      </c>
      <c r="E4" s="1" t="n">
        <f aca="false">ROUND(AVERAGE(D4:D7),0)</f>
        <v>6</v>
      </c>
      <c r="F4" s="1" t="n">
        <v>7</v>
      </c>
      <c r="G4" s="1" t="n">
        <f aca="false">MAX(F4,E4)</f>
        <v>7</v>
      </c>
    </row>
    <row r="5" customFormat="false" ht="15" hidden="false" customHeight="false" outlineLevel="0" collapsed="false">
      <c r="C5" s="1" t="s">
        <v>22</v>
      </c>
      <c r="D5" s="1" t="n">
        <v>7</v>
      </c>
    </row>
    <row r="6" customFormat="false" ht="15" hidden="false" customHeight="false" outlineLevel="0" collapsed="false">
      <c r="C6" s="1" t="s">
        <v>22</v>
      </c>
      <c r="D6" s="1" t="n">
        <v>6</v>
      </c>
    </row>
    <row r="7" customFormat="false" ht="15" hidden="false" customHeight="false" outlineLevel="0" collapsed="false">
      <c r="C7" s="1" t="s">
        <v>22</v>
      </c>
      <c r="D7" s="1" t="n">
        <v>3</v>
      </c>
    </row>
    <row r="8" customFormat="false" ht="15" hidden="false" customHeight="false" outlineLevel="0" collapsed="false">
      <c r="A8" s="1" t="n">
        <v>4</v>
      </c>
      <c r="B8" s="2" t="s">
        <v>25</v>
      </c>
      <c r="C8" s="1" t="s">
        <v>25</v>
      </c>
      <c r="D8" s="1" t="n">
        <v>7</v>
      </c>
      <c r="G8" s="1" t="n">
        <v>7</v>
      </c>
    </row>
    <row r="9" customFormat="false" ht="15" hidden="false" customHeight="false" outlineLevel="0" collapsed="false">
      <c r="A9" s="1" t="n">
        <v>5</v>
      </c>
      <c r="B9" s="2" t="s">
        <v>28</v>
      </c>
      <c r="C9" s="1" t="s">
        <v>28</v>
      </c>
      <c r="D9" s="1" t="n">
        <v>9</v>
      </c>
      <c r="E9" s="1" t="n">
        <f aca="false">ROUND(AVERAGE(D9:D10),0)</f>
        <v>8</v>
      </c>
      <c r="F9" s="1" t="n">
        <v>7</v>
      </c>
      <c r="G9" s="1" t="n">
        <f aca="false">MAX(F9,E9)</f>
        <v>8</v>
      </c>
    </row>
    <row r="10" customFormat="false" ht="15" hidden="false" customHeight="false" outlineLevel="0" collapsed="false">
      <c r="C10" s="1" t="s">
        <v>28</v>
      </c>
      <c r="D10" s="1" t="n">
        <v>7</v>
      </c>
    </row>
    <row r="11" customFormat="false" ht="15" hidden="false" customHeight="false" outlineLevel="0" collapsed="false">
      <c r="A11" s="1" t="n">
        <v>6</v>
      </c>
      <c r="B11" s="2" t="s">
        <v>31</v>
      </c>
      <c r="C11" s="1" t="s">
        <v>31</v>
      </c>
      <c r="D11" s="1" t="n">
        <v>7</v>
      </c>
      <c r="E11" s="1" t="n">
        <f aca="false">ROUND(AVERAGE(D11:D12),0)</f>
        <v>6</v>
      </c>
      <c r="F11" s="1" t="n">
        <v>5</v>
      </c>
      <c r="G11" s="1" t="n">
        <f aca="false">MAX(F11,E11)</f>
        <v>6</v>
      </c>
    </row>
    <row r="12" customFormat="false" ht="15" hidden="false" customHeight="false" outlineLevel="0" collapsed="false">
      <c r="C12" s="1" t="s">
        <v>31</v>
      </c>
      <c r="D12" s="1" t="n">
        <v>5</v>
      </c>
    </row>
    <row r="13" customFormat="false" ht="15" hidden="false" customHeight="false" outlineLevel="0" collapsed="false">
      <c r="A13" s="1" t="n">
        <v>7</v>
      </c>
      <c r="B13" s="2" t="s">
        <v>34</v>
      </c>
      <c r="C13" s="1" t="s">
        <v>34</v>
      </c>
      <c r="D13" s="1" t="n">
        <v>9</v>
      </c>
      <c r="G13" s="1" t="n">
        <v>9</v>
      </c>
    </row>
    <row r="14" customFormat="false" ht="15" hidden="false" customHeight="false" outlineLevel="0" collapsed="false">
      <c r="A14" s="1" t="n">
        <v>8</v>
      </c>
      <c r="B14" s="2" t="s">
        <v>37</v>
      </c>
      <c r="C14" s="1" t="s">
        <v>37</v>
      </c>
      <c r="D14" s="1" t="n">
        <v>7</v>
      </c>
      <c r="G14" s="1" t="n">
        <v>7</v>
      </c>
    </row>
    <row r="15" customFormat="false" ht="15" hidden="false" customHeight="false" outlineLevel="0" collapsed="false">
      <c r="A15" s="1" t="n">
        <v>9</v>
      </c>
      <c r="B15" s="2" t="s">
        <v>40</v>
      </c>
      <c r="C15" s="1" t="s">
        <v>40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10</v>
      </c>
      <c r="B16" s="2" t="s">
        <v>43</v>
      </c>
      <c r="C16" s="1" t="s">
        <v>43</v>
      </c>
      <c r="D16" s="1" t="n">
        <v>8</v>
      </c>
      <c r="G16" s="1" t="n">
        <v>8</v>
      </c>
    </row>
    <row r="17" customFormat="false" ht="15" hidden="false" customHeight="false" outlineLevel="0" collapsed="false">
      <c r="A17" s="1" t="n">
        <v>11</v>
      </c>
      <c r="B17" s="2" t="s">
        <v>46</v>
      </c>
      <c r="C17" s="1" t="s">
        <v>46</v>
      </c>
      <c r="D17" s="1" t="n">
        <v>8</v>
      </c>
      <c r="G17" s="1" t="n">
        <v>8</v>
      </c>
    </row>
    <row r="18" customFormat="false" ht="15" hidden="false" customHeight="false" outlineLevel="0" collapsed="false">
      <c r="A18" s="1" t="n">
        <v>12</v>
      </c>
      <c r="B18" s="2" t="s">
        <v>49</v>
      </c>
      <c r="C18" s="1" t="s">
        <v>49</v>
      </c>
      <c r="D18" s="1" t="n">
        <v>8</v>
      </c>
      <c r="G18" s="1" t="n">
        <v>8</v>
      </c>
    </row>
    <row r="19" customFormat="false" ht="15" hidden="false" customHeight="false" outlineLevel="0" collapsed="false">
      <c r="A19" s="1" t="n">
        <v>13</v>
      </c>
      <c r="B19" s="2" t="s">
        <v>52</v>
      </c>
      <c r="C19" s="1" t="s">
        <v>52</v>
      </c>
      <c r="D19" s="1" t="n">
        <v>10</v>
      </c>
      <c r="E19" s="1" t="n">
        <f aca="false">ROUND(AVERAGE(D19:D21),0)</f>
        <v>8</v>
      </c>
      <c r="F19" s="1" t="n">
        <v>9</v>
      </c>
      <c r="G19" s="1" t="n">
        <f aca="false">MAX(F19,E19)</f>
        <v>9</v>
      </c>
    </row>
    <row r="20" customFormat="false" ht="15" hidden="false" customHeight="false" outlineLevel="0" collapsed="false">
      <c r="C20" s="1" t="s">
        <v>52</v>
      </c>
      <c r="D20" s="1" t="n">
        <v>9</v>
      </c>
    </row>
    <row r="21" customFormat="false" ht="15" hidden="false" customHeight="false" outlineLevel="0" collapsed="false">
      <c r="C21" s="1" t="s">
        <v>52</v>
      </c>
      <c r="D21" s="1" t="n">
        <v>6</v>
      </c>
    </row>
    <row r="22" customFormat="false" ht="15" hidden="false" customHeight="false" outlineLevel="0" collapsed="false">
      <c r="A22" s="1" t="n">
        <v>14</v>
      </c>
      <c r="B22" s="2" t="s">
        <v>55</v>
      </c>
      <c r="C22" s="1" t="s">
        <v>55</v>
      </c>
      <c r="D22" s="1" t="n">
        <v>8</v>
      </c>
      <c r="G22" s="1" t="n">
        <v>8</v>
      </c>
    </row>
    <row r="23" customFormat="false" ht="15" hidden="false" customHeight="false" outlineLevel="0" collapsed="false">
      <c r="A23" s="1" t="n">
        <v>15</v>
      </c>
      <c r="B23" s="8" t="s">
        <v>58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16</v>
      </c>
      <c r="B24" s="2" t="s">
        <v>61</v>
      </c>
      <c r="C24" s="1" t="s">
        <v>61</v>
      </c>
      <c r="D24" s="1" t="n">
        <v>8</v>
      </c>
      <c r="E24" s="1" t="n">
        <f aca="false">ROUND(AVERAGE(D24:D27),0)</f>
        <v>7</v>
      </c>
      <c r="F24" s="1" t="n">
        <v>7</v>
      </c>
      <c r="G24" s="1" t="n">
        <f aca="false">MAX(F24,E24)</f>
        <v>7</v>
      </c>
    </row>
    <row r="25" customFormat="false" ht="15" hidden="false" customHeight="false" outlineLevel="0" collapsed="false">
      <c r="C25" s="1" t="s">
        <v>61</v>
      </c>
      <c r="D25" s="1" t="n">
        <v>8</v>
      </c>
    </row>
    <row r="26" customFormat="false" ht="15" hidden="false" customHeight="false" outlineLevel="0" collapsed="false">
      <c r="C26" s="1" t="s">
        <v>61</v>
      </c>
      <c r="D26" s="1" t="n">
        <v>7</v>
      </c>
    </row>
    <row r="27" customFormat="false" ht="15" hidden="false" customHeight="false" outlineLevel="0" collapsed="false">
      <c r="C27" s="1" t="s">
        <v>61</v>
      </c>
      <c r="D27" s="1" t="n">
        <v>6</v>
      </c>
    </row>
    <row r="28" customFormat="false" ht="15" hidden="false" customHeight="false" outlineLevel="0" collapsed="false">
      <c r="A28" s="1" t="n">
        <v>17</v>
      </c>
      <c r="B28" s="2" t="s">
        <v>64</v>
      </c>
      <c r="C28" s="1" t="s">
        <v>64</v>
      </c>
      <c r="D28" s="1" t="n">
        <v>7</v>
      </c>
      <c r="G28" s="1" t="n">
        <v>7</v>
      </c>
    </row>
    <row r="29" customFormat="false" ht="15" hidden="false" customHeight="false" outlineLevel="0" collapsed="false">
      <c r="A29" s="1" t="n">
        <v>18</v>
      </c>
      <c r="B29" s="2" t="s">
        <v>68</v>
      </c>
      <c r="D29" s="1" t="n">
        <v>1</v>
      </c>
      <c r="G29" s="1" t="n">
        <v>1</v>
      </c>
    </row>
    <row r="30" customFormat="false" ht="15" hidden="false" customHeight="false" outlineLevel="0" collapsed="false">
      <c r="A30" s="1" t="n">
        <v>19</v>
      </c>
      <c r="B30" s="2" t="s">
        <v>71</v>
      </c>
      <c r="C30" s="1" t="s">
        <v>71</v>
      </c>
      <c r="D30" s="1" t="n">
        <v>9</v>
      </c>
      <c r="G30" s="1" t="n">
        <v>9</v>
      </c>
    </row>
    <row r="31" customFormat="false" ht="15" hidden="false" customHeight="false" outlineLevel="0" collapsed="false">
      <c r="A31" s="1" t="n">
        <v>20</v>
      </c>
      <c r="B31" s="2" t="s">
        <v>74</v>
      </c>
      <c r="D31" s="1" t="n">
        <v>1</v>
      </c>
      <c r="G31" s="1" t="n">
        <v>1</v>
      </c>
    </row>
    <row r="32" customFormat="false" ht="15" hidden="false" customHeight="false" outlineLevel="0" collapsed="false">
      <c r="A32" s="1" t="n">
        <v>21</v>
      </c>
      <c r="B32" s="2" t="s">
        <v>77</v>
      </c>
      <c r="C32" s="1" t="s">
        <v>77</v>
      </c>
      <c r="D32" s="1" t="n">
        <v>10</v>
      </c>
      <c r="E32" s="1" t="n">
        <f aca="false">ROUND(AVERAGE(D32:D34),0)</f>
        <v>8</v>
      </c>
      <c r="F32" s="1" t="n">
        <v>9</v>
      </c>
      <c r="G32" s="1" t="n">
        <f aca="false">MAX(F32,E32)</f>
        <v>9</v>
      </c>
    </row>
    <row r="33" customFormat="false" ht="15" hidden="false" customHeight="false" outlineLevel="0" collapsed="false">
      <c r="C33" s="1" t="s">
        <v>77</v>
      </c>
      <c r="D33" s="1" t="n">
        <v>9</v>
      </c>
    </row>
    <row r="34" customFormat="false" ht="15" hidden="false" customHeight="false" outlineLevel="0" collapsed="false">
      <c r="C34" s="1" t="s">
        <v>77</v>
      </c>
      <c r="D34" s="1" t="n">
        <v>6</v>
      </c>
    </row>
    <row r="35" customFormat="false" ht="15" hidden="false" customHeight="false" outlineLevel="0" collapsed="false">
      <c r="A35" s="1" t="n">
        <v>22</v>
      </c>
      <c r="B35" s="2" t="s">
        <v>80</v>
      </c>
      <c r="C35" s="1" t="s">
        <v>80</v>
      </c>
      <c r="D35" s="1" t="n">
        <v>8</v>
      </c>
      <c r="E35" s="1" t="n">
        <f aca="false">ROUND(AVERAGE(D35:D36),0)</f>
        <v>8</v>
      </c>
      <c r="F35" s="1" t="n">
        <v>8</v>
      </c>
      <c r="G35" s="1" t="n">
        <f aca="false">MAX(F35,E35)</f>
        <v>8</v>
      </c>
    </row>
    <row r="36" customFormat="false" ht="15" hidden="false" customHeight="false" outlineLevel="0" collapsed="false">
      <c r="C36" s="1" t="s">
        <v>80</v>
      </c>
      <c r="D36" s="1" t="n">
        <v>8</v>
      </c>
    </row>
    <row r="37" customFormat="false" ht="15" hidden="false" customHeight="false" outlineLevel="0" collapsed="false">
      <c r="A37" s="1" t="n">
        <v>23</v>
      </c>
      <c r="B37" s="2" t="s">
        <v>83</v>
      </c>
      <c r="C37" s="1" t="s">
        <v>83</v>
      </c>
      <c r="D37" s="1" t="n">
        <v>10</v>
      </c>
      <c r="E37" s="1" t="n">
        <f aca="false">ROUND(AVERAGE(D37:D41),0)</f>
        <v>7</v>
      </c>
      <c r="F37" s="1" t="n">
        <v>9</v>
      </c>
      <c r="G37" s="1" t="n">
        <f aca="false">MAX(F37,E37)</f>
        <v>9</v>
      </c>
    </row>
    <row r="38" customFormat="false" ht="15" hidden="false" customHeight="false" outlineLevel="0" collapsed="false">
      <c r="C38" s="1" t="s">
        <v>83</v>
      </c>
      <c r="D38" s="1" t="n">
        <v>9</v>
      </c>
    </row>
    <row r="39" customFormat="false" ht="15" hidden="false" customHeight="false" outlineLevel="0" collapsed="false">
      <c r="C39" s="1" t="s">
        <v>83</v>
      </c>
      <c r="D39" s="1" t="n">
        <v>7</v>
      </c>
    </row>
    <row r="40" customFormat="false" ht="15" hidden="false" customHeight="false" outlineLevel="0" collapsed="false">
      <c r="C40" s="1" t="s">
        <v>83</v>
      </c>
      <c r="D40" s="1" t="n">
        <v>6</v>
      </c>
    </row>
    <row r="41" customFormat="false" ht="15" hidden="false" customHeight="false" outlineLevel="0" collapsed="false">
      <c r="C41" s="1" t="s">
        <v>83</v>
      </c>
      <c r="D41" s="1" t="n">
        <v>5</v>
      </c>
    </row>
    <row r="42" customFormat="false" ht="15" hidden="false" customHeight="false" outlineLevel="0" collapsed="false">
      <c r="A42" s="1" t="n">
        <v>24</v>
      </c>
      <c r="B42" s="2" t="s">
        <v>87</v>
      </c>
      <c r="C42" s="1" t="s">
        <v>87</v>
      </c>
      <c r="D42" s="1" t="n">
        <v>10</v>
      </c>
      <c r="E42" s="1" t="n">
        <f aca="false">ROUND(AVERAGE(D42:D71),0)</f>
        <v>9</v>
      </c>
      <c r="F42" s="1" t="n">
        <v>9</v>
      </c>
      <c r="G42" s="1" t="n">
        <f aca="false">MAX(F42,E42)</f>
        <v>9</v>
      </c>
    </row>
    <row r="43" customFormat="false" ht="15" hidden="false" customHeight="false" outlineLevel="0" collapsed="false">
      <c r="C43" s="1" t="s">
        <v>87</v>
      </c>
      <c r="D43" s="1" t="n">
        <v>10</v>
      </c>
    </row>
    <row r="44" customFormat="false" ht="15" hidden="false" customHeight="false" outlineLevel="0" collapsed="false">
      <c r="C44" s="1" t="s">
        <v>87</v>
      </c>
      <c r="D44" s="1" t="n">
        <v>10</v>
      </c>
    </row>
    <row r="45" customFormat="false" ht="15" hidden="false" customHeight="false" outlineLevel="0" collapsed="false">
      <c r="C45" s="1" t="s">
        <v>87</v>
      </c>
      <c r="D45" s="1" t="n">
        <v>10</v>
      </c>
    </row>
    <row r="46" customFormat="false" ht="15" hidden="false" customHeight="false" outlineLevel="0" collapsed="false">
      <c r="C46" s="1" t="s">
        <v>87</v>
      </c>
      <c r="D46" s="1" t="n">
        <v>10</v>
      </c>
    </row>
    <row r="47" customFormat="false" ht="15" hidden="false" customHeight="false" outlineLevel="0" collapsed="false">
      <c r="C47" s="1" t="s">
        <v>87</v>
      </c>
      <c r="D47" s="1" t="n">
        <v>10</v>
      </c>
    </row>
    <row r="48" customFormat="false" ht="15" hidden="false" customHeight="false" outlineLevel="0" collapsed="false">
      <c r="C48" s="1" t="s">
        <v>87</v>
      </c>
      <c r="D48" s="1" t="n">
        <v>10</v>
      </c>
    </row>
    <row r="49" customFormat="false" ht="15" hidden="false" customHeight="false" outlineLevel="0" collapsed="false">
      <c r="C49" s="1" t="s">
        <v>87</v>
      </c>
      <c r="D49" s="1" t="n">
        <v>10</v>
      </c>
    </row>
    <row r="50" customFormat="false" ht="15" hidden="false" customHeight="false" outlineLevel="0" collapsed="false">
      <c r="C50" s="1" t="s">
        <v>87</v>
      </c>
      <c r="D50" s="1" t="n">
        <v>10</v>
      </c>
    </row>
    <row r="51" customFormat="false" ht="15" hidden="false" customHeight="false" outlineLevel="0" collapsed="false">
      <c r="C51" s="1" t="s">
        <v>87</v>
      </c>
      <c r="D51" s="1" t="n">
        <v>10</v>
      </c>
    </row>
    <row r="52" customFormat="false" ht="15" hidden="false" customHeight="false" outlineLevel="0" collapsed="false">
      <c r="C52" s="1" t="s">
        <v>87</v>
      </c>
      <c r="D52" s="1" t="n">
        <v>10</v>
      </c>
    </row>
    <row r="53" customFormat="false" ht="15" hidden="false" customHeight="false" outlineLevel="0" collapsed="false">
      <c r="C53" s="1" t="s">
        <v>87</v>
      </c>
      <c r="D53" s="1" t="n">
        <v>10</v>
      </c>
    </row>
    <row r="54" customFormat="false" ht="15" hidden="false" customHeight="false" outlineLevel="0" collapsed="false">
      <c r="C54" s="1" t="s">
        <v>87</v>
      </c>
      <c r="D54" s="1" t="n">
        <v>10</v>
      </c>
    </row>
    <row r="55" customFormat="false" ht="15" hidden="false" customHeight="false" outlineLevel="0" collapsed="false">
      <c r="C55" s="1" t="s">
        <v>87</v>
      </c>
      <c r="D55" s="1" t="n">
        <v>10</v>
      </c>
    </row>
    <row r="56" customFormat="false" ht="15" hidden="false" customHeight="false" outlineLevel="0" collapsed="false">
      <c r="C56" s="1" t="s">
        <v>87</v>
      </c>
      <c r="D56" s="1" t="n">
        <v>9</v>
      </c>
    </row>
    <row r="57" customFormat="false" ht="15" hidden="false" customHeight="false" outlineLevel="0" collapsed="false">
      <c r="C57" s="1" t="s">
        <v>87</v>
      </c>
      <c r="D57" s="1" t="n">
        <v>9</v>
      </c>
    </row>
    <row r="58" customFormat="false" ht="15" hidden="false" customHeight="false" outlineLevel="0" collapsed="false">
      <c r="C58" s="1" t="s">
        <v>87</v>
      </c>
      <c r="D58" s="1" t="n">
        <v>9</v>
      </c>
    </row>
    <row r="59" customFormat="false" ht="15" hidden="false" customHeight="false" outlineLevel="0" collapsed="false">
      <c r="C59" s="1" t="s">
        <v>87</v>
      </c>
      <c r="D59" s="1" t="n">
        <v>9</v>
      </c>
    </row>
    <row r="60" customFormat="false" ht="15" hidden="false" customHeight="false" outlineLevel="0" collapsed="false">
      <c r="C60" s="1" t="s">
        <v>87</v>
      </c>
      <c r="D60" s="1" t="n">
        <v>9</v>
      </c>
    </row>
    <row r="61" customFormat="false" ht="15" hidden="false" customHeight="false" outlineLevel="0" collapsed="false">
      <c r="C61" s="1" t="s">
        <v>87</v>
      </c>
      <c r="D61" s="1" t="n">
        <v>9</v>
      </c>
    </row>
    <row r="62" customFormat="false" ht="15" hidden="false" customHeight="false" outlineLevel="0" collapsed="false">
      <c r="C62" s="1" t="s">
        <v>87</v>
      </c>
      <c r="D62" s="1" t="n">
        <v>9</v>
      </c>
    </row>
    <row r="63" customFormat="false" ht="15" hidden="false" customHeight="false" outlineLevel="0" collapsed="false">
      <c r="C63" s="1" t="s">
        <v>87</v>
      </c>
      <c r="D63" s="1" t="n">
        <v>9</v>
      </c>
    </row>
    <row r="64" customFormat="false" ht="15" hidden="false" customHeight="false" outlineLevel="0" collapsed="false">
      <c r="C64" s="1" t="s">
        <v>87</v>
      </c>
      <c r="D64" s="1" t="n">
        <v>8</v>
      </c>
    </row>
    <row r="65" customFormat="false" ht="15" hidden="false" customHeight="false" outlineLevel="0" collapsed="false">
      <c r="C65" s="1" t="s">
        <v>87</v>
      </c>
      <c r="D65" s="1" t="n">
        <v>8</v>
      </c>
    </row>
    <row r="66" customFormat="false" ht="15" hidden="false" customHeight="false" outlineLevel="0" collapsed="false">
      <c r="C66" s="1" t="s">
        <v>87</v>
      </c>
      <c r="D66" s="1" t="n">
        <v>8</v>
      </c>
    </row>
    <row r="67" customFormat="false" ht="15" hidden="false" customHeight="false" outlineLevel="0" collapsed="false">
      <c r="C67" s="1" t="s">
        <v>87</v>
      </c>
      <c r="D67" s="1" t="n">
        <v>7</v>
      </c>
    </row>
    <row r="68" customFormat="false" ht="15" hidden="false" customHeight="false" outlineLevel="0" collapsed="false">
      <c r="C68" s="1" t="s">
        <v>87</v>
      </c>
      <c r="D68" s="1" t="n">
        <v>7</v>
      </c>
    </row>
    <row r="69" customFormat="false" ht="15" hidden="false" customHeight="false" outlineLevel="0" collapsed="false">
      <c r="C69" s="1" t="s">
        <v>87</v>
      </c>
      <c r="D69" s="1" t="n">
        <v>7</v>
      </c>
    </row>
    <row r="70" customFormat="false" ht="15" hidden="false" customHeight="false" outlineLevel="0" collapsed="false">
      <c r="C70" s="1" t="s">
        <v>87</v>
      </c>
      <c r="D70" s="1" t="n">
        <v>4</v>
      </c>
    </row>
    <row r="71" customFormat="false" ht="15" hidden="false" customHeight="false" outlineLevel="0" collapsed="false">
      <c r="C71" s="1" t="s">
        <v>87</v>
      </c>
      <c r="D71" s="1" t="n">
        <v>4</v>
      </c>
    </row>
    <row r="72" customFormat="false" ht="15" hidden="false" customHeight="false" outlineLevel="0" collapsed="false">
      <c r="A72" s="1" t="n">
        <v>25</v>
      </c>
      <c r="B72" s="2" t="s">
        <v>90</v>
      </c>
      <c r="C72" s="1" t="s">
        <v>90</v>
      </c>
      <c r="D72" s="1" t="n">
        <v>9</v>
      </c>
      <c r="G72" s="1" t="n">
        <v>9</v>
      </c>
    </row>
    <row r="73" customFormat="false" ht="15" hidden="false" customHeight="false" outlineLevel="0" collapsed="false">
      <c r="A73" s="1" t="n">
        <v>26</v>
      </c>
      <c r="B73" s="2" t="s">
        <v>93</v>
      </c>
      <c r="C73" s="1" t="s">
        <v>93</v>
      </c>
      <c r="D73" s="1" t="n">
        <v>8</v>
      </c>
      <c r="E73" s="1" t="n">
        <f aca="false">ROUND(AVERAGE(D73:D99),0)</f>
        <v>6</v>
      </c>
      <c r="F73" s="1" t="n">
        <v>4</v>
      </c>
      <c r="G73" s="1" t="n">
        <f aca="false">MAX(F73,E73)</f>
        <v>6</v>
      </c>
    </row>
    <row r="74" customFormat="false" ht="15" hidden="false" customHeight="false" outlineLevel="0" collapsed="false">
      <c r="C74" s="1" t="s">
        <v>93</v>
      </c>
      <c r="D74" s="1" t="n">
        <v>4</v>
      </c>
    </row>
    <row r="75" customFormat="false" ht="15" hidden="false" customHeight="false" outlineLevel="0" collapsed="false">
      <c r="F75" s="1" t="s">
        <v>9</v>
      </c>
      <c r="G75" s="1" t="n">
        <f aca="false">COUNTIF(G2:G74,"&gt;0")</f>
        <v>26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3" min="2" style="1" width="18.25"/>
  </cols>
  <sheetData>
    <row r="4" customFormat="false" ht="15" hidden="false" customHeight="false" outlineLevel="0" collapsed="false">
      <c r="A4" s="1" t="s">
        <v>0</v>
      </c>
      <c r="B4" s="2" t="s">
        <v>2</v>
      </c>
      <c r="C4" s="1" t="s">
        <v>2</v>
      </c>
      <c r="D4" s="1" t="s">
        <v>108</v>
      </c>
      <c r="E4" s="1" t="s">
        <v>109</v>
      </c>
      <c r="F4" s="1" t="s">
        <v>110</v>
      </c>
      <c r="G4" s="1" t="s">
        <v>111</v>
      </c>
    </row>
    <row r="5" customFormat="false" ht="15" hidden="false" customHeight="false" outlineLevel="0" collapsed="false">
      <c r="A5" s="1" t="n">
        <v>1</v>
      </c>
      <c r="B5" s="2" t="s">
        <v>12</v>
      </c>
      <c r="C5" s="1" t="s">
        <v>12</v>
      </c>
      <c r="D5" s="1" t="n">
        <v>9</v>
      </c>
      <c r="G5" s="1" t="n">
        <v>9</v>
      </c>
    </row>
    <row r="6" customFormat="false" ht="15" hidden="false" customHeight="false" outlineLevel="0" collapsed="false">
      <c r="A6" s="1" t="n">
        <v>2</v>
      </c>
      <c r="B6" s="7" t="s">
        <v>19</v>
      </c>
      <c r="C6" s="1" t="s">
        <v>19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3</v>
      </c>
      <c r="B7" s="2" t="s">
        <v>22</v>
      </c>
      <c r="C7" s="1" t="s">
        <v>22</v>
      </c>
      <c r="D7" s="1" t="n">
        <v>9</v>
      </c>
      <c r="G7" s="1" t="n">
        <v>9</v>
      </c>
    </row>
    <row r="8" customFormat="false" ht="15" hidden="false" customHeight="false" outlineLevel="0" collapsed="false">
      <c r="A8" s="1" t="n">
        <v>4</v>
      </c>
      <c r="B8" s="2" t="s">
        <v>25</v>
      </c>
      <c r="C8" s="1" t="s">
        <v>25</v>
      </c>
      <c r="D8" s="1" t="n">
        <v>9</v>
      </c>
      <c r="G8" s="1" t="n">
        <v>9</v>
      </c>
    </row>
    <row r="9" customFormat="false" ht="15" hidden="false" customHeight="false" outlineLevel="0" collapsed="false">
      <c r="A9" s="1" t="n">
        <v>5</v>
      </c>
      <c r="B9" s="2" t="s">
        <v>28</v>
      </c>
      <c r="C9" s="1" t="s">
        <v>28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6</v>
      </c>
      <c r="B10" s="2" t="s">
        <v>31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7</v>
      </c>
      <c r="B11" s="2" t="s">
        <v>34</v>
      </c>
      <c r="C11" s="1" t="s">
        <v>34</v>
      </c>
      <c r="D11" s="1" t="n">
        <v>10</v>
      </c>
      <c r="G11" s="1" t="n">
        <v>10</v>
      </c>
    </row>
    <row r="12" customFormat="false" ht="15" hidden="false" customHeight="false" outlineLevel="0" collapsed="false">
      <c r="A12" s="1" t="n">
        <v>8</v>
      </c>
      <c r="B12" s="2" t="s">
        <v>37</v>
      </c>
      <c r="C12" s="1" t="s">
        <v>37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9</v>
      </c>
      <c r="B13" s="2" t="s">
        <v>40</v>
      </c>
      <c r="C13" s="1" t="s">
        <v>40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10</v>
      </c>
      <c r="B14" s="2" t="s">
        <v>43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11</v>
      </c>
      <c r="B15" s="2" t="s">
        <v>46</v>
      </c>
      <c r="C15" s="1" t="s">
        <v>46</v>
      </c>
      <c r="D15" s="1" t="n">
        <v>8</v>
      </c>
      <c r="G15" s="1" t="n">
        <v>8</v>
      </c>
    </row>
    <row r="16" customFormat="false" ht="15" hidden="false" customHeight="false" outlineLevel="0" collapsed="false">
      <c r="A16" s="1" t="n">
        <v>12</v>
      </c>
      <c r="B16" s="2" t="s">
        <v>49</v>
      </c>
      <c r="D16" s="1" t="n">
        <v>1</v>
      </c>
      <c r="G16" s="1" t="n">
        <v>1</v>
      </c>
    </row>
    <row r="17" customFormat="false" ht="15" hidden="false" customHeight="false" outlineLevel="0" collapsed="false">
      <c r="A17" s="1" t="n">
        <v>13</v>
      </c>
      <c r="B17" s="2" t="s">
        <v>52</v>
      </c>
      <c r="C17" s="1" t="s">
        <v>52</v>
      </c>
      <c r="D17" s="1" t="n">
        <v>10</v>
      </c>
      <c r="G17" s="1" t="n">
        <v>10</v>
      </c>
    </row>
    <row r="18" customFormat="false" ht="15" hidden="false" customHeight="false" outlineLevel="0" collapsed="false">
      <c r="A18" s="1" t="n">
        <v>14</v>
      </c>
      <c r="B18" s="2" t="s">
        <v>55</v>
      </c>
      <c r="C18" s="1" t="s">
        <v>55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15</v>
      </c>
      <c r="B19" s="8" t="s">
        <v>58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16</v>
      </c>
      <c r="B20" s="2" t="s">
        <v>61</v>
      </c>
      <c r="C20" s="1" t="s">
        <v>61</v>
      </c>
      <c r="D20" s="1" t="n">
        <v>8</v>
      </c>
      <c r="G20" s="1" t="n">
        <v>8</v>
      </c>
    </row>
    <row r="21" customFormat="false" ht="15" hidden="false" customHeight="false" outlineLevel="0" collapsed="false">
      <c r="A21" s="1" t="n">
        <v>17</v>
      </c>
      <c r="B21" s="2" t="s">
        <v>64</v>
      </c>
      <c r="C21" s="1" t="s">
        <v>64</v>
      </c>
      <c r="D21" s="1" t="n">
        <v>10</v>
      </c>
      <c r="G21" s="1" t="n">
        <v>10</v>
      </c>
    </row>
    <row r="22" customFormat="false" ht="15" hidden="false" customHeight="false" outlineLevel="0" collapsed="false">
      <c r="A22" s="1" t="n">
        <v>18</v>
      </c>
      <c r="B22" s="2" t="s">
        <v>68</v>
      </c>
      <c r="D22" s="1" t="n">
        <v>1</v>
      </c>
      <c r="G22" s="1" t="n">
        <v>1</v>
      </c>
    </row>
    <row r="23" customFormat="false" ht="15" hidden="false" customHeight="false" outlineLevel="0" collapsed="false">
      <c r="A23" s="1" t="n">
        <v>19</v>
      </c>
      <c r="B23" s="2" t="s">
        <v>71</v>
      </c>
      <c r="C23" s="1" t="s">
        <v>71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20</v>
      </c>
      <c r="B24" s="2" t="s">
        <v>74</v>
      </c>
      <c r="C24" s="1" t="s">
        <v>74</v>
      </c>
      <c r="D24" s="1" t="n">
        <v>10</v>
      </c>
      <c r="G24" s="1" t="n">
        <v>10</v>
      </c>
    </row>
    <row r="25" customFormat="false" ht="15" hidden="false" customHeight="false" outlineLevel="0" collapsed="false">
      <c r="A25" s="1" t="n">
        <v>21</v>
      </c>
      <c r="B25" s="2" t="s">
        <v>77</v>
      </c>
      <c r="C25" s="1" t="s">
        <v>77</v>
      </c>
      <c r="D25" s="1" t="n">
        <v>9</v>
      </c>
      <c r="G25" s="1" t="n">
        <v>9</v>
      </c>
    </row>
    <row r="26" customFormat="false" ht="15" hidden="false" customHeight="false" outlineLevel="0" collapsed="false">
      <c r="A26" s="1" t="n">
        <v>22</v>
      </c>
      <c r="B26" s="2" t="s">
        <v>80</v>
      </c>
      <c r="C26" s="1" t="s">
        <v>80</v>
      </c>
      <c r="D26" s="1" t="n">
        <v>10</v>
      </c>
      <c r="G26" s="1" t="n">
        <v>10</v>
      </c>
    </row>
    <row r="27" customFormat="false" ht="15" hidden="false" customHeight="false" outlineLevel="0" collapsed="false">
      <c r="A27" s="1" t="n">
        <v>23</v>
      </c>
      <c r="B27" s="2" t="s">
        <v>83</v>
      </c>
      <c r="C27" s="1" t="s">
        <v>83</v>
      </c>
      <c r="D27" s="1" t="n">
        <v>10</v>
      </c>
      <c r="G27" s="1" t="n">
        <v>10</v>
      </c>
    </row>
    <row r="28" customFormat="false" ht="15" hidden="false" customHeight="false" outlineLevel="0" collapsed="false">
      <c r="C28" s="1" t="s">
        <v>83</v>
      </c>
      <c r="D28" s="1" t="n">
        <v>9</v>
      </c>
    </row>
    <row r="29" customFormat="false" ht="15" hidden="false" customHeight="false" outlineLevel="0" collapsed="false">
      <c r="A29" s="1" t="n">
        <v>24</v>
      </c>
      <c r="B29" s="2" t="s">
        <v>87</v>
      </c>
      <c r="C29" s="1" t="s">
        <v>87</v>
      </c>
      <c r="D29" s="1" t="n">
        <v>10</v>
      </c>
      <c r="G29" s="1" t="n">
        <v>10</v>
      </c>
    </row>
    <row r="30" customFormat="false" ht="15" hidden="false" customHeight="false" outlineLevel="0" collapsed="false">
      <c r="A30" s="1" t="n">
        <v>25</v>
      </c>
      <c r="B30" s="2" t="s">
        <v>90</v>
      </c>
      <c r="C30" s="1" t="s">
        <v>90</v>
      </c>
      <c r="D30" s="1" t="n">
        <v>10</v>
      </c>
      <c r="G30" s="1" t="n">
        <v>10</v>
      </c>
    </row>
    <row r="31" customFormat="false" ht="15" hidden="false" customHeight="false" outlineLevel="0" collapsed="false">
      <c r="A31" s="1" t="n">
        <v>26</v>
      </c>
      <c r="B31" s="2" t="s">
        <v>93</v>
      </c>
      <c r="C31" s="1" t="s">
        <v>93</v>
      </c>
      <c r="D31" s="1" t="n">
        <v>10</v>
      </c>
      <c r="G31" s="1" t="n">
        <v>10</v>
      </c>
    </row>
    <row r="32" customFormat="false" ht="15" hidden="false" customHeight="false" outlineLevel="0" collapsed="false">
      <c r="F32" s="1" t="s">
        <v>9</v>
      </c>
      <c r="G32" s="1" t="n">
        <f aca="false">COUNTIF(G5:G31,"&gt;0")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2026-06-19T15:17:35Z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