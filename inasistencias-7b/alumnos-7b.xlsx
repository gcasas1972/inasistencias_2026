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stencia" sheetId="1" state="visible" r:id="rId3"/>
    <sheet name="notas" sheetId="2" state="visible" r:id="rId4"/>
    <sheet name="1-uml" sheetId="3" state="visible" r:id="rId5"/>
    <sheet name="2-Da" sheetId="4" state="visible" r:id="rId6"/>
    <sheet name="3-DCU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<sst xmlns="http://schemas.openxmlformats.org/spreadsheetml/2006/main" count="613" uniqueCount="102">
  <si>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</si>
  <si>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</si>
  <si>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</si>
  <si>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</si>
  <si>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</si>
  <si>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presentes</t>
  </si>
  <si>
    <t xml:space="preserve">media</t>
  </si>
  <si>
    <t xml:space="preserve">tarde</t>
  </si>
  <si>
    <t xml:space="preserve">ausente</t>
  </si>
  <si>
    <t xml:space="preserve">total</t>
  </si>
  <si>
    <t xml:space="preserve">nota</t>
  </si>
  <si>
    <t xml:space="preserve">Luciano</t>
  </si>
  <si>
    <t xml:space="preserve">ALVAREZ</t>
  </si>
  <si>
    <t xml:space="preserve">48639171@gmail.com</t>
  </si>
  <si>
    <t xml:space="preserve">P</t>
  </si>
  <si>
    <t xml:space="preserve">A</t>
  </si>
  <si>
    <t xml:space="preserve">T</t>
  </si>
  <si>
    <t xml:space="preserve">Lucas Gabriel</t>
  </si>
  <si>
    <t xml:space="preserve">BARONE</t>
  </si>
  <si>
    <t xml:space="preserve">48367166@gmail.com</t>
  </si>
  <si>
    <t xml:space="preserve">Rodrigo Matías</t>
  </si>
  <si>
    <t xml:space="preserve">BERMUDEZ</t>
  </si>
  <si>
    <t xml:space="preserve">ytrodripro@gmail.com</t>
  </si>
  <si>
    <t xml:space="preserve">Bruno Leonel</t>
  </si>
  <si>
    <t xml:space="preserve">BRITEZ VIEIRA</t>
  </si>
  <si>
    <t xml:space="preserve">48565674@gmail.com</t>
  </si>
  <si>
    <t xml:space="preserve">Genaro Matias</t>
  </si>
  <si>
    <t xml:space="preserve">CHIARAPPA</t>
  </si>
  <si>
    <t xml:space="preserve">48296237@gmail.com</t>
  </si>
  <si>
    <t xml:space="preserve">M</t>
  </si>
  <si>
    <t xml:space="preserve">David Alejandro</t>
  </si>
  <si>
    <t xml:space="preserve">COCERES</t>
  </si>
  <si>
    <t xml:space="preserve">davidcoceres6@gmail.com</t>
  </si>
  <si>
    <t xml:space="preserve">Agustin</t>
  </si>
  <si>
    <t xml:space="preserve">della bosca</t>
  </si>
  <si>
    <t xml:space="preserve">dellaboscaagustin34@gmail.com</t>
  </si>
  <si>
    <t xml:space="preserve">Nicolás Ezequiel</t>
  </si>
  <si>
    <t xml:space="preserve">Dufou</t>
  </si>
  <si>
    <t xml:space="preserve">48433229@gmail.com</t>
  </si>
  <si>
    <t xml:space="preserve">Alexis Tomas</t>
  </si>
  <si>
    <t xml:space="preserve">Gimenez Altamiranda</t>
  </si>
  <si>
    <t xml:space="preserve">46733686@gmail.com</t>
  </si>
  <si>
    <t xml:space="preserve">Fabricio</t>
  </si>
  <si>
    <t xml:space="preserve">GODOY ERAZO</t>
  </si>
  <si>
    <t xml:space="preserve">fabrigodoye@gmail.com</t>
  </si>
  <si>
    <t xml:space="preserve">Santiago Daniel</t>
  </si>
  <si>
    <t xml:space="preserve">Ivanoff Direnzo</t>
  </si>
  <si>
    <t xml:space="preserve">santyagobartolo@gmail.com</t>
  </si>
  <si>
    <t xml:space="preserve">Tania Erika</t>
  </si>
  <si>
    <t xml:space="preserve">KOSTEN</t>
  </si>
  <si>
    <t xml:space="preserve">taniakosten7@gmail.com</t>
  </si>
  <si>
    <t xml:space="preserve">Micaela</t>
  </si>
  <si>
    <t xml:space="preserve">Lebeña</t>
  </si>
  <si>
    <t xml:space="preserve">mclebena@gmail.com</t>
  </si>
  <si>
    <t xml:space="preserve">Ramiro</t>
  </si>
  <si>
    <t xml:space="preserve">Monaco</t>
  </si>
  <si>
    <t xml:space="preserve">47690523@gmail.com</t>
  </si>
  <si>
    <t xml:space="preserve">Nazareno Ezequiel</t>
  </si>
  <si>
    <t xml:space="preserve">OLEA</t>
  </si>
  <si>
    <t xml:space="preserve">48647037@gmail.com</t>
  </si>
  <si>
    <t xml:space="preserve">16;20</t>
  </si>
  <si>
    <t xml:space="preserve">Leonel Maximiliano</t>
  </si>
  <si>
    <t xml:space="preserve">Paz</t>
  </si>
  <si>
    <t xml:space="preserve">leochankun1@gmail.com</t>
  </si>
  <si>
    <t xml:space="preserve">Carla Michelle</t>
  </si>
  <si>
    <t xml:space="preserve">RIVERO</t>
  </si>
  <si>
    <t xml:space="preserve">48806800@gmail.com</t>
  </si>
  <si>
    <t xml:space="preserve">Anastasia Jasmin</t>
  </si>
  <si>
    <t xml:space="preserve">RODRIGUEZ</t>
  </si>
  <si>
    <t xml:space="preserve">48236996@gmail.com</t>
  </si>
  <si>
    <t xml:space="preserve">Juan Angel</t>
  </si>
  <si>
    <t xml:space="preserve">Rusca</t>
  </si>
  <si>
    <t xml:space="preserve">juanrusca87@gmail.com</t>
  </si>
  <si>
    <t xml:space="preserve">Nahuel David</t>
  </si>
  <si>
    <t xml:space="preserve">Sayago</t>
  </si>
  <si>
    <t xml:space="preserve">nahueldavidsayago@gmail.com</t>
  </si>
  <si>
    <t xml:space="preserve">Alejo Nicolas</t>
  </si>
  <si>
    <t xml:space="preserve">SUAREZ</t>
  </si>
  <si>
    <t xml:space="preserve">alejosuarezescuela@gmail.com</t>
  </si>
  <si>
    <t xml:space="preserve">Marcos Ulises</t>
  </si>
  <si>
    <t xml:space="preserve">VERGARA</t>
  </si>
  <si>
    <t xml:space="preserve">48639083@gmail.com</t>
  </si>
  <si>
    <t xml:space="preserve">Damian Valentin</t>
  </si>
  <si>
    <t xml:space="preserve">VIDELA</t>
  </si>
  <si>
    <t xml:space="preserve">48639739@gmail.com</t>
  </si>
  <si>
    <t xml:space="preserve">Amadeo Siro</t>
  </si>
  <si>
    <t xml:space="preserve">Zalazar Rivas</t>
  </si>
  <si>
    <t xml:space="preserve">48639268@gmail.com</t>
  </si>
  <si>
    <t xml:space="preserve">total presentes</t>
  </si>
  <si>
    <t xml:space="preserve">media falta</t>
  </si>
  <si>
    <t xml:space="preserve">total con tarddes y muy tarders</t>
  </si>
  <si>
    <t xml:space="preserve">1-uml</t>
  </si>
  <si>
    <t xml:space="preserve">Recup</t>
  </si>
  <si>
    <t xml:space="preserve">2-DA</t>
  </si>
  <si>
    <t xml:space="preserve">3-Dcu</t>
  </si>
  <si>
    <t xml:space="preserve">Asistencia</t>
  </si>
  <si>
    <t xml:space="preserve">valora</t>
  </si>
  <si>
    <t xml:space="preserve">Calificación/10,00</t>
  </si>
  <si>
    <t xml:space="preserve">promedio</t>
  </si>
  <si>
    <t xml:space="preserve">segundo </t>
  </si>
  <si>
    <t xml:space="preserve">final</t>
  </si>
  <si>
    <t xml:space="preserve">segundo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</si>
</sst>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hh:mm:ss"/>
    <numFmt numFmtId="167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30"/>
  <sheetViews>
    <sheetView showFormulas="false" showGridLines="true" showRowColHeaders="true" showZeros="true" rightToLeft="false" tabSelected="false" showOutlineSymbols="true" defaultGridColor="true" view="normal" topLeftCell="A14" colorId="64" zoomScale="95" zoomScaleNormal="95" zoomScalePageLayoutView="100" workbookViewId="0">
      <selection pane="topLeft" activeCell="AC27" activeCellId="0" sqref="AC27"/>
    </sheetView>
  </sheetViews>
  <sheetFormatPr defaultColWidth="8.76953125" defaultRowHeight="15" zeroHeight="false" outlineLevelRow="0" outlineLevelCol="0"/>
  <cols>
    <col collapsed="false" customWidth="true" hidden="false" outlineLevel="0" max="1" min="1" style="1" width="4.43"/>
    <col collapsed="false" customWidth="true" hidden="true" outlineLevel="0" max="2" min="2" style="1" width="17.7"/>
    <col collapsed="false" customWidth="true" hidden="false" outlineLevel="0" max="3" min="3" style="1" width="13.43"/>
    <col collapsed="false" customWidth="true" hidden="true" outlineLevel="0" max="4" min="4" style="1" width="31.19"/>
    <col collapsed="false" customWidth="true" hidden="true" outlineLevel="0" max="5" min="5" style="1" width="8.69"/>
    <col collapsed="false" customWidth="false" hidden="true" outlineLevel="0" max="27" min="6" style="1" width="8.77"/>
    <col collapsed="false" customWidth="true" hidden="false" outlineLevel="0" max="16384" min="16343" style="1" width="10.58"/>
  </cols>
  <sheetData>
    <row r="1" customFormat="false" ht="15" hidden="false" customHeight="false" outlineLevel="0" collapsed="false">
      <c r="B1" s="2"/>
      <c r="C1" s="2"/>
      <c r="D1" s="2"/>
      <c r="E1" s="3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3" t="n">
        <v>46093</v>
      </c>
      <c r="F2" s="3" t="n">
        <v>46100</v>
      </c>
      <c r="G2" s="2" t="s">
        <v>4</v>
      </c>
      <c r="H2" s="3" t="n">
        <v>46107</v>
      </c>
      <c r="I2" s="3" t="n">
        <v>46121</v>
      </c>
      <c r="J2" s="3" t="s">
        <v>4</v>
      </c>
      <c r="K2" s="3" t="n">
        <v>46128</v>
      </c>
      <c r="L2" s="3" t="s">
        <v>4</v>
      </c>
      <c r="M2" s="3" t="n">
        <v>46135</v>
      </c>
      <c r="N2" s="3" t="n">
        <v>46149</v>
      </c>
      <c r="O2" s="3" t="s">
        <v>4</v>
      </c>
      <c r="P2" s="3" t="n">
        <v>46156</v>
      </c>
      <c r="Q2" s="3" t="s">
        <v>4</v>
      </c>
      <c r="R2" s="3" t="n">
        <v>46163</v>
      </c>
      <c r="S2" s="3" t="s">
        <v>4</v>
      </c>
      <c r="T2" s="3" t="n">
        <v>46170</v>
      </c>
      <c r="U2" s="3" t="s">
        <v>4</v>
      </c>
      <c r="V2" s="3" t="s">
        <v>5</v>
      </c>
      <c r="W2" s="3" t="s">
        <v>6</v>
      </c>
      <c r="X2" s="3" t="s">
        <v>7</v>
      </c>
      <c r="Y2" s="3" t="s">
        <v>8</v>
      </c>
      <c r="Z2" s="3" t="s">
        <v>9</v>
      </c>
      <c r="AA2" s="3" t="s">
        <v>10</v>
      </c>
      <c r="AB2" s="3" t="n">
        <v>46184</v>
      </c>
      <c r="AC2" s="3" t="n">
        <v>46167</v>
      </c>
      <c r="AD2" s="3" t="n">
        <v>46198</v>
      </c>
      <c r="AE2" s="3" t="n">
        <v>46205</v>
      </c>
      <c r="AF2" s="3" t="n">
        <v>46212</v>
      </c>
      <c r="AG2" s="3" t="n">
        <v>46219</v>
      </c>
      <c r="AH2" s="3" t="n">
        <v>46226</v>
      </c>
      <c r="AI2" s="3" t="n">
        <v>46233</v>
      </c>
      <c r="AJ2" s="3" t="n">
        <v>46240</v>
      </c>
      <c r="AK2" s="3" t="n">
        <v>46247</v>
      </c>
      <c r="AL2" s="3" t="n">
        <v>46254</v>
      </c>
      <c r="AM2" s="3" t="n">
        <v>46261</v>
      </c>
      <c r="AN2" s="3" t="n">
        <v>46268</v>
      </c>
      <c r="AO2" s="3" t="n">
        <v>46275</v>
      </c>
      <c r="AP2" s="3" t="n">
        <v>46282</v>
      </c>
      <c r="AQ2" s="3" t="n">
        <v>46289</v>
      </c>
      <c r="AR2" s="3" t="n">
        <v>46296</v>
      </c>
      <c r="AS2" s="3" t="n">
        <v>46303</v>
      </c>
      <c r="AT2" s="3" t="n">
        <v>46310</v>
      </c>
      <c r="AU2" s="3" t="n">
        <v>46317</v>
      </c>
      <c r="AV2" s="3" t="n">
        <v>46324</v>
      </c>
      <c r="AW2" s="3" t="n">
        <v>46331</v>
      </c>
      <c r="AX2" s="3" t="n">
        <v>46338</v>
      </c>
      <c r="AY2" s="3" t="n">
        <v>46345</v>
      </c>
      <c r="AZ2" s="3" t="n">
        <v>46352</v>
      </c>
      <c r="BA2" s="3" t="n">
        <v>46359</v>
      </c>
      <c r="BB2" s="3" t="n">
        <v>46366</v>
      </c>
      <c r="BC2" s="3" t="n">
        <v>46373</v>
      </c>
      <c r="BD2" s="3" t="n">
        <v>46380</v>
      </c>
      <c r="BE2" s="3" t="n">
        <v>46387</v>
      </c>
      <c r="BF2" s="3"/>
      <c r="BG2" s="3"/>
      <c r="BH2" s="3"/>
      <c r="BI2" s="3"/>
      <c r="BJ2" s="3"/>
      <c r="BK2" s="3"/>
      <c r="BL2" s="3"/>
    </row>
    <row r="3" customFormat="false" ht="15" hidden="false" customHeight="false" outlineLevel="0" collapsed="false">
      <c r="A3" s="1" t="n">
        <v>1</v>
      </c>
      <c r="B3" s="1" t="s">
        <v>11</v>
      </c>
      <c r="C3" s="1" t="s">
        <v>12</v>
      </c>
      <c r="D3" s="1" t="s">
        <v>13</v>
      </c>
      <c r="E3" s="1" t="s">
        <v>14</v>
      </c>
      <c r="F3" s="2" t="s">
        <v>15</v>
      </c>
      <c r="H3" s="2" t="s">
        <v>15</v>
      </c>
      <c r="I3" s="2" t="s">
        <v>14</v>
      </c>
      <c r="K3" s="2" t="s">
        <v>15</v>
      </c>
      <c r="M3" s="2" t="s">
        <v>14</v>
      </c>
      <c r="N3" s="2" t="s">
        <v>15</v>
      </c>
      <c r="P3" s="2" t="s">
        <v>16</v>
      </c>
      <c r="Q3" s="4" t="n">
        <v>0.667361111111111</v>
      </c>
      <c r="R3" s="2" t="s">
        <v>16</v>
      </c>
      <c r="S3" s="4" t="n">
        <v>0.666666666666667</v>
      </c>
      <c r="T3" s="2" t="s">
        <v>15</v>
      </c>
      <c r="V3" s="2" t="n">
        <f aca="false">COUNTIF(E3:U3,"P")</f>
        <v>3</v>
      </c>
      <c r="W3" s="2" t="n">
        <f aca="false">COUNTIF(E3:U3,"M")</f>
        <v>0</v>
      </c>
      <c r="X3" s="2" t="n">
        <f aca="false">COUNTIF(E3:U3,"T")</f>
        <v>2</v>
      </c>
      <c r="Y3" s="2" t="n">
        <f aca="false">COUNTIF(E3:U3,"A")</f>
        <v>5</v>
      </c>
      <c r="Z3" s="2" t="n">
        <f aca="false">SUM(V3:Y3)</f>
        <v>10</v>
      </c>
      <c r="AA3" s="5" t="n">
        <f aca="false">ROUND((V3+W3/2+X3/4)*10/Z3,0)</f>
        <v>4</v>
      </c>
      <c r="AB3" s="2" t="s">
        <v>14</v>
      </c>
      <c r="AC3" s="2" t="s">
        <v>14</v>
      </c>
    </row>
    <row r="4" customFormat="false" ht="15" hidden="false" customHeight="false" outlineLevel="0" collapsed="false">
      <c r="A4" s="1" t="n">
        <v>2</v>
      </c>
      <c r="B4" s="1" t="s">
        <v>17</v>
      </c>
      <c r="C4" s="1" t="s">
        <v>18</v>
      </c>
      <c r="D4" s="1" t="s">
        <v>19</v>
      </c>
      <c r="E4" s="1" t="s">
        <v>14</v>
      </c>
      <c r="F4" s="2" t="s">
        <v>14</v>
      </c>
      <c r="H4" s="2" t="s">
        <v>14</v>
      </c>
      <c r="I4" s="2" t="s">
        <v>14</v>
      </c>
      <c r="K4" s="2" t="s">
        <v>16</v>
      </c>
      <c r="L4" s="4" t="n">
        <v>0.659722222222222</v>
      </c>
      <c r="M4" s="2" t="s">
        <v>14</v>
      </c>
      <c r="N4" s="2" t="s">
        <v>16</v>
      </c>
      <c r="P4" s="2" t="s">
        <v>16</v>
      </c>
      <c r="Q4" s="4" t="n">
        <v>0.675</v>
      </c>
      <c r="R4" s="2" t="s">
        <v>16</v>
      </c>
      <c r="S4" s="4" t="n">
        <v>0.652777777777778</v>
      </c>
      <c r="T4" s="2" t="s">
        <v>15</v>
      </c>
      <c r="V4" s="2" t="n">
        <f aca="false">COUNTIF(E4:U4,"P")</f>
        <v>5</v>
      </c>
      <c r="W4" s="2" t="n">
        <f aca="false">COUNTIF(E4:U4,"M")</f>
        <v>0</v>
      </c>
      <c r="X4" s="2" t="n">
        <f aca="false">COUNTIF(E4:U4,"T")</f>
        <v>4</v>
      </c>
      <c r="Y4" s="2" t="n">
        <f aca="false">COUNTIF(E4:U4,"A")</f>
        <v>1</v>
      </c>
      <c r="Z4" s="2" t="n">
        <f aca="false">SUM(V4:Y4)</f>
        <v>10</v>
      </c>
      <c r="AA4" s="5" t="n">
        <f aca="false">ROUND((V4+W4/2+X4/4)*10/Z4,0)</f>
        <v>6</v>
      </c>
      <c r="AB4" s="2" t="s">
        <v>15</v>
      </c>
      <c r="AC4" s="2" t="s">
        <v>14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21</v>
      </c>
      <c r="D5" s="1" t="s">
        <v>22</v>
      </c>
      <c r="E5" s="1" t="s">
        <v>14</v>
      </c>
      <c r="F5" s="2" t="s">
        <v>14</v>
      </c>
      <c r="H5" s="2" t="s">
        <v>14</v>
      </c>
      <c r="I5" s="2" t="s">
        <v>14</v>
      </c>
      <c r="K5" s="2" t="s">
        <v>14</v>
      </c>
      <c r="M5" s="2" t="s">
        <v>14</v>
      </c>
      <c r="N5" s="2" t="s">
        <v>14</v>
      </c>
      <c r="P5" s="2" t="s">
        <v>14</v>
      </c>
      <c r="R5" s="2" t="s">
        <v>14</v>
      </c>
      <c r="T5" s="2" t="s">
        <v>14</v>
      </c>
      <c r="V5" s="2" t="n">
        <f aca="false">COUNTIF(E5:U5,"P")</f>
        <v>10</v>
      </c>
      <c r="W5" s="2" t="n">
        <f aca="false">COUNTIF(E5:U5,"M")</f>
        <v>0</v>
      </c>
      <c r="X5" s="2" t="n">
        <f aca="false">COUNTIF(E5:U5,"T")</f>
        <v>0</v>
      </c>
      <c r="Y5" s="2" t="n">
        <f aca="false">COUNTIF(E5:U5,"A")</f>
        <v>0</v>
      </c>
      <c r="Z5" s="2" t="n">
        <f aca="false">SUM(V5:Y5)</f>
        <v>10</v>
      </c>
      <c r="AA5" s="5" t="n">
        <f aca="false">ROUND((V5+W5/2+X5/4)*10/Z5,0)</f>
        <v>10</v>
      </c>
      <c r="AB5" s="2" t="s">
        <v>14</v>
      </c>
      <c r="AC5" s="2" t="s">
        <v>14</v>
      </c>
    </row>
    <row r="6" customFormat="false" ht="15" hidden="false" customHeight="false" outlineLevel="0" collapsed="false">
      <c r="A6" s="1" t="n">
        <v>4</v>
      </c>
      <c r="B6" s="1" t="s">
        <v>23</v>
      </c>
      <c r="C6" s="1" t="s">
        <v>24</v>
      </c>
      <c r="D6" s="1" t="s">
        <v>25</v>
      </c>
      <c r="E6" s="1" t="s">
        <v>14</v>
      </c>
      <c r="F6" s="2" t="s">
        <v>14</v>
      </c>
      <c r="H6" s="2" t="s">
        <v>14</v>
      </c>
      <c r="I6" s="2" t="s">
        <v>16</v>
      </c>
      <c r="J6" s="4" t="n">
        <v>0.715277777777778</v>
      </c>
      <c r="K6" s="2" t="s">
        <v>14</v>
      </c>
      <c r="M6" s="2" t="s">
        <v>15</v>
      </c>
      <c r="N6" s="2" t="s">
        <v>14</v>
      </c>
      <c r="P6" s="2" t="s">
        <v>14</v>
      </c>
      <c r="R6" s="2" t="s">
        <v>14</v>
      </c>
      <c r="T6" s="2" t="s">
        <v>15</v>
      </c>
      <c r="V6" s="2" t="n">
        <f aca="false">COUNTIF(E6:U6,"P")</f>
        <v>7</v>
      </c>
      <c r="W6" s="2" t="n">
        <f aca="false">COUNTIF(E6:U6,"M")</f>
        <v>0</v>
      </c>
      <c r="X6" s="2" t="n">
        <f aca="false">COUNTIF(E6:U6,"T")</f>
        <v>1</v>
      </c>
      <c r="Y6" s="2" t="n">
        <f aca="false">COUNTIF(E6:U6,"A")</f>
        <v>2</v>
      </c>
      <c r="Z6" s="2" t="n">
        <f aca="false">SUM(V6:Y6)</f>
        <v>10</v>
      </c>
      <c r="AA6" s="5" t="n">
        <f aca="false">ROUND((V6+W6/2+X6/4)*10/Z6,0)</f>
        <v>7</v>
      </c>
      <c r="AB6" s="2" t="s">
        <v>14</v>
      </c>
      <c r="AC6" s="2" t="s">
        <v>14</v>
      </c>
    </row>
    <row r="7" customFormat="false" ht="15" hidden="false" customHeight="false" outlineLevel="0" collapsed="false">
      <c r="A7" s="1" t="n">
        <v>5</v>
      </c>
      <c r="B7" s="1" t="s">
        <v>26</v>
      </c>
      <c r="C7" s="1" t="s">
        <v>27</v>
      </c>
      <c r="D7" s="1" t="s">
        <v>28</v>
      </c>
      <c r="E7" s="1" t="s">
        <v>14</v>
      </c>
      <c r="F7" s="2" t="s">
        <v>14</v>
      </c>
      <c r="H7" s="2" t="s">
        <v>14</v>
      </c>
      <c r="I7" s="2" t="s">
        <v>14</v>
      </c>
      <c r="K7" s="2" t="s">
        <v>15</v>
      </c>
      <c r="M7" s="2" t="s">
        <v>15</v>
      </c>
      <c r="N7" s="2" t="s">
        <v>15</v>
      </c>
      <c r="P7" s="2" t="s">
        <v>14</v>
      </c>
      <c r="R7" s="2" t="s">
        <v>16</v>
      </c>
      <c r="S7" s="4" t="n">
        <v>0.652777777777778</v>
      </c>
      <c r="T7" s="2" t="s">
        <v>15</v>
      </c>
      <c r="V7" s="2" t="n">
        <f aca="false">COUNTIF(E7:U7,"P")</f>
        <v>5</v>
      </c>
      <c r="W7" s="2" t="n">
        <f aca="false">COUNTIF(E7:U7,"M")</f>
        <v>0</v>
      </c>
      <c r="X7" s="2" t="n">
        <f aca="false">COUNTIF(E7:U7,"T")</f>
        <v>1</v>
      </c>
      <c r="Y7" s="2" t="n">
        <f aca="false">COUNTIF(E7:U7,"A")</f>
        <v>4</v>
      </c>
      <c r="Z7" s="2" t="n">
        <f aca="false">SUM(V7:Y7)</f>
        <v>10</v>
      </c>
      <c r="AA7" s="5" t="n">
        <f aca="false">ROUND((V7+W7/2+X7/4)*10/Z7,0)</f>
        <v>5</v>
      </c>
      <c r="AB7" s="2" t="s">
        <v>14</v>
      </c>
      <c r="AC7" s="2" t="s">
        <v>29</v>
      </c>
    </row>
    <row r="8" customFormat="false" ht="15" hidden="false" customHeight="false" outlineLevel="0" collapsed="false">
      <c r="A8" s="1" t="n">
        <v>6</v>
      </c>
      <c r="B8" s="1" t="s">
        <v>30</v>
      </c>
      <c r="C8" s="1" t="s">
        <v>31</v>
      </c>
      <c r="D8" s="1" t="s">
        <v>32</v>
      </c>
      <c r="E8" s="1" t="s">
        <v>14</v>
      </c>
      <c r="F8" s="2" t="s">
        <v>14</v>
      </c>
      <c r="H8" s="2" t="s">
        <v>14</v>
      </c>
      <c r="I8" s="2" t="s">
        <v>14</v>
      </c>
      <c r="K8" s="2" t="s">
        <v>15</v>
      </c>
      <c r="M8" s="2" t="s">
        <v>14</v>
      </c>
      <c r="N8" s="2" t="s">
        <v>14</v>
      </c>
      <c r="P8" s="2" t="s">
        <v>14</v>
      </c>
      <c r="R8" s="2" t="s">
        <v>14</v>
      </c>
      <c r="T8" s="2" t="s">
        <v>14</v>
      </c>
      <c r="V8" s="2" t="n">
        <f aca="false">COUNTIF(E8:U8,"P")</f>
        <v>9</v>
      </c>
      <c r="W8" s="2" t="n">
        <f aca="false">COUNTIF(E8:U8,"M")</f>
        <v>0</v>
      </c>
      <c r="X8" s="2" t="n">
        <f aca="false">COUNTIF(E8:U8,"T")</f>
        <v>0</v>
      </c>
      <c r="Y8" s="2" t="n">
        <f aca="false">COUNTIF(E8:U8,"A")</f>
        <v>1</v>
      </c>
      <c r="Z8" s="2" t="n">
        <f aca="false">SUM(V8:Y8)</f>
        <v>10</v>
      </c>
      <c r="AA8" s="5" t="n">
        <f aca="false">ROUND((V8+W8/2+X8/4)*10/Z8,0)</f>
        <v>9</v>
      </c>
      <c r="AB8" s="2" t="s">
        <v>14</v>
      </c>
      <c r="AC8" s="2" t="s">
        <v>15</v>
      </c>
    </row>
    <row r="9" customFormat="false" ht="15" hidden="false" customHeight="false" outlineLevel="0" collapsed="false">
      <c r="A9" s="1" t="n">
        <v>7</v>
      </c>
      <c r="B9" s="1" t="s">
        <v>33</v>
      </c>
      <c r="C9" s="1" t="s">
        <v>34</v>
      </c>
      <c r="D9" s="1" t="s">
        <v>35</v>
      </c>
      <c r="E9" s="1" t="s">
        <v>14</v>
      </c>
      <c r="F9" s="2" t="s">
        <v>14</v>
      </c>
      <c r="H9" s="2" t="s">
        <v>14</v>
      </c>
      <c r="I9" s="2" t="s">
        <v>16</v>
      </c>
      <c r="J9" s="4" t="n">
        <v>0.715277777777778</v>
      </c>
      <c r="K9" s="2" t="s">
        <v>15</v>
      </c>
      <c r="M9" s="2" t="s">
        <v>15</v>
      </c>
      <c r="N9" s="2" t="s">
        <v>15</v>
      </c>
      <c r="P9" s="2" t="s">
        <v>15</v>
      </c>
      <c r="R9" s="2" t="s">
        <v>14</v>
      </c>
      <c r="T9" s="2" t="s">
        <v>14</v>
      </c>
      <c r="V9" s="2" t="n">
        <f aca="false">COUNTIF(E9:U9,"P")</f>
        <v>5</v>
      </c>
      <c r="W9" s="2" t="n">
        <f aca="false">COUNTIF(E9:U9,"M")</f>
        <v>0</v>
      </c>
      <c r="X9" s="2" t="n">
        <f aca="false">COUNTIF(E9:U9,"T")</f>
        <v>1</v>
      </c>
      <c r="Y9" s="2" t="n">
        <f aca="false">COUNTIF(E9:U9,"A")</f>
        <v>4</v>
      </c>
      <c r="Z9" s="2" t="n">
        <f aca="false">SUM(V9:Y9)</f>
        <v>10</v>
      </c>
      <c r="AA9" s="5" t="n">
        <f aca="false">ROUND((V9+W9/2+X9/4)*10/Z9,0)</f>
        <v>5</v>
      </c>
      <c r="AB9" s="2" t="s">
        <v>14</v>
      </c>
      <c r="AC9" s="2" t="s">
        <v>14</v>
      </c>
    </row>
    <row r="10" customFormat="false" ht="15" hidden="false" customHeight="false" outlineLevel="0" collapsed="false">
      <c r="A10" s="1" t="n">
        <v>8</v>
      </c>
      <c r="B10" s="1" t="s">
        <v>36</v>
      </c>
      <c r="C10" s="1" t="s">
        <v>37</v>
      </c>
      <c r="D10" s="1" t="s">
        <v>38</v>
      </c>
      <c r="E10" s="1" t="s">
        <v>14</v>
      </c>
      <c r="F10" s="2" t="s">
        <v>14</v>
      </c>
      <c r="H10" s="2" t="s">
        <v>14</v>
      </c>
      <c r="I10" s="2" t="s">
        <v>14</v>
      </c>
      <c r="K10" s="2" t="s">
        <v>15</v>
      </c>
      <c r="M10" s="2" t="s">
        <v>14</v>
      </c>
      <c r="N10" s="2" t="s">
        <v>14</v>
      </c>
      <c r="P10" s="2" t="s">
        <v>14</v>
      </c>
      <c r="R10" s="2" t="s">
        <v>14</v>
      </c>
      <c r="T10" s="2" t="s">
        <v>15</v>
      </c>
      <c r="V10" s="2" t="n">
        <f aca="false">COUNTIF(E10:U10,"P")</f>
        <v>8</v>
      </c>
      <c r="W10" s="2" t="n">
        <f aca="false">COUNTIF(E10:U10,"M")</f>
        <v>0</v>
      </c>
      <c r="X10" s="2" t="n">
        <f aca="false">COUNTIF(E10:U10,"T")</f>
        <v>0</v>
      </c>
      <c r="Y10" s="2" t="n">
        <f aca="false">COUNTIF(E10:U10,"A")</f>
        <v>2</v>
      </c>
      <c r="Z10" s="2" t="n">
        <f aca="false">SUM(V10:Y10)</f>
        <v>10</v>
      </c>
      <c r="AA10" s="5" t="n">
        <f aca="false">ROUND((V10+W10/2+X10/4)*10/Z10,0)</f>
        <v>8</v>
      </c>
      <c r="AB10" s="2" t="s">
        <v>14</v>
      </c>
      <c r="AC10" s="2" t="s">
        <v>14</v>
      </c>
    </row>
    <row r="11" customFormat="false" ht="15" hidden="false" customHeight="false" outlineLevel="0" collapsed="false">
      <c r="A11" s="1" t="n">
        <v>9</v>
      </c>
      <c r="B11" s="1" t="s">
        <v>39</v>
      </c>
      <c r="C11" s="1" t="s">
        <v>40</v>
      </c>
      <c r="D11" s="1" t="s">
        <v>41</v>
      </c>
      <c r="E11" s="1" t="s">
        <v>14</v>
      </c>
      <c r="F11" s="2" t="s">
        <v>14</v>
      </c>
      <c r="H11" s="2" t="s">
        <v>14</v>
      </c>
      <c r="I11" s="2" t="s">
        <v>14</v>
      </c>
      <c r="K11" s="2" t="s">
        <v>14</v>
      </c>
      <c r="M11" s="2" t="s">
        <v>14</v>
      </c>
      <c r="N11" s="2" t="s">
        <v>14</v>
      </c>
      <c r="P11" s="2" t="s">
        <v>14</v>
      </c>
      <c r="R11" s="2" t="s">
        <v>14</v>
      </c>
      <c r="T11" s="2" t="s">
        <v>14</v>
      </c>
      <c r="V11" s="2" t="n">
        <f aca="false">COUNTIF(E11:U11,"P")</f>
        <v>10</v>
      </c>
      <c r="W11" s="2" t="n">
        <f aca="false">COUNTIF(E11:U11,"M")</f>
        <v>0</v>
      </c>
      <c r="X11" s="2" t="n">
        <f aca="false">COUNTIF(E11:U11,"T")</f>
        <v>0</v>
      </c>
      <c r="Y11" s="2" t="n">
        <f aca="false">COUNTIF(E11:U11,"A")</f>
        <v>0</v>
      </c>
      <c r="Z11" s="2" t="n">
        <f aca="false">SUM(V11:Y11)</f>
        <v>10</v>
      </c>
      <c r="AA11" s="5" t="n">
        <f aca="false">ROUND((V11+W11/2+X11/4)*10/Z11,0)</f>
        <v>10</v>
      </c>
      <c r="AB11" s="2" t="s">
        <v>14</v>
      </c>
      <c r="AC11" s="2" t="s">
        <v>14</v>
      </c>
    </row>
    <row r="12" customFormat="false" ht="15" hidden="false" customHeight="false" outlineLevel="0" collapsed="false">
      <c r="A12" s="1" t="n">
        <v>10</v>
      </c>
      <c r="B12" s="1" t="s">
        <v>42</v>
      </c>
      <c r="C12" s="1" t="s">
        <v>43</v>
      </c>
      <c r="D12" s="1" t="s">
        <v>44</v>
      </c>
      <c r="E12" s="1" t="s">
        <v>14</v>
      </c>
      <c r="F12" s="2" t="s">
        <v>14</v>
      </c>
      <c r="H12" s="2" t="s">
        <v>14</v>
      </c>
      <c r="I12" s="2" t="s">
        <v>14</v>
      </c>
      <c r="K12" s="2" t="s">
        <v>14</v>
      </c>
      <c r="M12" s="2" t="s">
        <v>14</v>
      </c>
      <c r="N12" s="2" t="s">
        <v>14</v>
      </c>
      <c r="P12" s="2" t="s">
        <v>14</v>
      </c>
      <c r="R12" s="2" t="s">
        <v>16</v>
      </c>
      <c r="S12" s="4" t="n">
        <v>0.652777777777778</v>
      </c>
      <c r="T12" s="2" t="s">
        <v>14</v>
      </c>
      <c r="V12" s="2" t="n">
        <f aca="false">COUNTIF(E12:U12,"P")</f>
        <v>9</v>
      </c>
      <c r="W12" s="2" t="n">
        <f aca="false">COUNTIF(E12:U12,"M")</f>
        <v>0</v>
      </c>
      <c r="X12" s="2" t="n">
        <f aca="false">COUNTIF(E12:U12,"T")</f>
        <v>1</v>
      </c>
      <c r="Y12" s="2" t="n">
        <f aca="false">COUNTIF(E12:U12,"A")</f>
        <v>0</v>
      </c>
      <c r="Z12" s="2" t="n">
        <f aca="false">SUM(V12:Y12)</f>
        <v>10</v>
      </c>
      <c r="AA12" s="5" t="n">
        <f aca="false">ROUND((V12+W12/2+X12/4)*10/Z12,0)</f>
        <v>9</v>
      </c>
      <c r="AB12" s="2" t="s">
        <v>14</v>
      </c>
      <c r="AC12" s="2" t="s">
        <v>15</v>
      </c>
    </row>
    <row r="13" customFormat="false" ht="15" hidden="false" customHeight="false" outlineLevel="0" collapsed="false">
      <c r="A13" s="1" t="n">
        <v>11</v>
      </c>
      <c r="B13" s="1" t="s">
        <v>45</v>
      </c>
      <c r="C13" s="1" t="s">
        <v>46</v>
      </c>
      <c r="D13" s="1" t="s">
        <v>47</v>
      </c>
      <c r="E13" s="1" t="s">
        <v>14</v>
      </c>
      <c r="F13" s="2" t="s">
        <v>14</v>
      </c>
      <c r="H13" s="2" t="s">
        <v>14</v>
      </c>
      <c r="I13" s="2" t="s">
        <v>14</v>
      </c>
      <c r="K13" s="2" t="s">
        <v>15</v>
      </c>
      <c r="M13" s="2" t="s">
        <v>14</v>
      </c>
      <c r="N13" s="2" t="s">
        <v>16</v>
      </c>
      <c r="O13" s="4" t="n">
        <v>0.652777777777778</v>
      </c>
      <c r="P13" s="2" t="s">
        <v>15</v>
      </c>
      <c r="R13" s="2" t="s">
        <v>15</v>
      </c>
      <c r="T13" s="2" t="s">
        <v>14</v>
      </c>
      <c r="V13" s="2" t="n">
        <f aca="false">COUNTIF(E13:U13,"P")</f>
        <v>6</v>
      </c>
      <c r="W13" s="2" t="n">
        <f aca="false">COUNTIF(E13:U13,"M")</f>
        <v>0</v>
      </c>
      <c r="X13" s="2" t="n">
        <f aca="false">COUNTIF(E13:U13,"T")</f>
        <v>1</v>
      </c>
      <c r="Y13" s="2" t="n">
        <f aca="false">COUNTIF(E13:U13,"A")</f>
        <v>3</v>
      </c>
      <c r="Z13" s="2" t="n">
        <f aca="false">SUM(V13:Y13)</f>
        <v>10</v>
      </c>
      <c r="AA13" s="5" t="n">
        <f aca="false">ROUND((V13+W13/2+X13/4)*10/Z13,0)</f>
        <v>6</v>
      </c>
      <c r="AB13" s="2" t="s">
        <v>14</v>
      </c>
      <c r="AC13" s="2" t="s">
        <v>29</v>
      </c>
    </row>
    <row r="14" customFormat="false" ht="15" hidden="false" customHeight="false" outlineLevel="0" collapsed="false">
      <c r="A14" s="1" t="n">
        <v>12</v>
      </c>
      <c r="B14" s="1" t="s">
        <v>48</v>
      </c>
      <c r="C14" s="1" t="s">
        <v>49</v>
      </c>
      <c r="D14" s="1" t="s">
        <v>50</v>
      </c>
      <c r="E14" s="1" t="s">
        <v>14</v>
      </c>
      <c r="F14" s="2" t="s">
        <v>14</v>
      </c>
      <c r="H14" s="2" t="s">
        <v>14</v>
      </c>
      <c r="I14" s="2" t="s">
        <v>14</v>
      </c>
      <c r="K14" s="2" t="s">
        <v>14</v>
      </c>
      <c r="M14" s="2" t="s">
        <v>14</v>
      </c>
      <c r="N14" s="2" t="s">
        <v>14</v>
      </c>
      <c r="P14" s="2" t="s">
        <v>15</v>
      </c>
      <c r="R14" s="2" t="s">
        <v>14</v>
      </c>
      <c r="T14" s="2" t="s">
        <v>14</v>
      </c>
      <c r="V14" s="2" t="n">
        <f aca="false">COUNTIF(E14:U14,"P")</f>
        <v>9</v>
      </c>
      <c r="W14" s="2" t="n">
        <f aca="false">COUNTIF(E14:U14,"M")</f>
        <v>0</v>
      </c>
      <c r="X14" s="2" t="n">
        <f aca="false">COUNTIF(E14:U14,"T")</f>
        <v>0</v>
      </c>
      <c r="Y14" s="2" t="n">
        <f aca="false">COUNTIF(E14:U14,"A")</f>
        <v>1</v>
      </c>
      <c r="Z14" s="2" t="n">
        <f aca="false">SUM(V14:Y14)</f>
        <v>10</v>
      </c>
      <c r="AA14" s="5" t="n">
        <f aca="false">ROUND((V14+W14/2+X14/4)*10/Z14,0)</f>
        <v>9</v>
      </c>
      <c r="AB14" s="2" t="s">
        <v>14</v>
      </c>
      <c r="AC14" s="2" t="s">
        <v>14</v>
      </c>
    </row>
    <row r="15" customFormat="false" ht="15" hidden="false" customHeight="false" outlineLevel="0" collapsed="false">
      <c r="A15" s="1" t="n">
        <v>13</v>
      </c>
      <c r="B15" s="1" t="s">
        <v>51</v>
      </c>
      <c r="C15" s="1" t="s">
        <v>52</v>
      </c>
      <c r="D15" s="1" t="s">
        <v>53</v>
      </c>
      <c r="E15" s="1" t="s">
        <v>14</v>
      </c>
      <c r="F15" s="2" t="s">
        <v>14</v>
      </c>
      <c r="H15" s="2" t="s">
        <v>14</v>
      </c>
      <c r="I15" s="2" t="s">
        <v>14</v>
      </c>
      <c r="K15" s="2" t="s">
        <v>14</v>
      </c>
      <c r="M15" s="2" t="s">
        <v>14</v>
      </c>
      <c r="N15" s="2" t="s">
        <v>15</v>
      </c>
      <c r="P15" s="2" t="s">
        <v>14</v>
      </c>
      <c r="R15" s="2" t="s">
        <v>16</v>
      </c>
      <c r="S15" s="4" t="n">
        <v>0.652777777777778</v>
      </c>
      <c r="T15" s="2" t="s">
        <v>15</v>
      </c>
      <c r="V15" s="2" t="n">
        <f aca="false">COUNTIF(E15:U15,"P")</f>
        <v>7</v>
      </c>
      <c r="W15" s="2" t="n">
        <f aca="false">COUNTIF(E15:U15,"M")</f>
        <v>0</v>
      </c>
      <c r="X15" s="2" t="n">
        <f aca="false">COUNTIF(E15:U15,"T")</f>
        <v>1</v>
      </c>
      <c r="Y15" s="2" t="n">
        <f aca="false">COUNTIF(E15:U15,"A")</f>
        <v>2</v>
      </c>
      <c r="Z15" s="2" t="n">
        <f aca="false">SUM(V15:Y15)</f>
        <v>10</v>
      </c>
      <c r="AA15" s="5" t="n">
        <f aca="false">ROUND((V15+W15/2+X15/4)*10/Z15,0)</f>
        <v>7</v>
      </c>
      <c r="AB15" s="2" t="s">
        <v>14</v>
      </c>
      <c r="AC15" s="2" t="s">
        <v>29</v>
      </c>
    </row>
    <row r="16" customFormat="false" ht="15" hidden="false" customHeight="false" outlineLevel="0" collapsed="false">
      <c r="A16" s="1" t="n">
        <v>14</v>
      </c>
      <c r="B16" s="1" t="s">
        <v>54</v>
      </c>
      <c r="C16" s="1" t="s">
        <v>55</v>
      </c>
      <c r="D16" s="1" t="s">
        <v>56</v>
      </c>
      <c r="E16" s="1" t="s">
        <v>14</v>
      </c>
      <c r="F16" s="2" t="s">
        <v>14</v>
      </c>
      <c r="H16" s="2" t="s">
        <v>14</v>
      </c>
      <c r="I16" s="2" t="s">
        <v>14</v>
      </c>
      <c r="K16" s="2" t="s">
        <v>14</v>
      </c>
      <c r="M16" s="2" t="s">
        <v>14</v>
      </c>
      <c r="N16" s="2" t="s">
        <v>14</v>
      </c>
      <c r="P16" s="2" t="s">
        <v>14</v>
      </c>
      <c r="R16" s="2" t="s">
        <v>15</v>
      </c>
      <c r="T16" s="2" t="s">
        <v>15</v>
      </c>
      <c r="V16" s="2" t="n">
        <f aca="false">COUNTIF(E16:U16,"P")</f>
        <v>8</v>
      </c>
      <c r="W16" s="2" t="n">
        <f aca="false">COUNTIF(E16:U16,"M")</f>
        <v>0</v>
      </c>
      <c r="X16" s="2" t="n">
        <f aca="false">COUNTIF(E16:U16,"T")</f>
        <v>0</v>
      </c>
      <c r="Y16" s="2" t="n">
        <f aca="false">COUNTIF(E16:U16,"A")</f>
        <v>2</v>
      </c>
      <c r="Z16" s="2" t="n">
        <f aca="false">SUM(V16:Y16)</f>
        <v>10</v>
      </c>
      <c r="AA16" s="5" t="n">
        <f aca="false">ROUND((V16+W16/2+X16/4)*10/Z16,0)</f>
        <v>8</v>
      </c>
      <c r="AB16" s="2" t="s">
        <v>14</v>
      </c>
      <c r="AC16" s="2" t="s">
        <v>14</v>
      </c>
    </row>
    <row r="17" customFormat="false" ht="15" hidden="false" customHeight="false" outlineLevel="0" collapsed="false">
      <c r="A17" s="1" t="n">
        <v>15</v>
      </c>
      <c r="B17" s="1" t="s">
        <v>57</v>
      </c>
      <c r="C17" s="1" t="s">
        <v>58</v>
      </c>
      <c r="D17" s="1" t="s">
        <v>59</v>
      </c>
      <c r="E17" s="1" t="s">
        <v>14</v>
      </c>
      <c r="F17" s="2" t="s">
        <v>16</v>
      </c>
      <c r="G17" s="4" t="n">
        <v>0.697916666666667</v>
      </c>
      <c r="H17" s="2" t="s">
        <v>14</v>
      </c>
      <c r="I17" s="2" t="s">
        <v>14</v>
      </c>
      <c r="K17" s="2" t="s">
        <v>15</v>
      </c>
      <c r="M17" s="2" t="s">
        <v>14</v>
      </c>
      <c r="N17" s="2" t="s">
        <v>14</v>
      </c>
      <c r="P17" s="2" t="s">
        <v>16</v>
      </c>
      <c r="Q17" s="2" t="s">
        <v>60</v>
      </c>
      <c r="R17" s="2" t="s">
        <v>14</v>
      </c>
      <c r="T17" s="2" t="s">
        <v>16</v>
      </c>
      <c r="U17" s="4" t="n">
        <v>0.701388888888889</v>
      </c>
      <c r="V17" s="2" t="n">
        <f aca="false">COUNTIF(E17:U17,"P")</f>
        <v>6</v>
      </c>
      <c r="W17" s="2" t="n">
        <f aca="false">COUNTIF(E17:U17,"M")</f>
        <v>0</v>
      </c>
      <c r="X17" s="2" t="n">
        <f aca="false">COUNTIF(E17:U17,"T")</f>
        <v>3</v>
      </c>
      <c r="Y17" s="2" t="n">
        <f aca="false">COUNTIF(E17:U17,"A")</f>
        <v>1</v>
      </c>
      <c r="Z17" s="2" t="n">
        <f aca="false">SUM(V17:Y17)</f>
        <v>10</v>
      </c>
      <c r="AA17" s="5" t="n">
        <f aca="false">ROUND((V17+W17/2+X17/4)*10/Z17,0)</f>
        <v>7</v>
      </c>
      <c r="AB17" s="2" t="s">
        <v>15</v>
      </c>
      <c r="AC17" s="2" t="s">
        <v>29</v>
      </c>
    </row>
    <row r="18" customFormat="false" ht="15" hidden="false" customHeight="false" outlineLevel="0" collapsed="false">
      <c r="A18" s="1" t="n">
        <v>16</v>
      </c>
      <c r="B18" s="1" t="s">
        <v>61</v>
      </c>
      <c r="C18" s="1" t="s">
        <v>62</v>
      </c>
      <c r="D18" s="1" t="s">
        <v>63</v>
      </c>
      <c r="E18" s="1" t="s">
        <v>14</v>
      </c>
      <c r="F18" s="2" t="s">
        <v>14</v>
      </c>
      <c r="H18" s="2" t="s">
        <v>14</v>
      </c>
      <c r="I18" s="2" t="s">
        <v>14</v>
      </c>
      <c r="K18" s="2" t="s">
        <v>14</v>
      </c>
      <c r="M18" s="2" t="s">
        <v>14</v>
      </c>
      <c r="N18" s="2" t="s">
        <v>14</v>
      </c>
      <c r="P18" s="2" t="s">
        <v>14</v>
      </c>
      <c r="R18" s="2" t="s">
        <v>14</v>
      </c>
      <c r="T18" s="2" t="s">
        <v>14</v>
      </c>
      <c r="V18" s="2" t="n">
        <f aca="false">COUNTIF(E18:U18,"P")</f>
        <v>10</v>
      </c>
      <c r="W18" s="2" t="n">
        <f aca="false">COUNTIF(E18:U18,"M")</f>
        <v>0</v>
      </c>
      <c r="X18" s="2" t="n">
        <f aca="false">COUNTIF(E18:U18,"T")</f>
        <v>0</v>
      </c>
      <c r="Y18" s="2" t="n">
        <f aca="false">COUNTIF(E18:U18,"A")</f>
        <v>0</v>
      </c>
      <c r="Z18" s="2" t="n">
        <f aca="false">SUM(V18:Y18)</f>
        <v>10</v>
      </c>
      <c r="AA18" s="5" t="n">
        <f aca="false">ROUND((V18+W18/2+X18/4)*10/Z18,0)</f>
        <v>10</v>
      </c>
      <c r="AB18" s="2" t="s">
        <v>14</v>
      </c>
      <c r="AC18" s="2" t="s">
        <v>14</v>
      </c>
    </row>
    <row r="19" customFormat="false" ht="15" hidden="false" customHeight="false" outlineLevel="0" collapsed="false">
      <c r="A19" s="1" t="n">
        <v>17</v>
      </c>
      <c r="B19" s="1" t="s">
        <v>64</v>
      </c>
      <c r="C19" s="1" t="s">
        <v>65</v>
      </c>
      <c r="D19" s="1" t="s">
        <v>66</v>
      </c>
      <c r="E19" s="1" t="s">
        <v>15</v>
      </c>
      <c r="F19" s="2" t="s">
        <v>16</v>
      </c>
      <c r="G19" s="4" t="n">
        <v>0.611111111111111</v>
      </c>
      <c r="H19" s="2" t="s">
        <v>15</v>
      </c>
      <c r="I19" s="2" t="s">
        <v>15</v>
      </c>
      <c r="K19" s="2" t="s">
        <v>16</v>
      </c>
      <c r="L19" s="4" t="n">
        <v>0.666666666666667</v>
      </c>
      <c r="M19" s="2" t="s">
        <v>15</v>
      </c>
      <c r="N19" s="2" t="s">
        <v>15</v>
      </c>
      <c r="P19" s="2" t="s">
        <v>14</v>
      </c>
      <c r="R19" s="2" t="s">
        <v>15</v>
      </c>
      <c r="T19" s="2" t="s">
        <v>16</v>
      </c>
      <c r="U19" s="4" t="n">
        <v>0.708333333333333</v>
      </c>
      <c r="V19" s="2" t="n">
        <f aca="false">COUNTIF(E19:U19,"P")</f>
        <v>1</v>
      </c>
      <c r="W19" s="2" t="n">
        <f aca="false">COUNTIF(E19:U19,"M")</f>
        <v>0</v>
      </c>
      <c r="X19" s="2" t="n">
        <f aca="false">COUNTIF(E19:U19,"T")</f>
        <v>3</v>
      </c>
      <c r="Y19" s="2" t="n">
        <f aca="false">COUNTIF(E19:U19,"A")</f>
        <v>6</v>
      </c>
      <c r="Z19" s="2" t="n">
        <f aca="false">SUM(V19:Y19)</f>
        <v>10</v>
      </c>
      <c r="AA19" s="5" t="n">
        <f aca="false">ROUND((V19+W19/2+X19/4)*10/Z19,0)</f>
        <v>2</v>
      </c>
      <c r="AB19" s="2" t="s">
        <v>15</v>
      </c>
      <c r="AC19" s="2" t="s">
        <v>15</v>
      </c>
    </row>
    <row r="20" customFormat="false" ht="15" hidden="false" customHeight="false" outlineLevel="0" collapsed="false">
      <c r="A20" s="1" t="n">
        <v>18</v>
      </c>
      <c r="B20" s="1" t="s">
        <v>67</v>
      </c>
      <c r="C20" s="1" t="s">
        <v>68</v>
      </c>
      <c r="D20" s="1" t="s">
        <v>69</v>
      </c>
      <c r="E20" s="1" t="s">
        <v>14</v>
      </c>
      <c r="F20" s="2" t="s">
        <v>14</v>
      </c>
      <c r="H20" s="2" t="s">
        <v>14</v>
      </c>
      <c r="I20" s="2" t="s">
        <v>14</v>
      </c>
      <c r="K20" s="2" t="s">
        <v>14</v>
      </c>
      <c r="M20" s="2" t="s">
        <v>14</v>
      </c>
      <c r="N20" s="2" t="s">
        <v>14</v>
      </c>
      <c r="P20" s="2" t="s">
        <v>14</v>
      </c>
      <c r="R20" s="2" t="s">
        <v>14</v>
      </c>
      <c r="T20" s="2" t="s">
        <v>14</v>
      </c>
      <c r="V20" s="2" t="n">
        <f aca="false">COUNTIF(E20:U20,"P")</f>
        <v>10</v>
      </c>
      <c r="W20" s="2" t="n">
        <f aca="false">COUNTIF(E20:U20,"M")</f>
        <v>0</v>
      </c>
      <c r="X20" s="2" t="n">
        <f aca="false">COUNTIF(E20:U20,"T")</f>
        <v>0</v>
      </c>
      <c r="Y20" s="2" t="n">
        <f aca="false">COUNTIF(E20:U20,"A")</f>
        <v>0</v>
      </c>
      <c r="Z20" s="2" t="n">
        <f aca="false">SUM(V20:Y20)</f>
        <v>10</v>
      </c>
      <c r="AA20" s="5" t="n">
        <f aca="false">ROUND((V20+W20/2+X20/4)*10/Z20,0)</f>
        <v>10</v>
      </c>
      <c r="AB20" s="2" t="s">
        <v>14</v>
      </c>
      <c r="AC20" s="2" t="s">
        <v>14</v>
      </c>
    </row>
    <row r="21" customFormat="false" ht="15" hidden="false" customHeight="false" outlineLevel="0" collapsed="false">
      <c r="A21" s="1" t="n">
        <v>19</v>
      </c>
      <c r="B21" s="1" t="s">
        <v>70</v>
      </c>
      <c r="C21" s="1" t="s">
        <v>71</v>
      </c>
      <c r="D21" s="1" t="s">
        <v>72</v>
      </c>
      <c r="E21" s="1" t="s">
        <v>14</v>
      </c>
      <c r="F21" s="2" t="s">
        <v>14</v>
      </c>
      <c r="H21" s="2" t="s">
        <v>14</v>
      </c>
      <c r="I21" s="2" t="s">
        <v>14</v>
      </c>
      <c r="K21" s="2" t="s">
        <v>15</v>
      </c>
      <c r="M21" s="2" t="s">
        <v>14</v>
      </c>
      <c r="N21" s="2" t="s">
        <v>14</v>
      </c>
      <c r="P21" s="2" t="s">
        <v>14</v>
      </c>
      <c r="R21" s="2" t="s">
        <v>15</v>
      </c>
      <c r="T21" s="2" t="s">
        <v>14</v>
      </c>
      <c r="V21" s="2" t="n">
        <f aca="false">COUNTIF(E21:U21,"P")</f>
        <v>8</v>
      </c>
      <c r="W21" s="2" t="n">
        <f aca="false">COUNTIF(E21:U21,"M")</f>
        <v>0</v>
      </c>
      <c r="X21" s="2" t="n">
        <f aca="false">COUNTIF(E21:U21,"T")</f>
        <v>0</v>
      </c>
      <c r="Y21" s="2" t="n">
        <f aca="false">COUNTIF(E21:U21,"A")</f>
        <v>2</v>
      </c>
      <c r="Z21" s="2" t="n">
        <f aca="false">SUM(V21:Y21)</f>
        <v>10</v>
      </c>
      <c r="AA21" s="5" t="n">
        <f aca="false">ROUND((V21+W21/2+X21/4)*10/Z21,0)</f>
        <v>8</v>
      </c>
      <c r="AB21" s="2" t="s">
        <v>14</v>
      </c>
      <c r="AC21" s="2" t="s">
        <v>14</v>
      </c>
    </row>
    <row r="22" customFormat="false" ht="15" hidden="false" customHeight="false" outlineLevel="0" collapsed="false">
      <c r="A22" s="1" t="n">
        <v>20</v>
      </c>
      <c r="B22" s="1" t="s">
        <v>73</v>
      </c>
      <c r="C22" s="1" t="s">
        <v>74</v>
      </c>
      <c r="D22" s="1" t="s">
        <v>75</v>
      </c>
      <c r="E22" s="1" t="s">
        <v>14</v>
      </c>
      <c r="F22" s="2" t="s">
        <v>14</v>
      </c>
      <c r="H22" s="2" t="s">
        <v>14</v>
      </c>
      <c r="I22" s="2" t="s">
        <v>14</v>
      </c>
      <c r="K22" s="2" t="s">
        <v>14</v>
      </c>
      <c r="M22" s="2" t="s">
        <v>14</v>
      </c>
      <c r="N22" s="2" t="s">
        <v>14</v>
      </c>
      <c r="P22" s="2" t="s">
        <v>14</v>
      </c>
      <c r="R22" s="2" t="s">
        <v>14</v>
      </c>
      <c r="T22" s="2" t="s">
        <v>14</v>
      </c>
      <c r="V22" s="2" t="n">
        <f aca="false">COUNTIF(E22:U22,"P")</f>
        <v>10</v>
      </c>
      <c r="W22" s="2" t="n">
        <f aca="false">COUNTIF(E22:U22,"M")</f>
        <v>0</v>
      </c>
      <c r="X22" s="2" t="n">
        <f aca="false">COUNTIF(E22:U22,"T")</f>
        <v>0</v>
      </c>
      <c r="Y22" s="2" t="n">
        <f aca="false">COUNTIF(E22:U22,"A")</f>
        <v>0</v>
      </c>
      <c r="Z22" s="2" t="n">
        <f aca="false">SUM(V22:Y22)</f>
        <v>10</v>
      </c>
      <c r="AA22" s="5" t="n">
        <f aca="false">ROUND((V22+W22/2+X22/4)*10/Z22,0)</f>
        <v>10</v>
      </c>
      <c r="AB22" s="2" t="s">
        <v>14</v>
      </c>
      <c r="AC22" s="2" t="s">
        <v>14</v>
      </c>
    </row>
    <row r="23" customFormat="false" ht="15" hidden="false" customHeight="false" outlineLevel="0" collapsed="false">
      <c r="A23" s="1" t="n">
        <v>21</v>
      </c>
      <c r="B23" s="1" t="s">
        <v>76</v>
      </c>
      <c r="C23" s="1" t="s">
        <v>77</v>
      </c>
      <c r="D23" s="1" t="s">
        <v>78</v>
      </c>
      <c r="E23" s="1" t="s">
        <v>14</v>
      </c>
      <c r="F23" s="2" t="s">
        <v>16</v>
      </c>
      <c r="G23" s="4" t="n">
        <v>0.611111111111111</v>
      </c>
      <c r="H23" s="2" t="s">
        <v>14</v>
      </c>
      <c r="I23" s="2" t="s">
        <v>29</v>
      </c>
      <c r="J23" s="4" t="n">
        <v>0.680555555555556</v>
      </c>
      <c r="K23" s="2" t="s">
        <v>14</v>
      </c>
      <c r="M23" s="2" t="s">
        <v>14</v>
      </c>
      <c r="N23" s="2" t="s">
        <v>15</v>
      </c>
      <c r="P23" s="2" t="s">
        <v>15</v>
      </c>
      <c r="R23" s="2" t="s">
        <v>16</v>
      </c>
      <c r="S23" s="4" t="n">
        <v>0.652777777777778</v>
      </c>
      <c r="T23" s="2" t="s">
        <v>16</v>
      </c>
      <c r="U23" s="4" t="n">
        <v>0.675694444444445</v>
      </c>
      <c r="V23" s="2" t="n">
        <f aca="false">COUNTIF(E23:U23,"P")</f>
        <v>4</v>
      </c>
      <c r="W23" s="2" t="n">
        <f aca="false">COUNTIF(E23:U23,"M")</f>
        <v>1</v>
      </c>
      <c r="X23" s="2" t="n">
        <f aca="false">COUNTIF(E23:U23,"T")</f>
        <v>3</v>
      </c>
      <c r="Y23" s="2" t="n">
        <f aca="false">COUNTIF(E23:U23,"A")</f>
        <v>2</v>
      </c>
      <c r="Z23" s="2" t="n">
        <f aca="false">SUM(V23:Y23)</f>
        <v>10</v>
      </c>
      <c r="AA23" s="5" t="n">
        <f aca="false">ROUND((V23+W23/2+X23/4)*10/Z23,0)</f>
        <v>5</v>
      </c>
      <c r="AB23" s="2" t="s">
        <v>14</v>
      </c>
      <c r="AC23" s="2" t="s">
        <v>14</v>
      </c>
    </row>
    <row r="24" customFormat="false" ht="15" hidden="false" customHeight="false" outlineLevel="0" collapsed="false">
      <c r="A24" s="1" t="n">
        <v>22</v>
      </c>
      <c r="B24" s="1" t="s">
        <v>79</v>
      </c>
      <c r="C24" s="1" t="s">
        <v>80</v>
      </c>
      <c r="D24" s="1" t="s">
        <v>81</v>
      </c>
      <c r="E24" s="1" t="s">
        <v>14</v>
      </c>
      <c r="F24" s="2" t="s">
        <v>14</v>
      </c>
      <c r="H24" s="2" t="s">
        <v>14</v>
      </c>
      <c r="I24" s="2" t="s">
        <v>14</v>
      </c>
      <c r="K24" s="2" t="s">
        <v>15</v>
      </c>
      <c r="M24" s="2" t="s">
        <v>14</v>
      </c>
      <c r="N24" s="2" t="s">
        <v>14</v>
      </c>
      <c r="P24" s="2" t="s">
        <v>15</v>
      </c>
      <c r="R24" s="2" t="s">
        <v>14</v>
      </c>
      <c r="T24" s="2" t="s">
        <v>14</v>
      </c>
      <c r="V24" s="2" t="n">
        <f aca="false">COUNTIF(E24:U24,"P")</f>
        <v>8</v>
      </c>
      <c r="W24" s="2" t="n">
        <f aca="false">COUNTIF(E24:U24,"M")</f>
        <v>0</v>
      </c>
      <c r="X24" s="2" t="n">
        <f aca="false">COUNTIF(E24:U24,"T")</f>
        <v>0</v>
      </c>
      <c r="Y24" s="2" t="n">
        <f aca="false">COUNTIF(E24:U24,"A")</f>
        <v>2</v>
      </c>
      <c r="Z24" s="2" t="n">
        <f aca="false">SUM(V24:Y24)</f>
        <v>10</v>
      </c>
      <c r="AA24" s="5" t="n">
        <f aca="false">ROUND((V24+W24/2+X24/4)*10/Z24,0)</f>
        <v>8</v>
      </c>
      <c r="AB24" s="2" t="s">
        <v>14</v>
      </c>
      <c r="AC24" s="2" t="s">
        <v>29</v>
      </c>
    </row>
    <row r="25" customFormat="false" ht="15" hidden="false" customHeight="false" outlineLevel="0" collapsed="false">
      <c r="A25" s="1" t="n">
        <v>23</v>
      </c>
      <c r="B25" s="1" t="s">
        <v>82</v>
      </c>
      <c r="C25" s="1" t="s">
        <v>83</v>
      </c>
      <c r="D25" s="1" t="s">
        <v>84</v>
      </c>
      <c r="E25" s="1" t="s">
        <v>14</v>
      </c>
      <c r="F25" s="2" t="s">
        <v>14</v>
      </c>
      <c r="H25" s="2" t="s">
        <v>14</v>
      </c>
      <c r="I25" s="2" t="s">
        <v>14</v>
      </c>
      <c r="K25" s="2" t="s">
        <v>15</v>
      </c>
      <c r="M25" s="2" t="s">
        <v>14</v>
      </c>
      <c r="N25" s="2" t="s">
        <v>14</v>
      </c>
      <c r="P25" s="2" t="s">
        <v>14</v>
      </c>
      <c r="R25" s="2" t="s">
        <v>15</v>
      </c>
      <c r="T25" s="2" t="s">
        <v>16</v>
      </c>
      <c r="U25" s="4" t="n">
        <v>0.6875</v>
      </c>
      <c r="V25" s="2" t="n">
        <f aca="false">COUNTIF(E25:U25,"P")</f>
        <v>7</v>
      </c>
      <c r="W25" s="2" t="n">
        <f aca="false">COUNTIF(E25:U25,"M")</f>
        <v>0</v>
      </c>
      <c r="X25" s="2" t="n">
        <f aca="false">COUNTIF(E25:U25,"T")</f>
        <v>1</v>
      </c>
      <c r="Y25" s="2" t="n">
        <f aca="false">COUNTIF(E25:U25,"A")</f>
        <v>2</v>
      </c>
      <c r="Z25" s="2" t="n">
        <f aca="false">SUM(V25:Y25)</f>
        <v>10</v>
      </c>
      <c r="AA25" s="5" t="n">
        <f aca="false">ROUND((V25+W25/2+X25/4)*10/Z25,0)</f>
        <v>7</v>
      </c>
      <c r="AB25" s="2" t="s">
        <v>14</v>
      </c>
      <c r="AC25" s="2" t="s">
        <v>15</v>
      </c>
    </row>
    <row r="26" customFormat="false" ht="15" hidden="false" customHeight="false" outlineLevel="0" collapsed="false">
      <c r="A26" s="1" t="n">
        <v>24</v>
      </c>
      <c r="B26" s="1" t="s">
        <v>85</v>
      </c>
      <c r="C26" s="1" t="s">
        <v>86</v>
      </c>
      <c r="D26" s="1" t="s">
        <v>87</v>
      </c>
      <c r="E26" s="1" t="s">
        <v>14</v>
      </c>
      <c r="F26" s="2" t="s">
        <v>14</v>
      </c>
      <c r="H26" s="2" t="s">
        <v>14</v>
      </c>
      <c r="I26" s="2" t="s">
        <v>15</v>
      </c>
      <c r="K26" s="2" t="s">
        <v>16</v>
      </c>
      <c r="L26" s="4" t="n">
        <v>0.659722222222222</v>
      </c>
      <c r="M26" s="2" t="s">
        <v>14</v>
      </c>
      <c r="N26" s="2" t="s">
        <v>14</v>
      </c>
      <c r="P26" s="2" t="s">
        <v>14</v>
      </c>
      <c r="R26" s="2" t="s">
        <v>15</v>
      </c>
      <c r="T26" s="2" t="s">
        <v>14</v>
      </c>
      <c r="V26" s="2" t="n">
        <f aca="false">COUNTIF(E26:U26,"P")</f>
        <v>7</v>
      </c>
      <c r="W26" s="2" t="n">
        <f aca="false">COUNTIF(E26:U26,"M")</f>
        <v>0</v>
      </c>
      <c r="X26" s="2" t="n">
        <f aca="false">COUNTIF(E26:U26,"T")</f>
        <v>1</v>
      </c>
      <c r="Y26" s="2" t="n">
        <f aca="false">COUNTIF(E26:U26,"A")</f>
        <v>2</v>
      </c>
      <c r="Z26" s="2" t="n">
        <f aca="false">SUM(V26:Y26)</f>
        <v>10</v>
      </c>
      <c r="AA26" s="5" t="n">
        <f aca="false">ROUND((V26+W26/2+X26/4)*10/Z26,0)</f>
        <v>7</v>
      </c>
      <c r="AB26" s="2" t="s">
        <v>14</v>
      </c>
      <c r="AC26" s="2" t="s">
        <v>15</v>
      </c>
    </row>
    <row r="27" customFormat="false" ht="15" hidden="false" customHeight="false" outlineLevel="0" collapsed="false">
      <c r="C27" s="1" t="s">
        <v>5</v>
      </c>
      <c r="D27" s="1" t="s">
        <v>88</v>
      </c>
      <c r="E27" s="1" t="n">
        <f aca="false">COUNTIF(E3:E26,"P")</f>
        <v>23</v>
      </c>
      <c r="F27" s="1" t="n">
        <f aca="false">COUNTIF(F3:F26,"P")</f>
        <v>20</v>
      </c>
      <c r="H27" s="1" t="n">
        <f aca="false">COUNTIF(H3:H26,"P")</f>
        <v>22</v>
      </c>
      <c r="I27" s="1" t="n">
        <f aca="false">COUNTIF(I3:I26,"P")</f>
        <v>19</v>
      </c>
      <c r="K27" s="1" t="n">
        <f aca="false">COUNTIF(K3:K26,"P")</f>
        <v>11</v>
      </c>
      <c r="M27" s="1" t="n">
        <f aca="false">COUNTIF(M3:M26,"P")</f>
        <v>20</v>
      </c>
      <c r="N27" s="1" t="n">
        <f aca="false">COUNTIF(N3:N26,"P")</f>
        <v>16</v>
      </c>
      <c r="P27" s="1" t="n">
        <f aca="false">COUNTIF(P3:P26,"P")</f>
        <v>16</v>
      </c>
      <c r="R27" s="1" t="n">
        <f aca="false">COUNTIF(R3:R26,"P")</f>
        <v>12</v>
      </c>
      <c r="T27" s="1" t="n">
        <f aca="false">COUNTIF(T3:T26,"P")</f>
        <v>13</v>
      </c>
      <c r="AB27" s="1" t="n">
        <f aca="false">COUNTIF(AB3:AB26,"P")</f>
        <v>21</v>
      </c>
      <c r="AC27" s="1" t="n">
        <f aca="false">COUNTIF(AC3:AC26,"P")</f>
        <v>14</v>
      </c>
    </row>
    <row r="28" customFormat="false" ht="15" hidden="false" customHeight="false" outlineLevel="0" collapsed="false">
      <c r="C28" s="1" t="s">
        <v>89</v>
      </c>
      <c r="D28" s="1" t="s">
        <v>90</v>
      </c>
      <c r="F28" s="2" t="n">
        <f aca="false">COUNTIF(F3:F26,"M")</f>
        <v>0</v>
      </c>
      <c r="H28" s="2" t="n">
        <f aca="false">COUNTIF(H3:H26,"M")</f>
        <v>0</v>
      </c>
      <c r="I28" s="2" t="n">
        <f aca="false">COUNTIF(I3:I26,"M")</f>
        <v>1</v>
      </c>
      <c r="J28" s="2"/>
      <c r="K28" s="2" t="n">
        <f aca="false">COUNTIF(K3:K26,"M")</f>
        <v>0</v>
      </c>
      <c r="L28" s="2"/>
      <c r="M28" s="2" t="n">
        <f aca="false">COUNTIF(M3:M26,"M")</f>
        <v>0</v>
      </c>
      <c r="N28" s="2" t="n">
        <f aca="false">COUNTIF(N3:N26,"M")</f>
        <v>0</v>
      </c>
      <c r="O28" s="2"/>
      <c r="P28" s="2" t="n">
        <f aca="false">COUNTIF(P3:P26,"M")</f>
        <v>0</v>
      </c>
      <c r="Q28" s="2"/>
      <c r="R28" s="2" t="n">
        <f aca="false">COUNTIF(R3:R26,"M")</f>
        <v>0</v>
      </c>
      <c r="S28" s="2"/>
      <c r="T28" s="1" t="n">
        <f aca="false">COUNTIF(T3:T26,"M")</f>
        <v>0</v>
      </c>
      <c r="AB28" s="1" t="n">
        <f aca="false">COUNTIF(AB3:AB26,"M")</f>
        <v>0</v>
      </c>
      <c r="AC28" s="1" t="n">
        <f aca="false">COUNTIF(AC3:AC26,"M")</f>
        <v>5</v>
      </c>
    </row>
    <row r="29" customFormat="false" ht="15" hidden="false" customHeight="false" outlineLevel="0" collapsed="false">
      <c r="C29" s="1" t="s">
        <v>7</v>
      </c>
      <c r="F29" s="2" t="n">
        <f aca="false">COUNTIF(F3:F26,"T")</f>
        <v>3</v>
      </c>
      <c r="H29" s="2" t="n">
        <f aca="false">COUNTIF(H3:H26,"T")</f>
        <v>0</v>
      </c>
      <c r="I29" s="2" t="n">
        <f aca="false">COUNTIF(I3:I26,"T")</f>
        <v>2</v>
      </c>
      <c r="J29" s="2"/>
      <c r="K29" s="2" t="n">
        <f aca="false">COUNTIF(K3:K26,"T")</f>
        <v>3</v>
      </c>
      <c r="L29" s="2"/>
      <c r="M29" s="2" t="n">
        <f aca="false">COUNTIF(M3:M26,"T")</f>
        <v>0</v>
      </c>
      <c r="N29" s="2" t="n">
        <f aca="false">COUNTIF(N3:N26,"T")</f>
        <v>2</v>
      </c>
      <c r="O29" s="2"/>
      <c r="P29" s="2" t="n">
        <f aca="false">COUNTIF(P3:P26,"T")</f>
        <v>3</v>
      </c>
      <c r="Q29" s="2"/>
      <c r="R29" s="2" t="n">
        <f aca="false">COUNTIF(R3:R26,"T")</f>
        <v>6</v>
      </c>
      <c r="S29" s="2"/>
      <c r="T29" s="1" t="n">
        <f aca="false">COUNTIF(T3:T26,"T")</f>
        <v>4</v>
      </c>
      <c r="AB29" s="1" t="n">
        <f aca="false">COUNTIF(AB3:AB26,"T")</f>
        <v>0</v>
      </c>
      <c r="AC29" s="1" t="n">
        <f aca="false">COUNTIF(AC3:AC26,"T")</f>
        <v>0</v>
      </c>
    </row>
    <row r="30" customFormat="false" ht="15" hidden="false" customHeight="false" outlineLevel="0" collapsed="false">
      <c r="C30" s="1" t="s">
        <v>9</v>
      </c>
      <c r="F30" s="2" t="n">
        <f aca="false">SUM(F27:F29)</f>
        <v>23</v>
      </c>
      <c r="H30" s="2" t="n">
        <f aca="false">SUM(H27:H29)</f>
        <v>22</v>
      </c>
      <c r="I30" s="2" t="n">
        <f aca="false">SUM(I27:I29)</f>
        <v>22</v>
      </c>
      <c r="J30" s="2"/>
      <c r="K30" s="2" t="n">
        <f aca="false">SUM(K27:K29)</f>
        <v>14</v>
      </c>
      <c r="L30" s="2"/>
      <c r="M30" s="2" t="n">
        <f aca="false">SUM(M27:M29)</f>
        <v>20</v>
      </c>
      <c r="N30" s="2" t="n">
        <f aca="false">SUM(N27:N29)</f>
        <v>18</v>
      </c>
      <c r="O30" s="2"/>
      <c r="P30" s="2" t="n">
        <f aca="false">SUM(P27:P29)</f>
        <v>19</v>
      </c>
      <c r="Q30" s="2"/>
      <c r="R30" s="2" t="n">
        <f aca="false">SUM(R27:R29)</f>
        <v>18</v>
      </c>
      <c r="S30" s="2"/>
      <c r="T30" s="1" t="n">
        <f aca="false">SUM(T27:T29)</f>
        <v>17</v>
      </c>
      <c r="AB30" s="1" t="n">
        <f aca="false">SUM(AB27:AB29)</f>
        <v>21</v>
      </c>
      <c r="AC30" s="1" t="n">
        <f aca="false">SUM(AC27:AC29)</f>
        <v>19</v>
      </c>
    </row>
  </sheetData>
  <conditionalFormatting sqref="AA3:AA26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N24" activeCellId="0" sqref="N24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18.79"/>
    <col collapsed="false" customWidth="false" hidden="true" outlineLevel="0" max="4" min="4" style="0" width="9.58"/>
    <col collapsed="false" customWidth="false" hidden="true" outlineLevel="0" max="6" min="6" style="0" width="9.58"/>
    <col collapsed="false" customWidth="false" hidden="true" outlineLevel="0" max="8" min="8" style="0" width="9.58"/>
    <col collapsed="false" customWidth="true" hidden="false" outlineLevel="0" max="16384" min="16340" style="1" width="10.58"/>
  </cols>
  <sheetData>
    <row r="1" customFormat="false" ht="15" hidden="false" customHeight="false" outlineLevel="0" collapsed="false">
      <c r="B1" s="2"/>
    </row>
    <row r="2" customFormat="false" ht="15" hidden="false" customHeight="false" outlineLevel="0" collapsed="false">
      <c r="A2" s="1" t="s">
        <v>0</v>
      </c>
      <c r="B2" s="1" t="s">
        <v>2</v>
      </c>
      <c r="C2" s="1" t="s">
        <v>91</v>
      </c>
      <c r="D2" s="1" t="s">
        <v>92</v>
      </c>
      <c r="E2" s="1" t="s">
        <v>93</v>
      </c>
      <c r="F2" s="1" t="s">
        <v>92</v>
      </c>
      <c r="G2" s="1" t="s">
        <v>94</v>
      </c>
      <c r="H2" s="1"/>
      <c r="I2" s="1" t="s">
        <v>95</v>
      </c>
      <c r="J2" s="1" t="s">
        <v>10</v>
      </c>
      <c r="K2" s="1" t="s">
        <v>96</v>
      </c>
    </row>
    <row r="3" customFormat="false" ht="15" hidden="false" customHeight="false" outlineLevel="0" collapsed="false">
      <c r="A3" s="1" t="n">
        <v>1</v>
      </c>
      <c r="B3" s="1" t="s">
        <v>12</v>
      </c>
      <c r="C3" s="5" t="n">
        <v>1</v>
      </c>
      <c r="D3" s="5"/>
      <c r="E3" s="5" t="n">
        <v>1</v>
      </c>
      <c r="F3" s="5"/>
      <c r="G3" s="5" t="n">
        <v>1</v>
      </c>
      <c r="H3" s="5"/>
      <c r="I3" s="5" t="n">
        <v>4</v>
      </c>
      <c r="J3" s="5" t="n">
        <f aca="false">ROUND(AVERAGE(C3,E3,G3,I3),0)</f>
        <v>2</v>
      </c>
      <c r="K3" s="5" t="str">
        <f aca="false">IF(J3&gt;6,"TEA",IF(J3&gt;3,"TEP","TED"))</f>
        <v>TED</v>
      </c>
    </row>
    <row r="4" customFormat="false" ht="15" hidden="false" customHeight="false" outlineLevel="0" collapsed="false">
      <c r="A4" s="1" t="n">
        <v>2</v>
      </c>
      <c r="B4" s="1" t="s">
        <v>18</v>
      </c>
      <c r="C4" s="5" t="n">
        <v>8</v>
      </c>
      <c r="D4" s="5"/>
      <c r="E4" s="5" t="n">
        <v>9</v>
      </c>
      <c r="F4" s="5"/>
      <c r="G4" s="5" t="n">
        <v>5</v>
      </c>
      <c r="H4" s="5"/>
      <c r="I4" s="5" t="n">
        <v>6</v>
      </c>
      <c r="J4" s="5" t="n">
        <f aca="false">ROUND(AVERAGE(C4,E4,G4,I4),0)</f>
        <v>7</v>
      </c>
      <c r="K4" s="5" t="str">
        <f aca="false">IF(J4&gt;6,"TEA",IF(J4&gt;3,"TEP","TED"))</f>
        <v>TEA</v>
      </c>
    </row>
    <row r="5" customFormat="false" ht="15" hidden="false" customHeight="false" outlineLevel="0" collapsed="false">
      <c r="A5" s="1" t="n">
        <v>3</v>
      </c>
      <c r="B5" s="1" t="s">
        <v>21</v>
      </c>
      <c r="C5" s="5" t="n">
        <v>4</v>
      </c>
      <c r="D5" s="5"/>
      <c r="E5" s="5" t="n">
        <v>8</v>
      </c>
      <c r="F5" s="5"/>
      <c r="G5" s="5" t="n">
        <v>7</v>
      </c>
      <c r="H5" s="5"/>
      <c r="I5" s="5" t="n">
        <v>10</v>
      </c>
      <c r="J5" s="5" t="n">
        <f aca="false">ROUND(AVERAGE(C5,E5,G5,I5),0)</f>
        <v>7</v>
      </c>
      <c r="K5" s="5" t="str">
        <f aca="false">IF(J5&gt;6,"TEA",IF(J5&gt;3,"TEP","TED"))</f>
        <v>TEA</v>
      </c>
    </row>
    <row r="6" customFormat="false" ht="15" hidden="false" customHeight="false" outlineLevel="0" collapsed="false">
      <c r="A6" s="1" t="n">
        <v>4</v>
      </c>
      <c r="B6" s="1" t="s">
        <v>24</v>
      </c>
      <c r="C6" s="5" t="n">
        <v>1</v>
      </c>
      <c r="D6" s="5"/>
      <c r="E6" s="5" t="n">
        <v>6</v>
      </c>
      <c r="F6" s="5"/>
      <c r="G6" s="5" t="n">
        <v>8</v>
      </c>
      <c r="H6" s="5"/>
      <c r="I6" s="5" t="n">
        <v>7</v>
      </c>
      <c r="J6" s="5" t="n">
        <f aca="false">ROUND(AVERAGE(C6,E6,G6,I6),0)</f>
        <v>6</v>
      </c>
      <c r="K6" s="5" t="str">
        <f aca="false">IF(J6&gt;6,"TEA",IF(J6&gt;3,"TEP","TED"))</f>
        <v>TEP</v>
      </c>
    </row>
    <row r="7" s="6" customFormat="true" ht="15" hidden="false" customHeight="false" outlineLevel="0" collapsed="false">
      <c r="A7" s="1" t="n">
        <v>5</v>
      </c>
      <c r="B7" s="1" t="s">
        <v>27</v>
      </c>
      <c r="C7" s="5" t="n">
        <v>10</v>
      </c>
      <c r="D7" s="5"/>
      <c r="E7" s="5" t="n">
        <v>10</v>
      </c>
      <c r="F7" s="5"/>
      <c r="G7" s="5" t="n">
        <v>8</v>
      </c>
      <c r="H7" s="5"/>
      <c r="I7" s="5" t="n">
        <v>5</v>
      </c>
      <c r="J7" s="5" t="n">
        <f aca="false">ROUND(AVERAGE(C7,E7,G7,I7),0)</f>
        <v>8</v>
      </c>
      <c r="K7" s="5" t="str">
        <f aca="false">IF(J7&gt;6,"TEA",IF(J7&gt;3,"TEP","TED"))</f>
        <v>TEA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="6" customFormat="true" ht="15" hidden="false" customHeight="false" outlineLevel="0" collapsed="false">
      <c r="A8" s="1" t="n">
        <v>6</v>
      </c>
      <c r="B8" s="1" t="s">
        <v>31</v>
      </c>
      <c r="C8" s="5" t="n">
        <v>1</v>
      </c>
      <c r="D8" s="5"/>
      <c r="E8" s="5" t="n">
        <v>9</v>
      </c>
      <c r="F8" s="5"/>
      <c r="G8" s="5" t="n">
        <v>1</v>
      </c>
      <c r="H8" s="5"/>
      <c r="I8" s="5" t="n">
        <v>9</v>
      </c>
      <c r="J8" s="5" t="n">
        <f aca="false">ROUND(AVERAGE(C8,E8,G8,I8),0)</f>
        <v>5</v>
      </c>
      <c r="K8" s="5" t="str">
        <f aca="false">IF(J8&gt;6,"TEA",IF(J8&gt;3,"TEP","TED"))</f>
        <v>TEP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 t="n">
        <v>7</v>
      </c>
      <c r="B9" s="1" t="s">
        <v>34</v>
      </c>
      <c r="C9" s="5" t="n">
        <v>7</v>
      </c>
      <c r="D9" s="3" t="n">
        <v>46177</v>
      </c>
      <c r="E9" s="5" t="n">
        <v>7</v>
      </c>
      <c r="F9" s="5"/>
      <c r="G9" s="5" t="n">
        <v>3</v>
      </c>
      <c r="H9" s="3" t="n">
        <v>46177</v>
      </c>
      <c r="I9" s="5" t="n">
        <v>5</v>
      </c>
      <c r="J9" s="5" t="n">
        <f aca="false">ROUND(AVERAGE(C9,E9,G9,I9),0)</f>
        <v>6</v>
      </c>
      <c r="K9" s="5" t="str">
        <f aca="false">IF(J9&gt;6,"TEA",IF(J9&gt;3,"TEP","TED"))</f>
        <v>TEP</v>
      </c>
    </row>
    <row r="10" customFormat="false" ht="15" hidden="false" customHeight="false" outlineLevel="0" collapsed="false">
      <c r="A10" s="1" t="n">
        <v>8</v>
      </c>
      <c r="B10" s="1" t="s">
        <v>37</v>
      </c>
      <c r="C10" s="5" t="n">
        <v>8</v>
      </c>
      <c r="D10" s="5"/>
      <c r="E10" s="5" t="n">
        <v>9</v>
      </c>
      <c r="F10" s="5"/>
      <c r="G10" s="5" t="n">
        <v>1</v>
      </c>
      <c r="H10" s="5"/>
      <c r="I10" s="5" t="n">
        <v>8</v>
      </c>
      <c r="J10" s="5" t="n">
        <f aca="false">ROUND(AVERAGE(C10,E10,G10,I10),0)</f>
        <v>7</v>
      </c>
      <c r="K10" s="5" t="str">
        <f aca="false">IF(J10&gt;6,"TEA",IF(J10&gt;3,"TEP","TED"))</f>
        <v>TEA</v>
      </c>
    </row>
    <row r="11" customFormat="false" ht="15" hidden="false" customHeight="false" outlineLevel="0" collapsed="false">
      <c r="A11" s="1" t="n">
        <v>9</v>
      </c>
      <c r="B11" s="1" t="s">
        <v>40</v>
      </c>
      <c r="C11" s="5" t="n">
        <v>3</v>
      </c>
      <c r="D11" s="5"/>
      <c r="E11" s="5" t="n">
        <v>7</v>
      </c>
      <c r="F11" s="5"/>
      <c r="G11" s="5" t="n">
        <v>5</v>
      </c>
      <c r="H11" s="5"/>
      <c r="I11" s="5" t="n">
        <v>10</v>
      </c>
      <c r="J11" s="5" t="n">
        <f aca="false">ROUND(AVERAGE(C11,E11,G11,I11),0)</f>
        <v>6</v>
      </c>
      <c r="K11" s="5" t="str">
        <f aca="false">IF(J11&gt;6,"TEA",IF(J11&gt;3,"TEP","TED"))</f>
        <v>TEP</v>
      </c>
    </row>
    <row r="12" customFormat="false" ht="15" hidden="false" customHeight="false" outlineLevel="0" collapsed="false">
      <c r="A12" s="1" t="n">
        <v>10</v>
      </c>
      <c r="B12" s="1" t="s">
        <v>43</v>
      </c>
      <c r="C12" s="5" t="n">
        <v>10</v>
      </c>
      <c r="D12" s="5"/>
      <c r="E12" s="5" t="n">
        <v>9</v>
      </c>
      <c r="F12" s="5"/>
      <c r="G12" s="5" t="n">
        <v>8</v>
      </c>
      <c r="H12" s="5"/>
      <c r="I12" s="5" t="n">
        <v>9</v>
      </c>
      <c r="J12" s="5" t="n">
        <f aca="false">ROUND(AVERAGE(C12,E12,G12,I12),0)</f>
        <v>9</v>
      </c>
      <c r="K12" s="5" t="str">
        <f aca="false">IF(J12&gt;6,"TEA",IF(J12&gt;3,"TEP","TED"))</f>
        <v>TEA</v>
      </c>
    </row>
    <row r="13" customFormat="false" ht="15" hidden="false" customHeight="false" outlineLevel="0" collapsed="false">
      <c r="A13" s="1" t="n">
        <v>11</v>
      </c>
      <c r="B13" s="1" t="s">
        <v>46</v>
      </c>
      <c r="C13" s="5" t="n">
        <v>7</v>
      </c>
      <c r="D13" s="5"/>
      <c r="E13" s="5" t="n">
        <v>8</v>
      </c>
      <c r="F13" s="5"/>
      <c r="G13" s="5" t="n">
        <v>6</v>
      </c>
      <c r="H13" s="5"/>
      <c r="I13" s="5" t="n">
        <v>6</v>
      </c>
      <c r="J13" s="5" t="n">
        <f aca="false">ROUND(AVERAGE(C13,E13,G13,I13),0)</f>
        <v>7</v>
      </c>
      <c r="K13" s="5" t="str">
        <f aca="false">IF(J13&gt;6,"TEA",IF(J13&gt;3,"TEP","TED"))</f>
        <v>TEA</v>
      </c>
    </row>
    <row r="14" customFormat="false" ht="15" hidden="false" customHeight="false" outlineLevel="0" collapsed="false">
      <c r="A14" s="1" t="n">
        <v>12</v>
      </c>
      <c r="B14" s="1" t="s">
        <v>49</v>
      </c>
      <c r="C14" s="5" t="n">
        <v>8</v>
      </c>
      <c r="D14" s="5"/>
      <c r="E14" s="5" t="n">
        <v>9</v>
      </c>
      <c r="F14" s="5"/>
      <c r="G14" s="5" t="n">
        <v>6</v>
      </c>
      <c r="H14" s="5"/>
      <c r="I14" s="5" t="n">
        <v>9</v>
      </c>
      <c r="J14" s="5" t="n">
        <f aca="false">ROUND(AVERAGE(C14,E14,G14,I14),0)</f>
        <v>8</v>
      </c>
      <c r="K14" s="5" t="str">
        <f aca="false">IF(J14&gt;6,"TEA",IF(J14&gt;3,"TEP","TED"))</f>
        <v>TEA</v>
      </c>
    </row>
    <row r="15" customFormat="false" ht="15" hidden="false" customHeight="false" outlineLevel="0" collapsed="false">
      <c r="A15" s="1" t="n">
        <v>13</v>
      </c>
      <c r="B15" s="1" t="s">
        <v>52</v>
      </c>
      <c r="C15" s="5" t="n">
        <v>9</v>
      </c>
      <c r="D15" s="5"/>
      <c r="E15" s="5" t="n">
        <v>9</v>
      </c>
      <c r="F15" s="5"/>
      <c r="G15" s="5" t="n">
        <v>1</v>
      </c>
      <c r="H15" s="5"/>
      <c r="I15" s="5" t="n">
        <v>7</v>
      </c>
      <c r="J15" s="5" t="n">
        <f aca="false">ROUND(AVERAGE(C15,E15,G15,I15),0)</f>
        <v>7</v>
      </c>
      <c r="K15" s="5" t="str">
        <f aca="false">IF(J15&gt;6,"TEA",IF(J15&gt;3,"TEP","TED"))</f>
        <v>TEA</v>
      </c>
    </row>
    <row r="16" customFormat="false" ht="15" hidden="false" customHeight="false" outlineLevel="0" collapsed="false">
      <c r="A16" s="1" t="n">
        <v>14</v>
      </c>
      <c r="B16" s="1" t="s">
        <v>55</v>
      </c>
      <c r="C16" s="5" t="n">
        <v>10</v>
      </c>
      <c r="D16" s="5"/>
      <c r="E16" s="5" t="n">
        <v>7</v>
      </c>
      <c r="F16" s="5"/>
      <c r="G16" s="5" t="n">
        <v>9</v>
      </c>
      <c r="H16" s="5"/>
      <c r="I16" s="5" t="n">
        <v>8</v>
      </c>
      <c r="J16" s="5" t="n">
        <f aca="false">ROUND(AVERAGE(C16,E16,G16,I16),0)</f>
        <v>9</v>
      </c>
      <c r="K16" s="5" t="str">
        <f aca="false">IF(J16&gt;6,"TEA",IF(J16&gt;3,"TEP","TED"))</f>
        <v>TEA</v>
      </c>
    </row>
    <row r="17" customFormat="false" ht="15" hidden="false" customHeight="false" outlineLevel="0" collapsed="false">
      <c r="A17" s="1" t="n">
        <v>15</v>
      </c>
      <c r="B17" s="1" t="s">
        <v>58</v>
      </c>
      <c r="C17" s="5" t="n">
        <v>9</v>
      </c>
      <c r="D17" s="5"/>
      <c r="E17" s="5" t="n">
        <v>8</v>
      </c>
      <c r="F17" s="5"/>
      <c r="G17" s="5" t="n">
        <v>9</v>
      </c>
      <c r="H17" s="5"/>
      <c r="I17" s="5" t="n">
        <v>7</v>
      </c>
      <c r="J17" s="5" t="n">
        <f aca="false">ROUND(AVERAGE(C17,E17,G17,I17),0)</f>
        <v>8</v>
      </c>
      <c r="K17" s="5" t="str">
        <f aca="false">IF(J17&gt;6,"TEA",IF(J17&gt;3,"TEP","TED"))</f>
        <v>TEA</v>
      </c>
    </row>
    <row r="18" s="6" customFormat="true" ht="15" hidden="false" customHeight="false" outlineLevel="0" collapsed="false">
      <c r="A18" s="1" t="n">
        <v>16</v>
      </c>
      <c r="B18" s="1" t="s">
        <v>62</v>
      </c>
      <c r="C18" s="5" t="n">
        <v>9</v>
      </c>
      <c r="D18" s="5"/>
      <c r="E18" s="5" t="n">
        <v>7</v>
      </c>
      <c r="F18" s="5"/>
      <c r="G18" s="5" t="n">
        <v>7</v>
      </c>
      <c r="H18" s="5"/>
      <c r="I18" s="5" t="n">
        <v>10</v>
      </c>
      <c r="J18" s="5" t="n">
        <f aca="false">ROUND(AVERAGE(C18,E18,G18,I18),0)</f>
        <v>8</v>
      </c>
      <c r="K18" s="5" t="str">
        <f aca="false">IF(J18&gt;6,"TEA",IF(J18&gt;3,"TEP","TED"))</f>
        <v>TEA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 t="n">
        <v>17</v>
      </c>
      <c r="B19" s="1" t="s">
        <v>65</v>
      </c>
      <c r="C19" s="5" t="n">
        <v>9</v>
      </c>
      <c r="D19" s="5"/>
      <c r="E19" s="5" t="n">
        <v>7</v>
      </c>
      <c r="F19" s="3" t="n">
        <v>46170</v>
      </c>
      <c r="G19" s="5" t="n">
        <v>5</v>
      </c>
      <c r="H19" s="5"/>
      <c r="I19" s="5" t="n">
        <v>2</v>
      </c>
      <c r="J19" s="5" t="n">
        <f aca="false">ROUND(AVERAGE(C19,E19,G19,I19),0)</f>
        <v>6</v>
      </c>
      <c r="K19" s="5" t="str">
        <f aca="false">IF(J19&gt;6,"TEA",IF(J19&gt;3,"TEP","TED"))</f>
        <v>TEP</v>
      </c>
    </row>
    <row r="20" s="6" customFormat="true" ht="15" hidden="false" customHeight="false" outlineLevel="0" collapsed="false">
      <c r="A20" s="1" t="n">
        <v>18</v>
      </c>
      <c r="B20" s="1" t="s">
        <v>68</v>
      </c>
      <c r="C20" s="5" t="n">
        <v>7</v>
      </c>
      <c r="D20" s="5"/>
      <c r="E20" s="5" t="n">
        <v>8</v>
      </c>
      <c r="F20" s="5"/>
      <c r="G20" s="5" t="n">
        <v>5</v>
      </c>
      <c r="H20" s="5"/>
      <c r="I20" s="5" t="n">
        <v>10</v>
      </c>
      <c r="J20" s="5" t="n">
        <f aca="false">ROUND(AVERAGE(C20,E20,G20,I20),0)</f>
        <v>8</v>
      </c>
      <c r="K20" s="5" t="str">
        <f aca="false">IF(J20&gt;6,"TEA",IF(J20&gt;3,"TEP","TED"))</f>
        <v>TEA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 t="n">
        <v>19</v>
      </c>
      <c r="B21" s="1" t="s">
        <v>71</v>
      </c>
      <c r="C21" s="5" t="n">
        <v>8</v>
      </c>
      <c r="D21" s="5"/>
      <c r="E21" s="5" t="n">
        <v>8</v>
      </c>
      <c r="F21" s="5"/>
      <c r="G21" s="5" t="n">
        <v>1</v>
      </c>
      <c r="H21" s="5"/>
      <c r="I21" s="5" t="n">
        <v>8</v>
      </c>
      <c r="J21" s="5" t="n">
        <f aca="false">ROUND(AVERAGE(C21,E21,G21,I21),0)</f>
        <v>6</v>
      </c>
      <c r="K21" s="5" t="str">
        <f aca="false">IF(J21&gt;6,"TEA",IF(J21&gt;3,"TEP","TED"))</f>
        <v>TEP</v>
      </c>
    </row>
    <row r="22" customFormat="false" ht="15" hidden="false" customHeight="false" outlineLevel="0" collapsed="false">
      <c r="A22" s="1" t="n">
        <v>20</v>
      </c>
      <c r="B22" s="1" t="s">
        <v>74</v>
      </c>
      <c r="C22" s="5" t="n">
        <v>7</v>
      </c>
      <c r="D22" s="5"/>
      <c r="E22" s="5" t="n">
        <v>10</v>
      </c>
      <c r="F22" s="5"/>
      <c r="G22" s="5" t="n">
        <v>8</v>
      </c>
      <c r="H22" s="5"/>
      <c r="I22" s="5" t="n">
        <v>10</v>
      </c>
      <c r="J22" s="5" t="n">
        <f aca="false">ROUND(AVERAGE(C22,E22,G22,I22),0)</f>
        <v>9</v>
      </c>
      <c r="K22" s="5" t="str">
        <f aca="false">IF(J22&gt;6,"TEA",IF(J22&gt;3,"TEP","TED"))</f>
        <v>TEA</v>
      </c>
    </row>
    <row r="23" customFormat="false" ht="15" hidden="false" customHeight="false" outlineLevel="0" collapsed="false">
      <c r="A23" s="1" t="n">
        <v>21</v>
      </c>
      <c r="B23" s="1" t="s">
        <v>77</v>
      </c>
      <c r="C23" s="5" t="n">
        <v>6</v>
      </c>
      <c r="D23" s="5"/>
      <c r="E23" s="5" t="n">
        <v>9</v>
      </c>
      <c r="F23" s="5"/>
      <c r="G23" s="5" t="n">
        <v>7</v>
      </c>
      <c r="H23" s="5"/>
      <c r="I23" s="5" t="n">
        <v>5</v>
      </c>
      <c r="J23" s="5" t="n">
        <f aca="false">ROUND(AVERAGE(C23,E23,G23,I23),0)</f>
        <v>7</v>
      </c>
      <c r="K23" s="5" t="str">
        <f aca="false">IF(J23&gt;6,"TEA",IF(J23&gt;3,"TEP","TED"))</f>
        <v>TEA</v>
      </c>
    </row>
    <row r="24" customFormat="false" ht="15" hidden="false" customHeight="false" outlineLevel="0" collapsed="false">
      <c r="A24" s="1" t="n">
        <v>22</v>
      </c>
      <c r="B24" s="1" t="s">
        <v>80</v>
      </c>
      <c r="C24" s="5" t="n">
        <v>10</v>
      </c>
      <c r="D24" s="5"/>
      <c r="E24" s="5" t="n">
        <v>10</v>
      </c>
      <c r="F24" s="5"/>
      <c r="G24" s="5" t="n">
        <v>8</v>
      </c>
      <c r="H24" s="5"/>
      <c r="I24" s="5" t="n">
        <v>8</v>
      </c>
      <c r="J24" s="5" t="n">
        <f aca="false">ROUND(AVERAGE(C24,E24,G24,I24),0)</f>
        <v>9</v>
      </c>
      <c r="K24" s="5" t="str">
        <f aca="false">IF(J24&gt;6,"TEA",IF(J24&gt;3,"TEP","TED"))</f>
        <v>TEA</v>
      </c>
    </row>
    <row r="25" customFormat="false" ht="15" hidden="false" customHeight="false" outlineLevel="0" collapsed="false">
      <c r="A25" s="1" t="n">
        <v>23</v>
      </c>
      <c r="B25" s="1" t="s">
        <v>83</v>
      </c>
      <c r="C25" s="5" t="n">
        <v>8</v>
      </c>
      <c r="D25" s="5"/>
      <c r="E25" s="5" t="n">
        <v>8</v>
      </c>
      <c r="F25" s="5"/>
      <c r="G25" s="5" t="n">
        <v>1</v>
      </c>
      <c r="H25" s="5"/>
      <c r="I25" s="5" t="n">
        <v>7</v>
      </c>
      <c r="J25" s="5" t="n">
        <f aca="false">ROUND(AVERAGE(C25,E25,G25,I25),0)</f>
        <v>6</v>
      </c>
      <c r="K25" s="5" t="str">
        <f aca="false">IF(J25&gt;6,"TEA",IF(J25&gt;3,"TEP","TED"))</f>
        <v>TEP</v>
      </c>
    </row>
    <row r="26" customFormat="false" ht="15" hidden="false" customHeight="false" outlineLevel="0" collapsed="false">
      <c r="A26" s="1" t="n">
        <v>24</v>
      </c>
      <c r="B26" s="1" t="s">
        <v>86</v>
      </c>
      <c r="C26" s="5" t="n">
        <v>7</v>
      </c>
      <c r="D26" s="3" t="n">
        <v>46177</v>
      </c>
      <c r="E26" s="5" t="n">
        <v>8</v>
      </c>
      <c r="F26" s="5"/>
      <c r="G26" s="5" t="n">
        <v>7</v>
      </c>
      <c r="H26" s="5"/>
      <c r="I26" s="5" t="n">
        <v>7</v>
      </c>
      <c r="J26" s="5" t="n">
        <f aca="false">ROUND(AVERAGE(C26,E26,G26,I26),0)</f>
        <v>7</v>
      </c>
      <c r="K26" s="5" t="str">
        <f aca="false">IF(J26&gt;6,"TEA",IF(J26&gt;3,"TEP","TED"))</f>
        <v>TEA</v>
      </c>
    </row>
    <row r="28" customFormat="false" ht="15" hidden="false" customHeight="false" outlineLevel="0" collapsed="false">
      <c r="A28" s="6"/>
    </row>
    <row r="30" customFormat="false" ht="15" hidden="false" customHeight="false" outlineLevel="0" collapsed="false">
      <c r="A30" s="6"/>
    </row>
  </sheetData>
  <conditionalFormatting sqref="C3:K26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  <cfRule type="cellIs" priority="5" operator="equal" aboveAverage="0" equalAverage="0" bottom="0" percent="0" rank="0" text="" dxfId="0">
      <formula>"TEA"</formula>
    </cfRule>
    <cfRule type="cellIs" priority="6" operator="equal" aboveAverage="0" equalAverage="0" bottom="0" percent="0" rank="0" text="" dxfId="1">
      <formula>"TEP"</formula>
    </cfRule>
    <cfRule type="cellIs" priority="7" operator="equal" aboveAverage="0" equalAverage="0" bottom="0" percent="0" rank="0" text="" dxfId="2">
      <formula>"TED"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7" colorId="64" zoomScale="95" zoomScaleNormal="95" zoomScalePageLayoutView="100" workbookViewId="0">
      <selection pane="topLeft" activeCell="G31" activeCellId="0" sqref="G31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3" min="2" style="1" width="19.56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2</v>
      </c>
      <c r="D1" s="1" t="s">
        <v>97</v>
      </c>
      <c r="E1" s="1" t="s">
        <v>98</v>
      </c>
      <c r="F1" s="1" t="s">
        <v>99</v>
      </c>
      <c r="G1" s="1" t="s">
        <v>100</v>
      </c>
    </row>
    <row r="2" customFormat="false" ht="15" hidden="false" customHeight="false" outlineLevel="0" collapsed="false">
      <c r="A2" s="1" t="n">
        <v>1</v>
      </c>
      <c r="B2" s="1" t="s">
        <v>12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1" t="s">
        <v>18</v>
      </c>
      <c r="C3" s="1" t="s">
        <v>18</v>
      </c>
      <c r="D3" s="1" t="n">
        <v>8</v>
      </c>
      <c r="G3" s="1" t="n">
        <v>8</v>
      </c>
    </row>
    <row r="4" customFormat="false" ht="15" hidden="false" customHeight="false" outlineLevel="0" collapsed="false">
      <c r="A4" s="1" t="n">
        <v>3</v>
      </c>
      <c r="B4" s="1" t="s">
        <v>21</v>
      </c>
      <c r="C4" s="1" t="s">
        <v>21</v>
      </c>
      <c r="D4" s="1" t="n">
        <v>4</v>
      </c>
      <c r="E4" s="1" t="n">
        <f aca="false">ROUND(AVERAGE(D4:D5),0)</f>
        <v>4</v>
      </c>
      <c r="F4" s="1" t="n">
        <v>3</v>
      </c>
      <c r="G4" s="1" t="n">
        <f aca="false">MAX(F4,E4)</f>
        <v>4</v>
      </c>
    </row>
    <row r="5" customFormat="false" ht="15" hidden="false" customHeight="false" outlineLevel="0" collapsed="false">
      <c r="C5" s="1" t="s">
        <v>21</v>
      </c>
      <c r="D5" s="1" t="n">
        <v>3</v>
      </c>
    </row>
    <row r="6" customFormat="false" ht="15" hidden="false" customHeight="false" outlineLevel="0" collapsed="false">
      <c r="A6" s="1" t="n">
        <v>4</v>
      </c>
      <c r="B6" s="1" t="s">
        <v>24</v>
      </c>
      <c r="D6" s="1" t="n">
        <v>1</v>
      </c>
      <c r="G6" s="1" t="n">
        <v>1</v>
      </c>
    </row>
    <row r="7" customFormat="false" ht="15" hidden="false" customHeight="false" outlineLevel="0" collapsed="false">
      <c r="A7" s="1" t="n">
        <v>5</v>
      </c>
      <c r="B7" s="1" t="s">
        <v>27</v>
      </c>
      <c r="C7" s="1" t="s">
        <v>27</v>
      </c>
      <c r="D7" s="1" t="n">
        <v>10</v>
      </c>
      <c r="G7" s="1" t="n">
        <v>10</v>
      </c>
    </row>
    <row r="8" customFormat="false" ht="15" hidden="false" customHeight="false" outlineLevel="0" collapsed="false">
      <c r="A8" s="1" t="n">
        <v>6</v>
      </c>
      <c r="B8" s="1" t="s">
        <v>31</v>
      </c>
      <c r="D8" s="1" t="n">
        <v>1</v>
      </c>
      <c r="G8" s="1" t="n">
        <v>1</v>
      </c>
    </row>
    <row r="9" customFormat="false" ht="15" hidden="false" customHeight="false" outlineLevel="0" collapsed="false">
      <c r="A9" s="1" t="n">
        <v>7</v>
      </c>
      <c r="B9" s="1" t="s">
        <v>34</v>
      </c>
      <c r="C9" s="1" t="s">
        <v>34</v>
      </c>
      <c r="D9" s="1" t="n">
        <v>4</v>
      </c>
      <c r="G9" s="1" t="n">
        <v>4</v>
      </c>
    </row>
    <row r="10" customFormat="false" ht="15" hidden="false" customHeight="false" outlineLevel="0" collapsed="false">
      <c r="A10" s="1" t="n">
        <v>8</v>
      </c>
      <c r="B10" s="1" t="s">
        <v>37</v>
      </c>
      <c r="C10" s="1" t="s">
        <v>37</v>
      </c>
      <c r="D10" s="1" t="n">
        <v>8</v>
      </c>
      <c r="G10" s="1" t="n">
        <v>8</v>
      </c>
    </row>
    <row r="11" customFormat="false" ht="15" hidden="false" customHeight="false" outlineLevel="0" collapsed="false">
      <c r="A11" s="1" t="n">
        <v>9</v>
      </c>
      <c r="B11" s="1" t="s">
        <v>40</v>
      </c>
      <c r="C11" s="1" t="s">
        <v>40</v>
      </c>
      <c r="D11" s="1" t="n">
        <v>3</v>
      </c>
      <c r="G11" s="1" t="n">
        <v>3</v>
      </c>
    </row>
    <row r="12" customFormat="false" ht="15" hidden="false" customHeight="false" outlineLevel="0" collapsed="false">
      <c r="A12" s="1" t="n">
        <v>10</v>
      </c>
      <c r="B12" s="1" t="s">
        <v>43</v>
      </c>
      <c r="C12" s="1" t="s">
        <v>43</v>
      </c>
      <c r="D12" s="1" t="n">
        <v>10</v>
      </c>
      <c r="G12" s="1" t="n">
        <v>10</v>
      </c>
    </row>
    <row r="13" customFormat="false" ht="15" hidden="false" customHeight="false" outlineLevel="0" collapsed="false">
      <c r="A13" s="1" t="n">
        <v>11</v>
      </c>
      <c r="B13" s="1" t="s">
        <v>46</v>
      </c>
      <c r="C13" s="1" t="s">
        <v>46</v>
      </c>
      <c r="D13" s="1" t="n">
        <v>8</v>
      </c>
      <c r="E13" s="1" t="n">
        <f aca="false">ROUND(AVERAGE(D13:D15),0)</f>
        <v>7</v>
      </c>
      <c r="F13" s="1" t="n">
        <v>5</v>
      </c>
      <c r="G13" s="1" t="n">
        <f aca="false">MAX(F13,E13)</f>
        <v>7</v>
      </c>
    </row>
    <row r="14" customFormat="false" ht="15" hidden="false" customHeight="false" outlineLevel="0" collapsed="false">
      <c r="C14" s="1" t="s">
        <v>46</v>
      </c>
      <c r="D14" s="1" t="n">
        <v>8</v>
      </c>
    </row>
    <row r="15" customFormat="false" ht="15" hidden="false" customHeight="false" outlineLevel="0" collapsed="false">
      <c r="C15" s="1" t="s">
        <v>46</v>
      </c>
      <c r="D15" s="1" t="n">
        <v>5</v>
      </c>
    </row>
    <row r="16" customFormat="false" ht="15" hidden="false" customHeight="false" outlineLevel="0" collapsed="false">
      <c r="A16" s="1" t="n">
        <v>12</v>
      </c>
      <c r="B16" s="1" t="s">
        <v>49</v>
      </c>
      <c r="C16" s="1" t="s">
        <v>49</v>
      </c>
      <c r="D16" s="1" t="n">
        <v>9</v>
      </c>
      <c r="E16" s="1" t="n">
        <f aca="false">ROUND(AVERAGE(D16:D17),0)</f>
        <v>8</v>
      </c>
      <c r="F16" s="1" t="n">
        <v>7</v>
      </c>
      <c r="G16" s="1" t="n">
        <f aca="false">MAX(F16,E16)</f>
        <v>8</v>
      </c>
    </row>
    <row r="17" customFormat="false" ht="15" hidden="false" customHeight="false" outlineLevel="0" collapsed="false">
      <c r="C17" s="1" t="s">
        <v>49</v>
      </c>
      <c r="D17" s="1" t="n">
        <v>7</v>
      </c>
    </row>
    <row r="18" customFormat="false" ht="15" hidden="false" customHeight="false" outlineLevel="0" collapsed="false">
      <c r="A18" s="1" t="n">
        <v>13</v>
      </c>
      <c r="B18" s="1" t="s">
        <v>52</v>
      </c>
      <c r="C18" s="1" t="s">
        <v>52</v>
      </c>
      <c r="D18" s="1" t="n">
        <v>9</v>
      </c>
      <c r="G18" s="1" t="n">
        <v>9</v>
      </c>
    </row>
    <row r="19" customFormat="false" ht="15" hidden="false" customHeight="false" outlineLevel="0" collapsed="false">
      <c r="A19" s="1" t="n">
        <v>14</v>
      </c>
      <c r="B19" s="1" t="s">
        <v>55</v>
      </c>
      <c r="C19" s="1" t="s">
        <v>55</v>
      </c>
      <c r="D19" s="1" t="n">
        <v>10</v>
      </c>
      <c r="G19" s="1" t="n">
        <v>10</v>
      </c>
    </row>
    <row r="20" customFormat="false" ht="15" hidden="false" customHeight="false" outlineLevel="0" collapsed="false">
      <c r="A20" s="1" t="n">
        <v>15</v>
      </c>
      <c r="B20" s="1" t="s">
        <v>58</v>
      </c>
      <c r="C20" s="1" t="s">
        <v>58</v>
      </c>
      <c r="D20" s="1" t="n">
        <v>9</v>
      </c>
      <c r="G20" s="1" t="n">
        <v>9</v>
      </c>
    </row>
    <row r="21" customFormat="false" ht="15" hidden="false" customHeight="false" outlineLevel="0" collapsed="false">
      <c r="A21" s="1" t="n">
        <v>16</v>
      </c>
      <c r="B21" s="1" t="s">
        <v>62</v>
      </c>
      <c r="C21" s="1" t="s">
        <v>62</v>
      </c>
      <c r="D21" s="1" t="n">
        <v>10</v>
      </c>
      <c r="E21" s="1" t="n">
        <f aca="false">ROUND(AVERAGE(D21:D25),0)</f>
        <v>7</v>
      </c>
      <c r="F21" s="1" t="n">
        <v>9</v>
      </c>
      <c r="G21" s="1" t="n">
        <f aca="false">MAX(F21,E21)</f>
        <v>9</v>
      </c>
    </row>
    <row r="22" customFormat="false" ht="15" hidden="false" customHeight="false" outlineLevel="0" collapsed="false">
      <c r="C22" s="1" t="s">
        <v>62</v>
      </c>
      <c r="D22" s="1" t="n">
        <v>9</v>
      </c>
    </row>
    <row r="23" customFormat="false" ht="15" hidden="false" customHeight="false" outlineLevel="0" collapsed="false">
      <c r="C23" s="1" t="s">
        <v>62</v>
      </c>
      <c r="D23" s="1" t="n">
        <v>8</v>
      </c>
    </row>
    <row r="24" customFormat="false" ht="15" hidden="false" customHeight="false" outlineLevel="0" collapsed="false">
      <c r="C24" s="1" t="s">
        <v>62</v>
      </c>
      <c r="D24" s="1" t="n">
        <v>6</v>
      </c>
    </row>
    <row r="25" customFormat="false" ht="15" hidden="false" customHeight="false" outlineLevel="0" collapsed="false">
      <c r="C25" s="1" t="s">
        <v>62</v>
      </c>
      <c r="D25" s="1" t="n">
        <v>4</v>
      </c>
    </row>
    <row r="26" customFormat="false" ht="15" hidden="false" customHeight="false" outlineLevel="0" collapsed="false">
      <c r="A26" s="1" t="n">
        <v>17</v>
      </c>
      <c r="B26" s="1" t="s">
        <v>65</v>
      </c>
      <c r="C26" s="1" t="s">
        <v>65</v>
      </c>
      <c r="D26" s="1" t="n">
        <v>9</v>
      </c>
      <c r="G26" s="1" t="n">
        <v>9</v>
      </c>
    </row>
    <row r="27" customFormat="false" ht="15" hidden="false" customHeight="false" outlineLevel="0" collapsed="false">
      <c r="A27" s="1" t="n">
        <v>18</v>
      </c>
      <c r="B27" s="1" t="s">
        <v>68</v>
      </c>
      <c r="C27" s="1" t="s">
        <v>68</v>
      </c>
      <c r="D27" s="1" t="n">
        <v>9</v>
      </c>
      <c r="E27" s="1" t="n">
        <f aca="false">ROUND(AVERAGE(D27:D28),0)</f>
        <v>7</v>
      </c>
      <c r="F27" s="1" t="n">
        <v>4</v>
      </c>
      <c r="G27" s="1" t="n">
        <f aca="false">MAX(F27,E27)</f>
        <v>7</v>
      </c>
    </row>
    <row r="28" customFormat="false" ht="15" hidden="false" customHeight="false" outlineLevel="0" collapsed="false">
      <c r="C28" s="1" t="s">
        <v>68</v>
      </c>
      <c r="D28" s="1" t="n">
        <v>4</v>
      </c>
    </row>
    <row r="29" customFormat="false" ht="15" hidden="false" customHeight="false" outlineLevel="0" collapsed="false">
      <c r="A29" s="1" t="n">
        <v>19</v>
      </c>
      <c r="B29" s="1" t="s">
        <v>71</v>
      </c>
      <c r="C29" s="1" t="s">
        <v>71</v>
      </c>
      <c r="D29" s="1" t="n">
        <v>10</v>
      </c>
      <c r="E29" s="1" t="n">
        <f aca="false">ROUND(AVERAGE(D29:D30),0)</f>
        <v>8</v>
      </c>
      <c r="F29" s="1" t="n">
        <v>6</v>
      </c>
      <c r="G29" s="1" t="n">
        <f aca="false">MAX(F29,E29)</f>
        <v>8</v>
      </c>
    </row>
    <row r="30" customFormat="false" ht="15" hidden="false" customHeight="false" outlineLevel="0" collapsed="false">
      <c r="C30" s="1" t="s">
        <v>71</v>
      </c>
      <c r="D30" s="1" t="n">
        <v>6</v>
      </c>
    </row>
    <row r="31" customFormat="false" ht="15" hidden="false" customHeight="false" outlineLevel="0" collapsed="false">
      <c r="A31" s="1" t="n">
        <v>20</v>
      </c>
      <c r="B31" s="1" t="s">
        <v>74</v>
      </c>
      <c r="C31" s="1" t="s">
        <v>74</v>
      </c>
      <c r="D31" s="1" t="n">
        <v>7</v>
      </c>
      <c r="G31" s="1" t="n">
        <v>7</v>
      </c>
    </row>
    <row r="32" customFormat="false" ht="15" hidden="false" customHeight="false" outlineLevel="0" collapsed="false">
      <c r="A32" s="1" t="n">
        <v>21</v>
      </c>
      <c r="B32" s="1" t="s">
        <v>77</v>
      </c>
      <c r="C32" s="1" t="s">
        <v>77</v>
      </c>
      <c r="D32" s="1" t="n">
        <v>6</v>
      </c>
      <c r="E32" s="1" t="n">
        <f aca="false">ROUND(AVERAGE(D32:D33),0)</f>
        <v>6</v>
      </c>
      <c r="F32" s="1" t="n">
        <v>5</v>
      </c>
      <c r="G32" s="1" t="n">
        <f aca="false">MAX(F32,E32)</f>
        <v>6</v>
      </c>
    </row>
    <row r="33" customFormat="false" ht="15" hidden="false" customHeight="false" outlineLevel="0" collapsed="false">
      <c r="C33" s="1" t="s">
        <v>77</v>
      </c>
      <c r="D33" s="1" t="n">
        <v>5</v>
      </c>
    </row>
    <row r="34" customFormat="false" ht="15" hidden="false" customHeight="false" outlineLevel="0" collapsed="false">
      <c r="A34" s="1" t="n">
        <v>22</v>
      </c>
      <c r="B34" s="1" t="s">
        <v>80</v>
      </c>
      <c r="C34" s="1" t="s">
        <v>80</v>
      </c>
      <c r="D34" s="1" t="n">
        <v>10</v>
      </c>
      <c r="G34" s="1" t="n">
        <v>10</v>
      </c>
    </row>
    <row r="35" customFormat="false" ht="15" hidden="false" customHeight="false" outlineLevel="0" collapsed="false">
      <c r="A35" s="1" t="n">
        <v>23</v>
      </c>
      <c r="B35" s="1" t="s">
        <v>83</v>
      </c>
      <c r="C35" s="1" t="s">
        <v>83</v>
      </c>
      <c r="D35" s="1" t="n">
        <v>8</v>
      </c>
      <c r="G35" s="1" t="n">
        <v>8</v>
      </c>
    </row>
    <row r="36" customFormat="false" ht="15" hidden="false" customHeight="false" outlineLevel="0" collapsed="false">
      <c r="A36" s="1" t="n">
        <v>24</v>
      </c>
      <c r="B36" s="1" t="s">
        <v>86</v>
      </c>
      <c r="C36" s="1" t="s">
        <v>86</v>
      </c>
      <c r="D36" s="1" t="n">
        <v>3</v>
      </c>
      <c r="G36" s="1" t="n">
        <v>3</v>
      </c>
    </row>
    <row r="37" customFormat="false" ht="15" hidden="false" customHeight="false" outlineLevel="0" collapsed="false">
      <c r="F37" s="1" t="s">
        <v>9</v>
      </c>
      <c r="G37" s="1" t="n">
        <f aca="false">COUNTIF(G2:G36,"&gt;0")</f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21" colorId="64" zoomScale="95" zoomScaleNormal="95" zoomScalePageLayoutView="100" workbookViewId="0">
      <selection pane="topLeft" activeCell="I27" activeCellId="0" sqref="I27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33"/>
    <col collapsed="false" customWidth="true" hidden="false" outlineLevel="0" max="3" min="2" style="1" width="19.66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2</v>
      </c>
      <c r="D1" s="1" t="s">
        <v>97</v>
      </c>
      <c r="E1" s="1" t="s">
        <v>98</v>
      </c>
      <c r="F1" s="1" t="s">
        <v>101</v>
      </c>
      <c r="G1" s="1" t="s">
        <v>100</v>
      </c>
    </row>
    <row r="2" customFormat="false" ht="15" hidden="false" customHeight="false" outlineLevel="0" collapsed="false">
      <c r="A2" s="1" t="n">
        <v>1</v>
      </c>
      <c r="B2" s="1" t="s">
        <v>12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1" t="s">
        <v>18</v>
      </c>
      <c r="C3" s="1" t="s">
        <v>18</v>
      </c>
      <c r="D3" s="1" t="n">
        <v>9</v>
      </c>
      <c r="G3" s="1" t="n">
        <v>9</v>
      </c>
    </row>
    <row r="4" customFormat="false" ht="15" hidden="false" customHeight="false" outlineLevel="0" collapsed="false">
      <c r="A4" s="1" t="n">
        <v>3</v>
      </c>
      <c r="B4" s="1" t="s">
        <v>21</v>
      </c>
      <c r="C4" s="1" t="s">
        <v>21</v>
      </c>
      <c r="D4" s="1" t="n">
        <v>9</v>
      </c>
      <c r="E4" s="1" t="n">
        <f aca="false">ROUND(AVERAGE(D4:D5),0)</f>
        <v>8</v>
      </c>
      <c r="F4" s="1" t="n">
        <v>6</v>
      </c>
      <c r="G4" s="1" t="n">
        <f aca="false">MAX(F4,E4)</f>
        <v>8</v>
      </c>
    </row>
    <row r="5" customFormat="false" ht="15" hidden="false" customHeight="false" outlineLevel="0" collapsed="false">
      <c r="C5" s="1" t="s">
        <v>21</v>
      </c>
      <c r="D5" s="1" t="n">
        <v>6</v>
      </c>
    </row>
    <row r="6" customFormat="false" ht="15" hidden="false" customHeight="false" outlineLevel="0" collapsed="false">
      <c r="A6" s="1" t="n">
        <v>4</v>
      </c>
      <c r="B6" s="1" t="s">
        <v>24</v>
      </c>
      <c r="C6" s="1" t="s">
        <v>24</v>
      </c>
      <c r="D6" s="1" t="n">
        <v>6</v>
      </c>
      <c r="G6" s="1" t="n">
        <v>6</v>
      </c>
    </row>
    <row r="7" customFormat="false" ht="15" hidden="false" customHeight="false" outlineLevel="0" collapsed="false">
      <c r="A7" s="1" t="n">
        <v>5</v>
      </c>
      <c r="B7" s="1" t="s">
        <v>27</v>
      </c>
      <c r="C7" s="1" t="s">
        <v>27</v>
      </c>
      <c r="D7" s="1" t="n">
        <v>10</v>
      </c>
      <c r="G7" s="1" t="n">
        <v>10</v>
      </c>
    </row>
    <row r="8" customFormat="false" ht="15" hidden="false" customHeight="false" outlineLevel="0" collapsed="false">
      <c r="A8" s="1" t="n">
        <v>6</v>
      </c>
      <c r="B8" s="1" t="s">
        <v>31</v>
      </c>
      <c r="C8" s="1" t="s">
        <v>31</v>
      </c>
      <c r="D8" s="1" t="n">
        <v>9</v>
      </c>
      <c r="G8" s="1" t="n">
        <v>9</v>
      </c>
    </row>
    <row r="9" customFormat="false" ht="15" hidden="false" customHeight="false" outlineLevel="0" collapsed="false">
      <c r="A9" s="1" t="n">
        <v>7</v>
      </c>
      <c r="B9" s="1" t="s">
        <v>34</v>
      </c>
      <c r="D9" s="1" t="n">
        <v>1</v>
      </c>
      <c r="G9" s="1" t="n">
        <v>1</v>
      </c>
    </row>
    <row r="10" customFormat="false" ht="15" hidden="false" customHeight="false" outlineLevel="0" collapsed="false">
      <c r="A10" s="1" t="n">
        <v>8</v>
      </c>
      <c r="B10" s="1" t="s">
        <v>37</v>
      </c>
      <c r="C10" s="1" t="s">
        <v>37</v>
      </c>
      <c r="D10" s="1" t="n">
        <v>9</v>
      </c>
      <c r="G10" s="1" t="n">
        <v>9</v>
      </c>
    </row>
    <row r="11" customFormat="false" ht="15" hidden="false" customHeight="false" outlineLevel="0" collapsed="false">
      <c r="A11" s="1" t="n">
        <v>9</v>
      </c>
      <c r="B11" s="1" t="s">
        <v>40</v>
      </c>
      <c r="C11" s="1" t="s">
        <v>40</v>
      </c>
      <c r="D11" s="1" t="n">
        <v>7</v>
      </c>
      <c r="G11" s="1" t="n">
        <v>7</v>
      </c>
    </row>
    <row r="12" customFormat="false" ht="15" hidden="false" customHeight="false" outlineLevel="0" collapsed="false">
      <c r="A12" s="1" t="n">
        <v>10</v>
      </c>
      <c r="B12" s="1" t="s">
        <v>43</v>
      </c>
      <c r="C12" s="1" t="s">
        <v>43</v>
      </c>
      <c r="D12" s="1" t="n">
        <v>9</v>
      </c>
      <c r="G12" s="1" t="n">
        <v>9</v>
      </c>
    </row>
    <row r="13" customFormat="false" ht="15" hidden="false" customHeight="false" outlineLevel="0" collapsed="false">
      <c r="A13" s="1" t="n">
        <v>11</v>
      </c>
      <c r="B13" s="1" t="s">
        <v>46</v>
      </c>
      <c r="C13" s="1" t="s">
        <v>46</v>
      </c>
      <c r="D13" s="1" t="n">
        <v>9</v>
      </c>
      <c r="E13" s="1" t="n">
        <f aca="false">ROUND(AVERAGE(D13:D15),0)</f>
        <v>7</v>
      </c>
      <c r="F13" s="1" t="n">
        <v>8</v>
      </c>
      <c r="G13" s="1" t="n">
        <f aca="false">MAX(F13,E13)</f>
        <v>8</v>
      </c>
    </row>
    <row r="14" customFormat="false" ht="15" hidden="false" customHeight="false" outlineLevel="0" collapsed="false">
      <c r="C14" s="1" t="s">
        <v>46</v>
      </c>
      <c r="D14" s="1" t="n">
        <v>8</v>
      </c>
    </row>
    <row r="15" customFormat="false" ht="15" hidden="false" customHeight="false" outlineLevel="0" collapsed="false">
      <c r="C15" s="1" t="s">
        <v>46</v>
      </c>
      <c r="D15" s="1" t="n">
        <v>4</v>
      </c>
    </row>
    <row r="16" customFormat="false" ht="15" hidden="false" customHeight="false" outlineLevel="0" collapsed="false">
      <c r="A16" s="1" t="n">
        <v>12</v>
      </c>
      <c r="B16" s="1" t="s">
        <v>49</v>
      </c>
      <c r="C16" s="1" t="s">
        <v>49</v>
      </c>
      <c r="D16" s="1" t="n">
        <v>10</v>
      </c>
      <c r="E16" s="1" t="n">
        <f aca="false">ROUND(AVERAGE(D16:D18),0)</f>
        <v>9</v>
      </c>
      <c r="F16" s="1" t="n">
        <v>8</v>
      </c>
      <c r="G16" s="1" t="n">
        <f aca="false">MAX(F16,E16)</f>
        <v>9</v>
      </c>
    </row>
    <row r="17" customFormat="false" ht="15" hidden="false" customHeight="false" outlineLevel="0" collapsed="false">
      <c r="C17" s="1" t="s">
        <v>49</v>
      </c>
      <c r="D17" s="1" t="n">
        <v>8</v>
      </c>
    </row>
    <row r="18" customFormat="false" ht="15" hidden="false" customHeight="false" outlineLevel="0" collapsed="false">
      <c r="C18" s="1" t="s">
        <v>49</v>
      </c>
      <c r="D18" s="1" t="n">
        <v>8</v>
      </c>
    </row>
    <row r="19" customFormat="false" ht="15" hidden="false" customHeight="false" outlineLevel="0" collapsed="false">
      <c r="A19" s="1" t="n">
        <v>13</v>
      </c>
      <c r="B19" s="1" t="s">
        <v>52</v>
      </c>
      <c r="C19" s="1" t="s">
        <v>52</v>
      </c>
      <c r="D19" s="1" t="n">
        <v>9</v>
      </c>
      <c r="G19" s="1" t="n">
        <v>9</v>
      </c>
    </row>
    <row r="20" customFormat="false" ht="15" hidden="false" customHeight="false" outlineLevel="0" collapsed="false">
      <c r="A20" s="1" t="n">
        <v>14</v>
      </c>
      <c r="B20" s="1" t="s">
        <v>55</v>
      </c>
      <c r="C20" s="1" t="s">
        <v>55</v>
      </c>
      <c r="D20" s="1" t="n">
        <v>7</v>
      </c>
      <c r="G20" s="1" t="n">
        <v>7</v>
      </c>
    </row>
    <row r="21" customFormat="false" ht="15" hidden="false" customHeight="false" outlineLevel="0" collapsed="false">
      <c r="A21" s="1" t="n">
        <v>15</v>
      </c>
      <c r="B21" s="1" t="s">
        <v>58</v>
      </c>
      <c r="C21" s="1" t="s">
        <v>58</v>
      </c>
      <c r="D21" s="1" t="n">
        <v>8</v>
      </c>
      <c r="G21" s="1" t="n">
        <v>8</v>
      </c>
    </row>
    <row r="22" customFormat="false" ht="15" hidden="false" customHeight="false" outlineLevel="0" collapsed="false">
      <c r="A22" s="1" t="n">
        <v>16</v>
      </c>
      <c r="B22" s="1" t="s">
        <v>62</v>
      </c>
      <c r="C22" s="1" t="s">
        <v>62</v>
      </c>
      <c r="D22" s="1" t="n">
        <v>7</v>
      </c>
      <c r="E22" s="1" t="n">
        <f aca="false">ROUND(AVERAGE(D22:D23),0)</f>
        <v>7</v>
      </c>
      <c r="F22" s="1" t="n">
        <v>7</v>
      </c>
      <c r="G22" s="1" t="n">
        <f aca="false">MAX(F22,E22)</f>
        <v>7</v>
      </c>
    </row>
    <row r="23" customFormat="false" ht="15" hidden="false" customHeight="false" outlineLevel="0" collapsed="false">
      <c r="C23" s="1" t="s">
        <v>62</v>
      </c>
      <c r="D23" s="1" t="n">
        <v>7</v>
      </c>
    </row>
    <row r="24" customFormat="false" ht="15" hidden="false" customHeight="false" outlineLevel="0" collapsed="false">
      <c r="A24" s="1" t="n">
        <v>17</v>
      </c>
      <c r="B24" s="1" t="s">
        <v>65</v>
      </c>
      <c r="D24" s="1" t="n">
        <v>1</v>
      </c>
      <c r="G24" s="1" t="n">
        <v>1</v>
      </c>
    </row>
    <row r="25" customFormat="false" ht="15" hidden="false" customHeight="false" outlineLevel="0" collapsed="false">
      <c r="A25" s="1" t="n">
        <v>18</v>
      </c>
      <c r="B25" s="1" t="s">
        <v>68</v>
      </c>
      <c r="C25" s="1" t="s">
        <v>68</v>
      </c>
      <c r="D25" s="1" t="n">
        <v>10</v>
      </c>
      <c r="E25" s="1" t="n">
        <f aca="false">ROUND(AVERAGE(D25:D26),0)</f>
        <v>8</v>
      </c>
      <c r="F25" s="1" t="n">
        <v>6</v>
      </c>
      <c r="G25" s="1" t="n">
        <f aca="false">MAX(F25,E25)</f>
        <v>8</v>
      </c>
    </row>
    <row r="26" customFormat="false" ht="15" hidden="false" customHeight="false" outlineLevel="0" collapsed="false">
      <c r="C26" s="1" t="s">
        <v>68</v>
      </c>
      <c r="D26" s="1" t="n">
        <v>6</v>
      </c>
    </row>
    <row r="27" customFormat="false" ht="15" hidden="false" customHeight="false" outlineLevel="0" collapsed="false">
      <c r="A27" s="1" t="n">
        <v>19</v>
      </c>
      <c r="B27" s="1" t="s">
        <v>71</v>
      </c>
      <c r="C27" s="1" t="s">
        <v>71</v>
      </c>
      <c r="D27" s="1" t="n">
        <v>8</v>
      </c>
      <c r="G27" s="1" t="n">
        <v>8</v>
      </c>
    </row>
    <row r="28" customFormat="false" ht="15" hidden="false" customHeight="false" outlineLevel="0" collapsed="false">
      <c r="A28" s="1" t="n">
        <v>20</v>
      </c>
      <c r="B28" s="1" t="s">
        <v>74</v>
      </c>
      <c r="C28" s="1" t="s">
        <v>74</v>
      </c>
      <c r="D28" s="1" t="n">
        <v>10</v>
      </c>
      <c r="G28" s="1" t="n">
        <v>10</v>
      </c>
    </row>
    <row r="29" customFormat="false" ht="15" hidden="false" customHeight="false" outlineLevel="0" collapsed="false">
      <c r="A29" s="1" t="n">
        <v>21</v>
      </c>
      <c r="B29" s="1" t="s">
        <v>77</v>
      </c>
      <c r="C29" s="1" t="s">
        <v>77</v>
      </c>
      <c r="D29" s="1" t="n">
        <v>9</v>
      </c>
      <c r="E29" s="1" t="n">
        <f aca="false">ROUND(AVERAGE(D29:D30),0)</f>
        <v>9</v>
      </c>
      <c r="F29" s="1" t="n">
        <v>8</v>
      </c>
      <c r="G29" s="1" t="n">
        <f aca="false">MAX(F29,E29)</f>
        <v>9</v>
      </c>
    </row>
    <row r="30" customFormat="false" ht="15" hidden="false" customHeight="false" outlineLevel="0" collapsed="false">
      <c r="C30" s="1" t="s">
        <v>77</v>
      </c>
      <c r="D30" s="1" t="n">
        <v>8</v>
      </c>
    </row>
    <row r="31" customFormat="false" ht="15" hidden="false" customHeight="false" outlineLevel="0" collapsed="false">
      <c r="A31" s="1" t="n">
        <v>22</v>
      </c>
      <c r="B31" s="1" t="s">
        <v>80</v>
      </c>
      <c r="C31" s="1" t="s">
        <v>80</v>
      </c>
      <c r="D31" s="1" t="n">
        <v>10</v>
      </c>
      <c r="G31" s="1" t="n">
        <v>10</v>
      </c>
    </row>
    <row r="32" customFormat="false" ht="15" hidden="false" customHeight="false" outlineLevel="0" collapsed="false">
      <c r="A32" s="1" t="n">
        <v>23</v>
      </c>
      <c r="B32" s="1" t="s">
        <v>83</v>
      </c>
      <c r="C32" s="1" t="s">
        <v>83</v>
      </c>
      <c r="D32" s="1" t="n">
        <v>8</v>
      </c>
      <c r="G32" s="1" t="n">
        <v>8</v>
      </c>
    </row>
    <row r="33" customFormat="false" ht="15" hidden="false" customHeight="false" outlineLevel="0" collapsed="false">
      <c r="A33" s="1" t="n">
        <v>24</v>
      </c>
      <c r="B33" s="1" t="s">
        <v>86</v>
      </c>
      <c r="C33" s="1" t="s">
        <v>86</v>
      </c>
      <c r="D33" s="1" t="n">
        <v>8</v>
      </c>
      <c r="G33" s="1" t="n">
        <v>8</v>
      </c>
    </row>
    <row r="34" customFormat="false" ht="15" hidden="false" customHeight="false" outlineLevel="0" collapsed="false">
      <c r="F34" s="1" t="s">
        <v>9</v>
      </c>
      <c r="G34" s="1" t="n">
        <f aca="false">COUNTIF(G2:G33,"&gt;0")</f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46" activeCellId="0" sqref="G46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3" min="2" style="1" width="19.56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2</v>
      </c>
      <c r="D1" s="1" t="s">
        <v>97</v>
      </c>
      <c r="E1" s="1" t="s">
        <v>98</v>
      </c>
      <c r="F1" s="1" t="s">
        <v>101</v>
      </c>
      <c r="G1" s="1" t="s">
        <v>100</v>
      </c>
    </row>
    <row r="2" customFormat="false" ht="15" hidden="false" customHeight="false" outlineLevel="0" collapsed="false">
      <c r="A2" s="1" t="n">
        <v>1</v>
      </c>
      <c r="B2" s="1" t="s">
        <v>12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1" t="s">
        <v>18</v>
      </c>
      <c r="C3" s="1" t="s">
        <v>18</v>
      </c>
      <c r="D3" s="1" t="n">
        <v>8</v>
      </c>
      <c r="E3" s="1" t="n">
        <f aca="false">ROUND(AVERAGE(D3:D4),0)</f>
        <v>5</v>
      </c>
      <c r="F3" s="1" t="n">
        <v>1</v>
      </c>
      <c r="G3" s="1" t="n">
        <f aca="false">MAX(F3,E3)</f>
        <v>5</v>
      </c>
    </row>
    <row r="4" customFormat="false" ht="15" hidden="false" customHeight="false" outlineLevel="0" collapsed="false">
      <c r="C4" s="1" t="s">
        <v>18</v>
      </c>
      <c r="D4" s="1" t="n">
        <v>1</v>
      </c>
    </row>
    <row r="5" customFormat="false" ht="15" hidden="false" customHeight="false" outlineLevel="0" collapsed="false">
      <c r="A5" s="1" t="n">
        <v>3</v>
      </c>
      <c r="B5" s="1" t="s">
        <v>21</v>
      </c>
      <c r="C5" s="1" t="s">
        <v>21</v>
      </c>
      <c r="D5" s="1" t="n">
        <v>7</v>
      </c>
      <c r="G5" s="1" t="n">
        <v>7</v>
      </c>
    </row>
    <row r="6" customFormat="false" ht="15" hidden="false" customHeight="false" outlineLevel="0" collapsed="false">
      <c r="A6" s="1" t="n">
        <v>4</v>
      </c>
      <c r="B6" s="1" t="s">
        <v>24</v>
      </c>
      <c r="C6" s="1" t="s">
        <v>24</v>
      </c>
      <c r="D6" s="1" t="n">
        <v>8</v>
      </c>
      <c r="G6" s="1" t="n">
        <v>8</v>
      </c>
    </row>
    <row r="7" customFormat="false" ht="15" hidden="false" customHeight="false" outlineLevel="0" collapsed="false">
      <c r="A7" s="1" t="n">
        <v>5</v>
      </c>
      <c r="B7" s="1" t="s">
        <v>27</v>
      </c>
      <c r="C7" s="1" t="s">
        <v>27</v>
      </c>
      <c r="D7" s="1" t="n">
        <v>9</v>
      </c>
      <c r="E7" s="1" t="n">
        <f aca="false">ROUND(AVERAGE(D7:D11),0)</f>
        <v>7</v>
      </c>
      <c r="F7" s="1" t="n">
        <v>8</v>
      </c>
      <c r="G7" s="1" t="n">
        <f aca="false">MAX(F7,E7)</f>
        <v>8</v>
      </c>
    </row>
    <row r="8" customFormat="false" ht="15" hidden="false" customHeight="false" outlineLevel="0" collapsed="false">
      <c r="C8" s="1" t="s">
        <v>27</v>
      </c>
      <c r="D8" s="1" t="n">
        <v>9</v>
      </c>
    </row>
    <row r="9" customFormat="false" ht="15" hidden="false" customHeight="false" outlineLevel="0" collapsed="false">
      <c r="C9" s="1" t="s">
        <v>27</v>
      </c>
      <c r="D9" s="1" t="n">
        <v>8</v>
      </c>
    </row>
    <row r="10" customFormat="false" ht="15" hidden="false" customHeight="false" outlineLevel="0" collapsed="false">
      <c r="C10" s="1" t="s">
        <v>27</v>
      </c>
      <c r="D10" s="1" t="n">
        <v>5</v>
      </c>
    </row>
    <row r="11" customFormat="false" ht="15" hidden="false" customHeight="false" outlineLevel="0" collapsed="false">
      <c r="C11" s="1" t="s">
        <v>27</v>
      </c>
      <c r="D11" s="1" t="n">
        <v>3</v>
      </c>
    </row>
    <row r="12" customFormat="false" ht="15" hidden="false" customHeight="false" outlineLevel="0" collapsed="false">
      <c r="A12" s="1" t="n">
        <v>6</v>
      </c>
      <c r="B12" s="1" t="s">
        <v>31</v>
      </c>
      <c r="D12" s="1" t="n">
        <v>1</v>
      </c>
      <c r="G12" s="1" t="n">
        <v>1</v>
      </c>
    </row>
    <row r="13" customFormat="false" ht="15" hidden="false" customHeight="false" outlineLevel="0" collapsed="false">
      <c r="A13" s="1" t="n">
        <v>7</v>
      </c>
      <c r="B13" s="1" t="s">
        <v>34</v>
      </c>
      <c r="D13" s="1" t="n">
        <v>1</v>
      </c>
      <c r="G13" s="1" t="n">
        <v>1</v>
      </c>
    </row>
    <row r="14" customFormat="false" ht="15" hidden="false" customHeight="false" outlineLevel="0" collapsed="false">
      <c r="A14" s="1" t="n">
        <v>8</v>
      </c>
      <c r="B14" s="1" t="s">
        <v>37</v>
      </c>
      <c r="D14" s="1" t="n">
        <v>1</v>
      </c>
      <c r="G14" s="1" t="n">
        <v>1</v>
      </c>
    </row>
    <row r="15" customFormat="false" ht="15" hidden="false" customHeight="false" outlineLevel="0" collapsed="false">
      <c r="A15" s="1" t="n">
        <v>9</v>
      </c>
      <c r="B15" s="1" t="s">
        <v>40</v>
      </c>
      <c r="C15" s="1" t="s">
        <v>40</v>
      </c>
      <c r="D15" s="1" t="n">
        <v>5</v>
      </c>
      <c r="G15" s="1" t="n">
        <v>5</v>
      </c>
    </row>
    <row r="16" customFormat="false" ht="15" hidden="false" customHeight="false" outlineLevel="0" collapsed="false">
      <c r="A16" s="1" t="n">
        <v>10</v>
      </c>
      <c r="B16" s="1" t="s">
        <v>43</v>
      </c>
      <c r="C16" s="1" t="s">
        <v>43</v>
      </c>
      <c r="D16" s="1" t="n">
        <v>9</v>
      </c>
      <c r="E16" s="1" t="n">
        <f aca="false">ROUND(AVERAGE(D16:D20),0)</f>
        <v>6</v>
      </c>
      <c r="F16" s="1" t="n">
        <v>8</v>
      </c>
      <c r="G16" s="1" t="n">
        <f aca="false">MAX(F16,E16)</f>
        <v>8</v>
      </c>
    </row>
    <row r="17" customFormat="false" ht="15" hidden="false" customHeight="false" outlineLevel="0" collapsed="false">
      <c r="C17" s="1" t="s">
        <v>43</v>
      </c>
      <c r="D17" s="1" t="n">
        <v>8</v>
      </c>
    </row>
    <row r="18" customFormat="false" ht="15" hidden="false" customHeight="false" outlineLevel="0" collapsed="false">
      <c r="C18" s="1" t="s">
        <v>43</v>
      </c>
      <c r="D18" s="1" t="n">
        <v>6</v>
      </c>
    </row>
    <row r="19" customFormat="false" ht="15" hidden="false" customHeight="false" outlineLevel="0" collapsed="false">
      <c r="C19" s="1" t="s">
        <v>43</v>
      </c>
      <c r="D19" s="1" t="n">
        <v>5</v>
      </c>
    </row>
    <row r="20" customFormat="false" ht="15" hidden="false" customHeight="false" outlineLevel="0" collapsed="false">
      <c r="C20" s="1" t="s">
        <v>43</v>
      </c>
      <c r="D20" s="1" t="n">
        <v>3</v>
      </c>
    </row>
    <row r="21" customFormat="false" ht="15" hidden="false" customHeight="false" outlineLevel="0" collapsed="false">
      <c r="A21" s="1" t="n">
        <v>11</v>
      </c>
      <c r="B21" s="1" t="s">
        <v>46</v>
      </c>
      <c r="C21" s="1" t="s">
        <v>46</v>
      </c>
      <c r="D21" s="1" t="n">
        <v>6</v>
      </c>
      <c r="G21" s="1" t="n">
        <v>6</v>
      </c>
    </row>
    <row r="22" customFormat="false" ht="15" hidden="false" customHeight="false" outlineLevel="0" collapsed="false">
      <c r="A22" s="1" t="n">
        <v>12</v>
      </c>
      <c r="B22" s="1" t="s">
        <v>49</v>
      </c>
      <c r="C22" s="1" t="s">
        <v>49</v>
      </c>
      <c r="D22" s="1" t="n">
        <v>7</v>
      </c>
      <c r="E22" s="1" t="n">
        <f aca="false">ROUND(AVERAGE(D22:D24),0)</f>
        <v>6</v>
      </c>
      <c r="F22" s="1" t="n">
        <v>6</v>
      </c>
      <c r="G22" s="1" t="n">
        <f aca="false">MAX(F22,E22)</f>
        <v>6</v>
      </c>
    </row>
    <row r="23" customFormat="false" ht="15" hidden="false" customHeight="false" outlineLevel="0" collapsed="false">
      <c r="C23" s="1" t="s">
        <v>49</v>
      </c>
      <c r="D23" s="1" t="n">
        <v>6</v>
      </c>
    </row>
    <row r="24" customFormat="false" ht="15" hidden="false" customHeight="false" outlineLevel="0" collapsed="false">
      <c r="C24" s="1" t="s">
        <v>49</v>
      </c>
      <c r="D24" s="1" t="n">
        <v>4</v>
      </c>
    </row>
    <row r="25" customFormat="false" ht="15" hidden="false" customHeight="false" outlineLevel="0" collapsed="false">
      <c r="A25" s="1" t="n">
        <v>13</v>
      </c>
      <c r="B25" s="1" t="s">
        <v>52</v>
      </c>
      <c r="D25" s="1" t="n">
        <v>1</v>
      </c>
      <c r="G25" s="1" t="n">
        <v>1</v>
      </c>
    </row>
    <row r="26" customFormat="false" ht="15" hidden="false" customHeight="false" outlineLevel="0" collapsed="false">
      <c r="A26" s="1" t="n">
        <v>14</v>
      </c>
      <c r="B26" s="1" t="s">
        <v>55</v>
      </c>
      <c r="C26" s="1" t="s">
        <v>55</v>
      </c>
      <c r="D26" s="1" t="n">
        <v>9</v>
      </c>
      <c r="G26" s="1" t="n">
        <v>9</v>
      </c>
    </row>
    <row r="27" customFormat="false" ht="15" hidden="false" customHeight="false" outlineLevel="0" collapsed="false">
      <c r="A27" s="1" t="n">
        <v>15</v>
      </c>
      <c r="B27" s="1" t="s">
        <v>58</v>
      </c>
      <c r="C27" s="1" t="s">
        <v>58</v>
      </c>
      <c r="D27" s="1" t="n">
        <v>9</v>
      </c>
      <c r="G27" s="1" t="n">
        <v>9</v>
      </c>
    </row>
    <row r="28" customFormat="false" ht="15" hidden="false" customHeight="false" outlineLevel="0" collapsed="false">
      <c r="A28" s="1" t="n">
        <v>16</v>
      </c>
      <c r="B28" s="1" t="s">
        <v>62</v>
      </c>
      <c r="C28" s="1" t="s">
        <v>62</v>
      </c>
      <c r="D28" s="1" t="n">
        <v>7</v>
      </c>
      <c r="G28" s="1" t="n">
        <v>7</v>
      </c>
    </row>
    <row r="29" customFormat="false" ht="15" hidden="false" customHeight="false" outlineLevel="0" collapsed="false">
      <c r="A29" s="1" t="n">
        <v>17</v>
      </c>
      <c r="B29" s="1" t="s">
        <v>65</v>
      </c>
      <c r="C29" s="1" t="s">
        <v>65</v>
      </c>
      <c r="D29" s="1" t="n">
        <v>5</v>
      </c>
      <c r="G29" s="1" t="n">
        <v>5</v>
      </c>
    </row>
    <row r="30" customFormat="false" ht="15" hidden="false" customHeight="false" outlineLevel="0" collapsed="false">
      <c r="A30" s="1" t="n">
        <v>18</v>
      </c>
      <c r="B30" s="1" t="s">
        <v>68</v>
      </c>
      <c r="C30" s="1" t="s">
        <v>68</v>
      </c>
      <c r="D30" s="1" t="n">
        <v>7</v>
      </c>
      <c r="E30" s="1" t="n">
        <f aca="false">ROUND(AVERAGE(D30:D31),0)</f>
        <v>5</v>
      </c>
      <c r="F30" s="1" t="n">
        <v>3</v>
      </c>
      <c r="G30" s="1" t="n">
        <f aca="false">MAX(F30,E30)</f>
        <v>5</v>
      </c>
    </row>
    <row r="31" customFormat="false" ht="15" hidden="false" customHeight="false" outlineLevel="0" collapsed="false">
      <c r="C31" s="1" t="s">
        <v>68</v>
      </c>
      <c r="D31" s="1" t="n">
        <v>3</v>
      </c>
    </row>
    <row r="32" customFormat="false" ht="15" hidden="false" customHeight="false" outlineLevel="0" collapsed="false">
      <c r="A32" s="1" t="n">
        <v>19</v>
      </c>
      <c r="B32" s="1" t="s">
        <v>71</v>
      </c>
      <c r="D32" s="1" t="n">
        <v>1</v>
      </c>
      <c r="G32" s="1" t="n">
        <v>1</v>
      </c>
    </row>
    <row r="33" customFormat="false" ht="15" hidden="false" customHeight="false" outlineLevel="0" collapsed="false">
      <c r="A33" s="1" t="n">
        <v>20</v>
      </c>
      <c r="B33" s="1" t="s">
        <v>74</v>
      </c>
      <c r="C33" s="1" t="s">
        <v>74</v>
      </c>
      <c r="D33" s="1" t="n">
        <v>10</v>
      </c>
      <c r="E33" s="1" t="n">
        <f aca="false">ROUND(AVERAGE(D33:D35),0)</f>
        <v>7</v>
      </c>
      <c r="F33" s="1" t="n">
        <v>8</v>
      </c>
      <c r="G33" s="1" t="n">
        <f aca="false">MAX(F33,E33)</f>
        <v>8</v>
      </c>
    </row>
    <row r="34" customFormat="false" ht="15" hidden="false" customHeight="false" outlineLevel="0" collapsed="false">
      <c r="C34" s="1" t="s">
        <v>74</v>
      </c>
      <c r="D34" s="1" t="n">
        <v>8</v>
      </c>
    </row>
    <row r="35" customFormat="false" ht="15" hidden="false" customHeight="false" outlineLevel="0" collapsed="false">
      <c r="C35" s="1" t="s">
        <v>74</v>
      </c>
      <c r="D35" s="1" t="n">
        <v>4</v>
      </c>
    </row>
    <row r="36" customFormat="false" ht="15" hidden="false" customHeight="false" outlineLevel="0" collapsed="false">
      <c r="A36" s="1" t="n">
        <v>21</v>
      </c>
      <c r="B36" s="1" t="s">
        <v>77</v>
      </c>
      <c r="C36" s="1" t="s">
        <v>77</v>
      </c>
      <c r="D36" s="1" t="n">
        <v>7</v>
      </c>
      <c r="G36" s="1" t="n">
        <v>7</v>
      </c>
    </row>
    <row r="37" customFormat="false" ht="15" hidden="false" customHeight="false" outlineLevel="0" collapsed="false">
      <c r="A37" s="1" t="n">
        <v>22</v>
      </c>
      <c r="B37" s="1" t="s">
        <v>80</v>
      </c>
      <c r="C37" s="1" t="s">
        <v>80</v>
      </c>
      <c r="D37" s="1" t="n">
        <v>10</v>
      </c>
      <c r="E37" s="1" t="n">
        <f aca="false">ROUND(AVERAGE(D37:D44),0)</f>
        <v>6</v>
      </c>
      <c r="F37" s="1" t="n">
        <v>8</v>
      </c>
      <c r="G37" s="1" t="n">
        <f aca="false">MAX(F37,E37)</f>
        <v>8</v>
      </c>
    </row>
    <row r="38" customFormat="false" ht="15" hidden="false" customHeight="false" outlineLevel="0" collapsed="false">
      <c r="C38" s="1" t="s">
        <v>80</v>
      </c>
      <c r="D38" s="1" t="n">
        <v>8</v>
      </c>
    </row>
    <row r="39" customFormat="false" ht="15" hidden="false" customHeight="false" outlineLevel="0" collapsed="false">
      <c r="C39" s="1" t="s">
        <v>80</v>
      </c>
      <c r="D39" s="1" t="n">
        <v>6</v>
      </c>
    </row>
    <row r="40" customFormat="false" ht="15" hidden="false" customHeight="false" outlineLevel="0" collapsed="false">
      <c r="C40" s="1" t="s">
        <v>80</v>
      </c>
      <c r="D40" s="1" t="n">
        <v>6</v>
      </c>
    </row>
    <row r="41" customFormat="false" ht="15" hidden="false" customHeight="false" outlineLevel="0" collapsed="false">
      <c r="C41" s="1" t="s">
        <v>80</v>
      </c>
      <c r="D41" s="1" t="n">
        <v>5</v>
      </c>
    </row>
    <row r="42" customFormat="false" ht="15" hidden="false" customHeight="false" outlineLevel="0" collapsed="false">
      <c r="C42" s="1" t="s">
        <v>80</v>
      </c>
      <c r="D42" s="1" t="n">
        <v>5</v>
      </c>
    </row>
    <row r="43" customFormat="false" ht="15" hidden="false" customHeight="false" outlineLevel="0" collapsed="false">
      <c r="C43" s="1" t="s">
        <v>80</v>
      </c>
      <c r="D43" s="1" t="n">
        <v>5</v>
      </c>
    </row>
    <row r="44" customFormat="false" ht="15" hidden="false" customHeight="false" outlineLevel="0" collapsed="false">
      <c r="C44" s="1" t="s">
        <v>80</v>
      </c>
      <c r="D44" s="1" t="n">
        <v>1</v>
      </c>
    </row>
    <row r="45" customFormat="false" ht="15" hidden="false" customHeight="false" outlineLevel="0" collapsed="false">
      <c r="A45" s="1" t="n">
        <v>23</v>
      </c>
      <c r="B45" s="1" t="s">
        <v>83</v>
      </c>
      <c r="D45" s="1" t="n">
        <v>1</v>
      </c>
      <c r="G45" s="1" t="n">
        <v>1</v>
      </c>
    </row>
    <row r="46" customFormat="false" ht="15" hidden="false" customHeight="false" outlineLevel="0" collapsed="false">
      <c r="A46" s="1" t="n">
        <v>24</v>
      </c>
      <c r="B46" s="1" t="s">
        <v>86</v>
      </c>
      <c r="C46" s="1" t="s">
        <v>86</v>
      </c>
      <c r="D46" s="1" t="n">
        <v>7</v>
      </c>
      <c r="G46" s="1" t="n">
        <v>7</v>
      </c>
    </row>
    <row r="47" customFormat="false" ht="15" hidden="false" customHeight="false" outlineLevel="0" collapsed="false">
      <c r="F47" s="1" t="s">
        <v>9</v>
      </c>
      <c r="G47" s="1" t="n">
        <f aca="false">COUNTIF(G2:G46,"&gt;0")</f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2025-05-05T16:38:05Z</dcterms:created>
  <dc:creator/>
  <dc:description/>
  <dc:language>es-AR</dc:language>
  <cp:lastModifiedBy/>
  <dcterms:modified xsi:type="dcterms:W3CDTF">2026-07-17T15:32:21Z</dcterms:modified>
  <cp:revision>105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