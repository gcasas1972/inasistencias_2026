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isstencia" sheetId="1" state="visible" r:id="rId3"/>
    <sheet name="notas" sheetId="2" state="visible" r:id="rId4"/>
    <sheet name="positivos" sheetId="3" state="visible" r:id="rId5"/>
    <sheet name="1-UML" sheetId="4" state="visible" r:id="rId6"/>
    <sheet name="1-uml Recu" sheetId="5" state="visible" r:id="rId7"/>
    <sheet name="2-da" sheetId="6" state="visible" r:id="rId8"/>
    <sheet name="2-DA recup" sheetId="7" state="visible" r:id="rId9"/>
    <sheet name="3-dcu" sheetId="8" state="visible" r:id="rId10"/>
    <sheet name="3-DCU-Recup" sheetId="9" state="visible" r:id="rId11"/>
    <sheet name="4-java" sheetId="10" state="visible" r:id="rId12"/>
    <sheet name="4-Recup" sheetId="11" state="visible" r:id="rId13"/>
    <sheet name="5-Redes" sheetId="12" state="visible" r:id="rId1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<sst xmlns="http://schemas.openxmlformats.org/spreadsheetml/2006/main" count="2117" uniqueCount="475">
  <si>
    <t xml:space="preserve">Nro</t>
  </si>
  <si>
    <t xml:space="preserve">Nombre</t>
  </si>
  <si>
    <t xml:space="preserve">Apellido(s)</t>
  </si>
  <si>
    <t xml:space="preserve">Dirección de correo</t>
  </si>
  <si>
    <t xml:space="preserve">obs</t>
  </si>
  <si>
    <t xml:space="preserve">Luciano</t>
  </si>
  <si>
    <t xml:space="preserve">ALVAREZ</t>
  </si>
  <si>
    <t xml:space="preserve">48639171@gmail.com</t>
  </si>
  <si>
    <t xml:space="preserve">P</t>
  </si>
  <si>
    <t xml:space="preserve">A</t>
  </si>
  <si>
    <t xml:space="preserve">Lucas Gabriel</t>
  </si>
  <si>
    <t xml:space="preserve">BARONE</t>
  </si>
  <si>
    <t xml:space="preserve">48367166@gmail.com</t>
  </si>
  <si>
    <t xml:space="preserve">T</t>
  </si>
  <si>
    <t xml:space="preserve">Rodrigo Matías</t>
  </si>
  <si>
    <t xml:space="preserve">BERMUDEZ</t>
  </si>
  <si>
    <t xml:space="preserve">ytrodripro@gmail.com</t>
  </si>
  <si>
    <t xml:space="preserve">Bruno Leonel</t>
  </si>
  <si>
    <t xml:space="preserve">BRITEZ VIEIRA</t>
  </si>
  <si>
    <t xml:space="preserve">48565674@gmail.com</t>
  </si>
  <si>
    <t xml:space="preserve">Genaro Matias</t>
  </si>
  <si>
    <t xml:space="preserve">CHIARAPPA</t>
  </si>
  <si>
    <t xml:space="preserve">48296237@gmail.com</t>
  </si>
  <si>
    <t xml:space="preserve">David Alejandro</t>
  </si>
  <si>
    <t xml:space="preserve">COCERES</t>
  </si>
  <si>
    <t xml:space="preserve">davidcoceres6@gmail.com</t>
  </si>
  <si>
    <t xml:space="preserve">Agustin</t>
  </si>
  <si>
    <t xml:space="preserve">della bosca</t>
  </si>
  <si>
    <t xml:space="preserve">dellaboscaagustin34@gmail.com</t>
  </si>
  <si>
    <t xml:space="preserve">Nicolás Ezequiel</t>
  </si>
  <si>
    <t xml:space="preserve">Dufou</t>
  </si>
  <si>
    <t xml:space="preserve">48433229@gmail.com</t>
  </si>
  <si>
    <t xml:space="preserve">Alexis Tomas</t>
  </si>
  <si>
    <t xml:space="preserve">Gimenez Altamiranda</t>
  </si>
  <si>
    <t xml:space="preserve">46733686@gmail.com</t>
  </si>
  <si>
    <t xml:space="preserve">Fabricio</t>
  </si>
  <si>
    <t xml:space="preserve">GODOY ERAZO</t>
  </si>
  <si>
    <t xml:space="preserve">fabrigodoye@gmail.com</t>
  </si>
  <si>
    <t xml:space="preserve">Santiago Daniel</t>
  </si>
  <si>
    <t xml:space="preserve">Ivanoff Direnzo</t>
  </si>
  <si>
    <t xml:space="preserve">santyagobartolo@gmail.com</t>
  </si>
  <si>
    <t xml:space="preserve">Tania Erika</t>
  </si>
  <si>
    <t xml:space="preserve">KOSTEN</t>
  </si>
  <si>
    <t xml:space="preserve">taniakosten7@gmail.com</t>
  </si>
  <si>
    <t xml:space="preserve">Micaela</t>
  </si>
  <si>
    <t xml:space="preserve">Lebeña</t>
  </si>
  <si>
    <t xml:space="preserve">mclebena@gmail.com</t>
  </si>
  <si>
    <t xml:space="preserve">Ramiro</t>
  </si>
  <si>
    <t xml:space="preserve">Monaco</t>
  </si>
  <si>
    <t xml:space="preserve">47690523@gmail.com</t>
  </si>
  <si>
    <t xml:space="preserve">Nazareno Ezequiel</t>
  </si>
  <si>
    <t xml:space="preserve">OLEA</t>
  </si>
  <si>
    <t xml:space="preserve">48647037@gmail.com</t>
  </si>
  <si>
    <t xml:space="preserve">Leonel Maximiliano</t>
  </si>
  <si>
    <t xml:space="preserve">Paz</t>
  </si>
  <si>
    <t xml:space="preserve">leochankun1@gmail.com</t>
  </si>
  <si>
    <t xml:space="preserve">Carla Michelle</t>
  </si>
  <si>
    <t xml:space="preserve">RIVERO</t>
  </si>
  <si>
    <t xml:space="preserve">48806800@gmail.com</t>
  </si>
  <si>
    <t xml:space="preserve">Anastasia Jasmin</t>
  </si>
  <si>
    <t xml:space="preserve">RODRIGUEZ</t>
  </si>
  <si>
    <t xml:space="preserve">48236996@gmail.com</t>
  </si>
  <si>
    <t xml:space="preserve">Juan Angel</t>
  </si>
  <si>
    <t xml:space="preserve">Rusca</t>
  </si>
  <si>
    <t xml:space="preserve">juanrusca87@gmail.com</t>
  </si>
  <si>
    <t xml:space="preserve">Nahuel David</t>
  </si>
  <si>
    <t xml:space="preserve">Sayago</t>
  </si>
  <si>
    <t xml:space="preserve">nahueldavidsayago@gmail.com</t>
  </si>
  <si>
    <t xml:space="preserve">Alejo Nicolas</t>
  </si>
  <si>
    <t xml:space="preserve">SUAREZ</t>
  </si>
  <si>
    <t xml:space="preserve">alejosuarezescuela@gmail.com</t>
  </si>
  <si>
    <t xml:space="preserve">M</t>
  </si>
  <si>
    <t xml:space="preserve">Marcos Ulises</t>
  </si>
  <si>
    <t xml:space="preserve">VERGARA</t>
  </si>
  <si>
    <t xml:space="preserve">48639083@gmail.com</t>
  </si>
  <si>
    <t xml:space="preserve">Damian Valentin</t>
  </si>
  <si>
    <t xml:space="preserve">VIDELA</t>
  </si>
  <si>
    <t xml:space="preserve">48639739@gmail.com</t>
  </si>
  <si>
    <t xml:space="preserve">Amadeo Siro</t>
  </si>
  <si>
    <t xml:space="preserve">Zalazar Rivas</t>
  </si>
  <si>
    <t xml:space="preserve">48639268@gmail.com</t>
  </si>
  <si>
    <t xml:space="preserve">presentes</t>
  </si>
  <si>
    <t xml:space="preserve">total presentes</t>
  </si>
  <si>
    <t xml:space="preserve">media falta</t>
  </si>
  <si>
    <t xml:space="preserve">total con tarddes y muy tarders</t>
  </si>
  <si>
    <t xml:space="preserve">tarde</t>
  </si>
  <si>
    <t xml:space="preserve">total</t>
  </si>
  <si>
    <t xml:space="preserve">entrega</t>
  </si>
  <si>
    <t xml:space="preserve">Fecha entrega</t>
  </si>
  <si>
    <t xml:space="preserve">1-uml</t>
  </si>
  <si>
    <t xml:space="preserve">Recup</t>
  </si>
  <si>
    <t xml:space="preserve">2-DA</t>
  </si>
  <si>
    <t xml:space="preserve">3-DCU</t>
  </si>
  <si>
    <t xml:space="preserve">4-java gen</t>
  </si>
  <si>
    <t xml:space="preserve">positivos</t>
  </si>
  <si>
    <t xml:space="preserve">4+positivos</t>
  </si>
  <si>
    <t xml:space="preserve">ter.med</t>
  </si>
  <si>
    <t xml:space="preserve">valoracion </t>
  </si>
  <si>
    <t xml:space="preserve">5-redes</t>
  </si>
  <si>
    <t xml:space="preserve">Asistencia</t>
  </si>
  <si>
    <t xml:space="preserve">promedio</t>
  </si>
  <si>
    <t xml:space="preserve">0-codigo</t>
  </si>
  <si>
    <t xml:space="preserve">1- entorno java</t>
  </si>
  <si>
    <t xml:space="preserve">2-tomcat</t>
  </si>
  <si>
    <t xml:space="preserve">Asis+posi</t>
  </si>
  <si>
    <t xml:space="preserve">Diciembre</t>
  </si>
  <si>
    <t xml:space="preserve">m</t>
  </si>
  <si>
    <t xml:space="preserve">x</t>
  </si>
  <si>
    <t xml:space="preserve">Gabriel</t>
  </si>
  <si>
    <t xml:space="preserve">Casas</t>
  </si>
  <si>
    <t xml:space="preserve">gcasas1972@gmail.com</t>
  </si>
  <si>
    <t xml:space="preserve">Manuel Gabriel</t>
  </si>
  <si>
    <t xml:space="preserve">González</t>
  </si>
  <si>
    <t xml:space="preserve">manu.gabylan@gmail.com</t>
  </si>
  <si>
    <t xml:space="preserve">Walter</t>
  </si>
  <si>
    <t xml:space="preserve">Stahler</t>
  </si>
  <si>
    <t xml:space="preserve">walterstahler@gmail.com</t>
  </si>
  <si>
    <t xml:space="preserve">Leandro</t>
  </si>
  <si>
    <t xml:space="preserve">Vera Sosa</t>
  </si>
  <si>
    <t xml:space="preserve">ndrstill898@gmail.com</t>
  </si>
  <si>
    <t xml:space="preserve">ACIARES</t>
  </si>
  <si>
    <t xml:space="preserve">Aquino</t>
  </si>
  <si>
    <t xml:space="preserve">Bulgarella</t>
  </si>
  <si>
    <t xml:space="preserve">Campo</t>
  </si>
  <si>
    <t xml:space="preserve">cuesta</t>
  </si>
  <si>
    <t xml:space="preserve">Gonzalez</t>
  </si>
  <si>
    <t xml:space="preserve">Greco Caceres</t>
  </si>
  <si>
    <t xml:space="preserve">Ibarrola</t>
  </si>
  <si>
    <t xml:space="preserve">Jara Galiano</t>
  </si>
  <si>
    <t xml:space="preserve">Lecam</t>
  </si>
  <si>
    <t xml:space="preserve">Lescano</t>
  </si>
  <si>
    <t xml:space="preserve">Lima</t>
  </si>
  <si>
    <t xml:space="preserve">Magariños</t>
  </si>
  <si>
    <t xml:space="preserve">Martinez</t>
  </si>
  <si>
    <t xml:space="preserve">Ovando</t>
  </si>
  <si>
    <t xml:space="preserve">Paredes</t>
  </si>
  <si>
    <t xml:space="preserve">Ramirez Baez</t>
  </si>
  <si>
    <t xml:space="preserve">Rojas</t>
  </si>
  <si>
    <t xml:space="preserve">Stadelman</t>
  </si>
  <si>
    <t xml:space="preserve">Torrez</t>
  </si>
  <si>
    <t xml:space="preserve">Villarreal</t>
  </si>
  <si>
    <t xml:space="preserve">Finalizado</t>
  </si>
  <si>
    <t xml:space="preserve">Tiempo requerido</t>
  </si>
  <si>
    <t xml:space="preserve">Calificación/10,00</t>
  </si>
  <si>
    <t xml:space="preserve">segundo</t>
  </si>
  <si>
    <t xml:space="preserve">final</t>
  </si>
  <si>
    <t xml:space="preserve">27 de abril de 2025  15:36</t>
  </si>
  <si>
    <t xml:space="preserve">24 días</t>
  </si>
  <si>
    <t xml:space="preserve">9 de abril de 2025  11:36</t>
  </si>
  <si>
    <t xml:space="preserve">3 minutos 17 segundos</t>
  </si>
  <si>
    <t xml:space="preserve">7 de abril de 2025  10:56</t>
  </si>
  <si>
    <t xml:space="preserve">2 minutos 20 segundos</t>
  </si>
  <si>
    <t xml:space="preserve">7 de abril de 2025  10:53</t>
  </si>
  <si>
    <t xml:space="preserve">3 minutos 30 segundos</t>
  </si>
  <si>
    <t xml:space="preserve">7 de abril de 2025  10:32</t>
  </si>
  <si>
    <t xml:space="preserve">7 minutos 8 segundos</t>
  </si>
  <si>
    <t xml:space="preserve">7 de abril de 2025  10:39</t>
  </si>
  <si>
    <t xml:space="preserve">6 minutos 41 segundos</t>
  </si>
  <si>
    <t xml:space="preserve">7 de abril de 2025  10:47</t>
  </si>
  <si>
    <t xml:space="preserve">4 minutos 2 segundos</t>
  </si>
  <si>
    <t xml:space="preserve">Maria Agustina</t>
  </si>
  <si>
    <t xml:space="preserve">3 minutos 20 segundos</t>
  </si>
  <si>
    <t xml:space="preserve">3 minutos 38 segundos</t>
  </si>
  <si>
    <t xml:space="preserve">2 minutos 19 segundos</t>
  </si>
  <si>
    <t xml:space="preserve">Elias Roman</t>
  </si>
  <si>
    <t xml:space="preserve">7 minutos 13 segundos</t>
  </si>
  <si>
    <t xml:space="preserve">3 minutos 56 segundos</t>
  </si>
  <si>
    <t xml:space="preserve">4 minutos 59 segundos</t>
  </si>
  <si>
    <t xml:space="preserve">3 minutos 24 segundos</t>
  </si>
  <si>
    <t xml:space="preserve">Lautaro Martin</t>
  </si>
  <si>
    <t xml:space="preserve">8 minutos 9 segundos</t>
  </si>
  <si>
    <t xml:space="preserve">7 minutos</t>
  </si>
  <si>
    <t xml:space="preserve">thiago</t>
  </si>
  <si>
    <t xml:space="preserve">10 minutos</t>
  </si>
  <si>
    <t xml:space="preserve">Leonel</t>
  </si>
  <si>
    <t xml:space="preserve">4 minutos 5 segundos</t>
  </si>
  <si>
    <t xml:space="preserve">Pablo Gonzalo</t>
  </si>
  <si>
    <t xml:space="preserve">2 minutos 11 segundos</t>
  </si>
  <si>
    <t xml:space="preserve">5 minutos 34 segundos</t>
  </si>
  <si>
    <t xml:space="preserve">2 minutos 44 segundos</t>
  </si>
  <si>
    <t xml:space="preserve">3 minutos 8 segundos</t>
  </si>
  <si>
    <t xml:space="preserve">2 minutos 59 segundos</t>
  </si>
  <si>
    <t xml:space="preserve">3 minutos 47 segundos</t>
  </si>
  <si>
    <t xml:space="preserve">3 minutos 6 segundos</t>
  </si>
  <si>
    <t xml:space="preserve">3 minutos 39 segundos</t>
  </si>
  <si>
    <t xml:space="preserve">4 minutos 48 segundos</t>
  </si>
  <si>
    <t xml:space="preserve">Matias Alessandro</t>
  </si>
  <si>
    <t xml:space="preserve">4 minutos 31 segundos</t>
  </si>
  <si>
    <t xml:space="preserve">4 minutos 7 segundos</t>
  </si>
  <si>
    <t xml:space="preserve">Sebastian Ezequiel</t>
  </si>
  <si>
    <t xml:space="preserve">5 minutos 39 segundos</t>
  </si>
  <si>
    <t xml:space="preserve">6 minutos 19 segundos</t>
  </si>
  <si>
    <t xml:space="preserve">3 minutos 23 segundos</t>
  </si>
  <si>
    <t xml:space="preserve">3 minutos 15 segundos</t>
  </si>
  <si>
    <t xml:space="preserve">5 minutos 25 segundos</t>
  </si>
  <si>
    <t xml:space="preserve">4 minutos 24 segundos</t>
  </si>
  <si>
    <t xml:space="preserve">3 minutos 9 segundos</t>
  </si>
  <si>
    <t xml:space="preserve">3 minutos 16 segundos</t>
  </si>
  <si>
    <t xml:space="preserve">Bruno Ivan</t>
  </si>
  <si>
    <t xml:space="preserve">1 minutos 44 segundos</t>
  </si>
  <si>
    <t xml:space="preserve">Santiago Nicolas</t>
  </si>
  <si>
    <t xml:space="preserve">6 minutos 18 segundos</t>
  </si>
  <si>
    <t xml:space="preserve">2 minutos 49 segundos</t>
  </si>
  <si>
    <t xml:space="preserve">1 minutos 58 segundos</t>
  </si>
  <si>
    <t xml:space="preserve">1 minutos 57 segundos</t>
  </si>
  <si>
    <t xml:space="preserve">Andres Matias</t>
  </si>
  <si>
    <t xml:space="preserve">3 minutos 34 segundos</t>
  </si>
  <si>
    <t xml:space="preserve">Andres Santiago</t>
  </si>
  <si>
    <t xml:space="preserve">2 minutos 34 segundos</t>
  </si>
  <si>
    <t xml:space="preserve">Thiago German</t>
  </si>
  <si>
    <t xml:space="preserve">Kevin Lionel</t>
  </si>
  <si>
    <t xml:space="preserve">Nicole Abigail</t>
  </si>
  <si>
    <t xml:space="preserve">2 minutos 53 segundos</t>
  </si>
  <si>
    <t xml:space="preserve">Luciano David</t>
  </si>
  <si>
    <t xml:space="preserve">6 minutos 17 segundos</t>
  </si>
  <si>
    <t xml:space="preserve">1 minutos 2 segundos</t>
  </si>
  <si>
    <t xml:space="preserve">2 minutos 35 segundos</t>
  </si>
  <si>
    <t xml:space="preserve">2 minutos 28 segundos</t>
  </si>
  <si>
    <t xml:space="preserve">2 minutos 33 segundos</t>
  </si>
  <si>
    <t xml:space="preserve">2 minutos 31 segundos</t>
  </si>
  <si>
    <t xml:space="preserve">2 minutos 37 segundos</t>
  </si>
  <si>
    <t xml:space="preserve">9 de abril de 2025  11:42</t>
  </si>
  <si>
    <t xml:space="preserve">4 minutos 54 segundos</t>
  </si>
  <si>
    <t xml:space="preserve">8 de abril de 2025  23:23</t>
  </si>
  <si>
    <t xml:space="preserve">2 minutos 38 segundos</t>
  </si>
  <si>
    <t xml:space="preserve">8 de abril de 2025  23:11</t>
  </si>
  <si>
    <t xml:space="preserve">8 de abril de 2025  23:16</t>
  </si>
  <si>
    <t xml:space="preserve">3 minutos 53 segundos</t>
  </si>
  <si>
    <t xml:space="preserve">8 de abril de 2025  23:20</t>
  </si>
  <si>
    <t xml:space="preserve">3 minutos 55 segundos</t>
  </si>
  <si>
    <t xml:space="preserve">segunda</t>
  </si>
  <si>
    <t xml:space="preserve">2 minutos 4 segundos</t>
  </si>
  <si>
    <t xml:space="preserve">1 minutos 56 segundos</t>
  </si>
  <si>
    <t xml:space="preserve">23 minutos 59 segundos</t>
  </si>
  <si>
    <t xml:space="preserve">2 minutos 29 segundos</t>
  </si>
  <si>
    <t xml:space="preserve">2 minutos 27 segundos</t>
  </si>
  <si>
    <t xml:space="preserve">6 minutos 30 segundos</t>
  </si>
  <si>
    <t xml:space="preserve">2 minutos 41 segundos</t>
  </si>
  <si>
    <t xml:space="preserve">7 minutos 45 segundos</t>
  </si>
  <si>
    <t xml:space="preserve">3 minutos 35 segundos</t>
  </si>
  <si>
    <t xml:space="preserve">4 minutos 17 segundos</t>
  </si>
  <si>
    <t xml:space="preserve">4 minutos 38 segundos</t>
  </si>
  <si>
    <t xml:space="preserve">6 minutos 16 segundos</t>
  </si>
  <si>
    <t xml:space="preserve">4 minutos 49 segundos</t>
  </si>
  <si>
    <t xml:space="preserve">7 minutos 48 segundos</t>
  </si>
  <si>
    <t xml:space="preserve">3 minutos 44 segundos</t>
  </si>
  <si>
    <t xml:space="preserve">5 minutos 20 segundos</t>
  </si>
  <si>
    <t xml:space="preserve">3 minutos 32 segundos</t>
  </si>
  <si>
    <t xml:space="preserve">3 minutos 3 segundos</t>
  </si>
  <si>
    <t xml:space="preserve">3 minutos 13 segundos</t>
  </si>
  <si>
    <t xml:space="preserve">3 minutos 36 segundos</t>
  </si>
  <si>
    <t xml:space="preserve">3 minutos 12 segundos</t>
  </si>
  <si>
    <t xml:space="preserve">2 minutos 50 segundos</t>
  </si>
  <si>
    <t xml:space="preserve">2 minutos 46 segundos</t>
  </si>
  <si>
    <t xml:space="preserve">5 minutos 13 segundos</t>
  </si>
  <si>
    <t xml:space="preserve">5 minutos 15 segundos</t>
  </si>
  <si>
    <t xml:space="preserve">9 minutos 16 segundos</t>
  </si>
  <si>
    <t xml:space="preserve">5 minutos 6 segundos</t>
  </si>
  <si>
    <t xml:space="preserve">7 minutos 2 segundos</t>
  </si>
  <si>
    <t xml:space="preserve">1 minutos 59 segundos</t>
  </si>
  <si>
    <t xml:space="preserve">2 minutos 16 segundos</t>
  </si>
  <si>
    <t xml:space="preserve">2 minutos 1 segundos</t>
  </si>
  <si>
    <t xml:space="preserve">5 minutos 18 segundos</t>
  </si>
  <si>
    <t xml:space="preserve">7 minutos 19 segundos</t>
  </si>
  <si>
    <t xml:space="preserve">2 minutos 32 segundos</t>
  </si>
  <si>
    <t xml:space="preserve">4 minutos 18 segundos</t>
  </si>
  <si>
    <t xml:space="preserve">2 minutos 54 segundos</t>
  </si>
  <si>
    <t xml:space="preserve">4 minutos 23 segundos</t>
  </si>
  <si>
    <t xml:space="preserve">45 segundos</t>
  </si>
  <si>
    <t xml:space="preserve">2 minutos 9 segundos</t>
  </si>
  <si>
    <t xml:space="preserve">3 minutos 2 segundos</t>
  </si>
  <si>
    <t xml:space="preserve">2 minutos 57 segundos</t>
  </si>
  <si>
    <t xml:space="preserve">24 de abril de 2025  16:22</t>
  </si>
  <si>
    <t xml:space="preserve">4 minutos 30 segundos</t>
  </si>
  <si>
    <t xml:space="preserve">24 de abril de 2025  16:09</t>
  </si>
  <si>
    <t xml:space="preserve">4 minutos 55 segundos</t>
  </si>
  <si>
    <t xml:space="preserve">24 de abril de 2025  16:17</t>
  </si>
  <si>
    <t xml:space="preserve">7 minutos 46 segundos</t>
  </si>
  <si>
    <t xml:space="preserve">27 de abril de 2025  22:36</t>
  </si>
  <si>
    <t xml:space="preserve">3 minutos 58 segundos</t>
  </si>
  <si>
    <t xml:space="preserve">24 de abril de 2025  16:31</t>
  </si>
  <si>
    <t xml:space="preserve">8 minutos 32 segundos</t>
  </si>
  <si>
    <t xml:space="preserve">27 de abril de 2025  14:33</t>
  </si>
  <si>
    <t xml:space="preserve">8 minutos 33 segundos</t>
  </si>
  <si>
    <t xml:space="preserve">24 de abril de 2025  16:29</t>
  </si>
  <si>
    <t xml:space="preserve">27 de abril de 2025  14:24</t>
  </si>
  <si>
    <t xml:space="preserve">24 de abril de 2025  16:23</t>
  </si>
  <si>
    <t xml:space="preserve">1 minutos 3 segundos</t>
  </si>
  <si>
    <t xml:space="preserve">26 de abril de 2025  16:19</t>
  </si>
  <si>
    <t xml:space="preserve">9 minutos 7 segundos</t>
  </si>
  <si>
    <t xml:space="preserve">26 de abril de 2025  15:57</t>
  </si>
  <si>
    <t xml:space="preserve">9 minutos 15 segundos</t>
  </si>
  <si>
    <t xml:space="preserve">26 de abril de 2025  16:07</t>
  </si>
  <si>
    <t xml:space="preserve">26 de abril de 2025  14:25</t>
  </si>
  <si>
    <t xml:space="preserve">9 minutos 1 segundos</t>
  </si>
  <si>
    <t xml:space="preserve">26 de abril de 2025  14:35</t>
  </si>
  <si>
    <t xml:space="preserve">9 minutos 59 segundos</t>
  </si>
  <si>
    <t xml:space="preserve">26 de abril de 2025  03:13</t>
  </si>
  <si>
    <t xml:space="preserve">5 minutos 12 segundos</t>
  </si>
  <si>
    <t xml:space="preserve">24 de abril de 2025  16:42</t>
  </si>
  <si>
    <t xml:space="preserve">10 minutos 1 segundos</t>
  </si>
  <si>
    <t xml:space="preserve">24 de abril de 2025  16:43</t>
  </si>
  <si>
    <t xml:space="preserve">24 de abril de 2025  16:51</t>
  </si>
  <si>
    <t xml:space="preserve">5 minutos 40 segundos</t>
  </si>
  <si>
    <t xml:space="preserve">24 de abril de 2025  16:38</t>
  </si>
  <si>
    <t xml:space="preserve">4 minutos 52 segundos</t>
  </si>
  <si>
    <t xml:space="preserve">24 de abril de 2025  16:33</t>
  </si>
  <si>
    <t xml:space="preserve">9 minutos 14 segundos</t>
  </si>
  <si>
    <t xml:space="preserve">24 de abril de 2025  16:30</t>
  </si>
  <si>
    <t xml:space="preserve">6 minutos 20 segundos</t>
  </si>
  <si>
    <t xml:space="preserve">27 de abril de 2025  03:57</t>
  </si>
  <si>
    <t xml:space="preserve">24 de abril de 2025  16:40</t>
  </si>
  <si>
    <t xml:space="preserve">27 de abril de 2025  03:52</t>
  </si>
  <si>
    <t xml:space="preserve">8 minutos 1 segundos</t>
  </si>
  <si>
    <t xml:space="preserve">24 de abril de 2025  16:35</t>
  </si>
  <si>
    <t xml:space="preserve">2 minutos 30 segundos</t>
  </si>
  <si>
    <t xml:space="preserve">3 minutos 18 segundos</t>
  </si>
  <si>
    <t xml:space="preserve">24 de abril de 2025  16:11</t>
  </si>
  <si>
    <t xml:space="preserve">7 minutos 20 segundos</t>
  </si>
  <si>
    <t xml:space="preserve">24 de abril de 2025  16:26</t>
  </si>
  <si>
    <t xml:space="preserve">3 minutos 27 segundos</t>
  </si>
  <si>
    <t xml:space="preserve">24 de abril de 2025  16:20</t>
  </si>
  <si>
    <t xml:space="preserve">3 minutos 19 segundos</t>
  </si>
  <si>
    <t xml:space="preserve">24 de abril de 2025  16:16</t>
  </si>
  <si>
    <t xml:space="preserve">3 minutos 21 segundos</t>
  </si>
  <si>
    <t xml:space="preserve">27 de abril de 2025  19:31</t>
  </si>
  <si>
    <t xml:space="preserve">8 minutos 48 segundos</t>
  </si>
  <si>
    <t xml:space="preserve">27 de abril de 2025  16:46</t>
  </si>
  <si>
    <t xml:space="preserve">9 minutos 55 segundos</t>
  </si>
  <si>
    <t xml:space="preserve">27 de abril de 2025  15:53</t>
  </si>
  <si>
    <t xml:space="preserve">7 minutos 41 segundos</t>
  </si>
  <si>
    <t xml:space="preserve">27 de abril de 2025  16:17</t>
  </si>
  <si>
    <t xml:space="preserve">27 de abril de 2025  19:37</t>
  </si>
  <si>
    <t xml:space="preserve">3 minutos 59 segundos</t>
  </si>
  <si>
    <t xml:space="preserve">27 de abril de 2025  19:44</t>
  </si>
  <si>
    <t xml:space="preserve">6 minutos 47 segundos</t>
  </si>
  <si>
    <t xml:space="preserve">27 de abril de 2025  16:32</t>
  </si>
  <si>
    <t xml:space="preserve">27 de abril de 2025  16:07</t>
  </si>
  <si>
    <t xml:space="preserve">9 minutos 34 segundos</t>
  </si>
  <si>
    <t xml:space="preserve">27 de abril de 2025  03:07</t>
  </si>
  <si>
    <t xml:space="preserve">6 minutos 37 segundos</t>
  </si>
  <si>
    <t xml:space="preserve">27 de abril de 2025  02:34</t>
  </si>
  <si>
    <t xml:space="preserve">6 minutos 14 segundos</t>
  </si>
  <si>
    <t xml:space="preserve">27 de abril de 2025  03:00</t>
  </si>
  <si>
    <t xml:space="preserve">27 de abril de 2025  02:46</t>
  </si>
  <si>
    <t xml:space="preserve">7 minutos 25 segundos</t>
  </si>
  <si>
    <t xml:space="preserve">26 de abril de 2025  14:06</t>
  </si>
  <si>
    <t xml:space="preserve">26 de abril de 2025  13:57</t>
  </si>
  <si>
    <t xml:space="preserve">26 de abril de 2025  14:00</t>
  </si>
  <si>
    <t xml:space="preserve">26 de abril de 2025  14:04</t>
  </si>
  <si>
    <t xml:space="preserve">26 de abril de 2025  13:53</t>
  </si>
  <si>
    <t xml:space="preserve">3 minutos</t>
  </si>
  <si>
    <t xml:space="preserve">7 minutos 32 segundos</t>
  </si>
  <si>
    <t xml:space="preserve">27 de abril de 2025  15:21</t>
  </si>
  <si>
    <t xml:space="preserve">27 de abril de 2025  16:27</t>
  </si>
  <si>
    <t xml:space="preserve">6 minutos 10 segundos</t>
  </si>
  <si>
    <t xml:space="preserve">27 de abril de 2025  16:14</t>
  </si>
  <si>
    <t xml:space="preserve">8 minutos 25 segundos</t>
  </si>
  <si>
    <t xml:space="preserve">27 de abril de 2025  16:36</t>
  </si>
  <si>
    <t xml:space="preserve">24 de abril de 2025  16:21</t>
  </si>
  <si>
    <t xml:space="preserve">8 minutos 38 segundos</t>
  </si>
  <si>
    <t xml:space="preserve">24 de abril de 2025  16:32</t>
  </si>
  <si>
    <t xml:space="preserve">8 minutos 37 segundos</t>
  </si>
  <si>
    <t xml:space="preserve">26 de abril de 2025  13:50</t>
  </si>
  <si>
    <t xml:space="preserve">26 de abril de 2025  17:28</t>
  </si>
  <si>
    <t xml:space="preserve">27 de abril de 2025  13:01</t>
  </si>
  <si>
    <t xml:space="preserve">24 de abril de 2025  16:10</t>
  </si>
  <si>
    <t xml:space="preserve">6 minutos 15 segundos</t>
  </si>
  <si>
    <t xml:space="preserve">26 de abril de 2025  17:44</t>
  </si>
  <si>
    <t xml:space="preserve">5 minutos 21 segundos</t>
  </si>
  <si>
    <t xml:space="preserve">26 de abril de 2025  13:37</t>
  </si>
  <si>
    <t xml:space="preserve">26 de abril de 2025  17:36</t>
  </si>
  <si>
    <t xml:space="preserve">25 de abril de 2025  10:56</t>
  </si>
  <si>
    <t xml:space="preserve">25 de abril de 2025  10:54</t>
  </si>
  <si>
    <t xml:space="preserve">3 minutos 4 segundos</t>
  </si>
  <si>
    <t xml:space="preserve">24 de abril de 2025  16:24</t>
  </si>
  <si>
    <t xml:space="preserve">24 de abril de 2025  16:13</t>
  </si>
  <si>
    <t xml:space="preserve">3 minutos 7 segundos</t>
  </si>
  <si>
    <t xml:space="preserve">24 de abril de 2025  16:28</t>
  </si>
  <si>
    <t xml:space="preserve">3 minutos 1 segundos</t>
  </si>
  <si>
    <t xml:space="preserve">27 de abril de 2025  16:05</t>
  </si>
  <si>
    <t xml:space="preserve">6 minutos 49 segundos</t>
  </si>
  <si>
    <t xml:space="preserve">24 de abril de 2025  16:15</t>
  </si>
  <si>
    <t xml:space="preserve">5 minutos 47 segundos</t>
  </si>
  <si>
    <t xml:space="preserve">27 de abril de 2025  15:37</t>
  </si>
  <si>
    <t xml:space="preserve">55 minutos 9 segundos</t>
  </si>
  <si>
    <t xml:space="preserve">27 de abril de 2025  20:27</t>
  </si>
  <si>
    <t xml:space="preserve">27 de abril de 2025  15:35</t>
  </si>
  <si>
    <t xml:space="preserve">11 minutos 6 segundos</t>
  </si>
  <si>
    <t xml:space="preserve">24 de abril de 2025  16:12</t>
  </si>
  <si>
    <t xml:space="preserve">7 minutos 42 segundos</t>
  </si>
  <si>
    <t xml:space="preserve">27 de abril de 2025  15:23</t>
  </si>
  <si>
    <t xml:space="preserve">7 minutos 34 segundos</t>
  </si>
  <si>
    <t xml:space="preserve">26 de abril de 2025  14:02</t>
  </si>
  <si>
    <t xml:space="preserve">5 minutos 14 segundos</t>
  </si>
  <si>
    <t xml:space="preserve">26 de abril de 2025  13:43</t>
  </si>
  <si>
    <t xml:space="preserve">5 minutos 7 segundos</t>
  </si>
  <si>
    <t xml:space="preserve">26 de abril de 2025  13:29</t>
  </si>
  <si>
    <t xml:space="preserve">7 minutos 10 segundos</t>
  </si>
  <si>
    <t xml:space="preserve">6 minutos 22 segundos</t>
  </si>
  <si>
    <t xml:space="preserve">24 de abril de 2025  16:34</t>
  </si>
  <si>
    <t xml:space="preserve">24 de abril de 2025  16:14</t>
  </si>
  <si>
    <t xml:space="preserve">8 minutos 19 segundos</t>
  </si>
  <si>
    <t xml:space="preserve">Martín Gabriel</t>
  </si>
  <si>
    <t xml:space="preserve">1 minutos 49 segundos</t>
  </si>
  <si>
    <t xml:space="preserve">2 minutos 15 segundos</t>
  </si>
  <si>
    <t xml:space="preserve">1 minutos 51 segundos</t>
  </si>
  <si>
    <t xml:space="preserve">1 minutos 47 segundos</t>
  </si>
  <si>
    <t xml:space="preserve">2 minutos 2 segundos</t>
  </si>
  <si>
    <t xml:space="preserve">6 minutos 6 segundos</t>
  </si>
  <si>
    <t xml:space="preserve">3 minutos 14 segundos</t>
  </si>
  <si>
    <t xml:space="preserve">6 minutos 3 segundos</t>
  </si>
  <si>
    <t xml:space="preserve">3 minutos 29 segundos</t>
  </si>
  <si>
    <t xml:space="preserve">Maximiliano Leonel</t>
  </si>
  <si>
    <t xml:space="preserve">3 minutos 22 segundos</t>
  </si>
  <si>
    <t xml:space="preserve">2 minutos 52 segundos</t>
  </si>
  <si>
    <t xml:space="preserve">2 minutos 10 segundos</t>
  </si>
  <si>
    <t xml:space="preserve">2 minutos 14 segundos</t>
  </si>
  <si>
    <t xml:space="preserve">4 minutos 27 segundos</t>
  </si>
  <si>
    <t xml:space="preserve">2 minutos 8 segundos</t>
  </si>
  <si>
    <t xml:space="preserve">1 minutos 54 segundos</t>
  </si>
  <si>
    <t xml:space="preserve">7 minutos 23 segundos</t>
  </si>
  <si>
    <t xml:space="preserve">2 minutos 58 segundos</t>
  </si>
  <si>
    <t xml:space="preserve">7 minutos 52 segundos</t>
  </si>
  <si>
    <t xml:space="preserve">3 minutos 52 segundos</t>
  </si>
  <si>
    <t xml:space="preserve">4 minutos 46 segundos</t>
  </si>
  <si>
    <t xml:space="preserve">4 minutos 44 segundos</t>
  </si>
  <si>
    <t xml:space="preserve">6 minutos 26 segundos</t>
  </si>
  <si>
    <t xml:space="preserve">Alan Mauricio</t>
  </si>
  <si>
    <t xml:space="preserve">27 de abril de 2025  15:04</t>
  </si>
  <si>
    <t xml:space="preserve">7 minutos 15 segundos</t>
  </si>
  <si>
    <t xml:space="preserve">27 de abril de 2025  14:42</t>
  </si>
  <si>
    <t xml:space="preserve">27 de abril de 2025  14:38</t>
  </si>
  <si>
    <t xml:space="preserve">27 de abril de 2025  16:10</t>
  </si>
  <si>
    <t xml:space="preserve">8 minutos 59 segundos</t>
  </si>
  <si>
    <t xml:space="preserve">27 de abril de 2025  16:47</t>
  </si>
  <si>
    <t xml:space="preserve">5 minutos 31 segundos</t>
  </si>
  <si>
    <t xml:space="preserve">27 de abril de 2025  04:10</t>
  </si>
  <si>
    <t xml:space="preserve">27 de abril de 2025  04:06</t>
  </si>
  <si>
    <t xml:space="preserve">27 de abril de 2025  04:03</t>
  </si>
  <si>
    <t xml:space="preserve">1 minutos 37 segundos</t>
  </si>
  <si>
    <t xml:space="preserve">27 de abril de 2025  04:00</t>
  </si>
  <si>
    <t xml:space="preserve">27 de abril de 2025  03:24</t>
  </si>
  <si>
    <t xml:space="preserve">6 minutos 52 segundos</t>
  </si>
  <si>
    <t xml:space="preserve">27 de abril de 2025  03:17</t>
  </si>
  <si>
    <t xml:space="preserve">5 minutos 52 segundos</t>
  </si>
  <si>
    <t xml:space="preserve">27 de abril de 2025  14:35</t>
  </si>
  <si>
    <t xml:space="preserve">27 de abril de 2025  15:26</t>
  </si>
  <si>
    <t xml:space="preserve">3 minutos 11 segundos</t>
  </si>
  <si>
    <t xml:space="preserve">1 minutos 43 segundos</t>
  </si>
  <si>
    <t xml:space="preserve">27 de abril de 2025  16:43</t>
  </si>
  <si>
    <t xml:space="preserve">27 de abril de 2025  13:54</t>
  </si>
  <si>
    <t xml:space="preserve">6 minutos 56 segundos</t>
  </si>
  <si>
    <t xml:space="preserve">27 de abril de 2025  16:19</t>
  </si>
  <si>
    <t xml:space="preserve">4 minutos 40 segundos</t>
  </si>
  <si>
    <t xml:space="preserve">25 de abril de 2025  20:59</t>
  </si>
  <si>
    <t xml:space="preserve">27 de abril de 2025  15:54</t>
  </si>
  <si>
    <t xml:space="preserve">4 minutos 26 segundos</t>
  </si>
  <si>
    <t xml:space="preserve">27 de abril de 2025  15:12</t>
  </si>
  <si>
    <t xml:space="preserve">6 minutos 2 segundos</t>
  </si>
  <si>
    <t xml:space="preserve">27 de abril de 2025  15:06</t>
  </si>
  <si>
    <t xml:space="preserve">27 de abril de 2025  16:40</t>
  </si>
  <si>
    <t xml:space="preserve">8 minutos 39 segundos</t>
  </si>
  <si>
    <t xml:space="preserve">27 de abril de 2025  16:31</t>
  </si>
  <si>
    <t xml:space="preserve">27 de abril de 2025  13:16</t>
  </si>
  <si>
    <t xml:space="preserve">27 de abril de 2025  13:02</t>
  </si>
  <si>
    <t xml:space="preserve">3 minutos 49 segundos</t>
  </si>
  <si>
    <t xml:space="preserve">2 minutos 17 segundos</t>
  </si>
  <si>
    <t xml:space="preserve">3 minutos 54 segundos</t>
  </si>
  <si>
    <t xml:space="preserve">2 minutos 36 segundos</t>
  </si>
  <si>
    <t xml:space="preserve">2 minutos 7 segundos</t>
  </si>
  <si>
    <t xml:space="preserve">1 minutos 18 segundos</t>
  </si>
  <si>
    <t xml:space="preserve">1 minutos 22 segundos</t>
  </si>
  <si>
    <t xml:space="preserve">6 minutos 11 segundos</t>
  </si>
  <si>
    <t xml:space="preserve">5 minutos 46 segundos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</si>
</sst>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"/>
    <numFmt numFmtId="166" formatCode="hh:mm:ss"/>
    <numFmt numFmtId="167" formatCode="General"/>
  </numFmts>
  <fonts count="4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4000"/>
        <bgColor rgb="FFCC0000"/>
      </patternFill>
    </fill>
    <fill>
      <patternFill patternType="solid">
        <fgColor rgb="FFFFA726"/>
        <bgColor rgb="FFFFCC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A726"/>
      <rgbColor rgb="FFFF40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D30"/>
  <sheetViews>
    <sheetView showFormulas="false" showGridLines="true" showRowColHeaders="true" showZeros="true" rightToLeft="false" tabSelected="true" showOutlineSymbols="true" defaultGridColor="true" view="normal" topLeftCell="A11" colorId="64" zoomScale="95" zoomScaleNormal="95" zoomScalePageLayoutView="100" workbookViewId="0">
      <selection pane="topLeft" activeCell="N31" activeCellId="0" sqref="N31"/>
    </sheetView>
  </sheetViews>
  <sheetFormatPr defaultColWidth="8.76953125" defaultRowHeight="15" zeroHeight="false" outlineLevelRow="0" outlineLevelCol="0"/>
  <cols>
    <col collapsed="false" customWidth="true" hidden="false" outlineLevel="0" max="1" min="1" style="1" width="4.43"/>
    <col collapsed="false" customWidth="true" hidden="true" outlineLevel="0" max="2" min="2" style="1" width="17.7"/>
    <col collapsed="false" customWidth="true" hidden="false" outlineLevel="0" max="3" min="3" style="1" width="13.43"/>
    <col collapsed="false" customWidth="true" hidden="true" outlineLevel="0" max="4" min="4" style="1" width="31.19"/>
    <col collapsed="false" customWidth="true" hidden="false" outlineLevel="0" max="5" min="5" style="1" width="8.69"/>
    <col collapsed="false" customWidth="true" hidden="false" outlineLevel="0" max="16335" min="16335" style="0" width="10.58"/>
    <col collapsed="false" customWidth="true" hidden="false" outlineLevel="0" max="16384" min="16336" style="1" width="10.58"/>
  </cols>
  <sheetData>
    <row r="1" customFormat="false" ht="15" hidden="false" customHeight="false" outlineLevel="0" collapsed="false">
      <c r="B1" s="2"/>
      <c r="C1" s="2"/>
      <c r="D1" s="2"/>
      <c r="E1" s="3"/>
    </row>
    <row r="2" customFormat="false" ht="15" hidden="false" customHeight="false" outlineLevel="0" collapsed="false">
      <c r="A2" s="1" t="s">
        <v>0</v>
      </c>
      <c r="B2" s="1" t="s">
        <v>1</v>
      </c>
      <c r="C2" s="1" t="s">
        <v>2</v>
      </c>
      <c r="D2" s="1" t="s">
        <v>3</v>
      </c>
      <c r="E2" s="3" t="n">
        <v>46093</v>
      </c>
      <c r="F2" s="3" t="n">
        <v>46100</v>
      </c>
      <c r="G2" s="2" t="s">
        <v>4</v>
      </c>
      <c r="H2" s="3" t="n">
        <v>46107</v>
      </c>
      <c r="I2" s="3" t="n">
        <v>46121</v>
      </c>
      <c r="J2" s="3" t="s">
        <v>4</v>
      </c>
      <c r="K2" s="3" t="n">
        <v>46128</v>
      </c>
      <c r="L2" s="3" t="s">
        <v>4</v>
      </c>
      <c r="M2" s="3" t="n">
        <v>46135</v>
      </c>
      <c r="N2" s="3" t="n">
        <v>46149</v>
      </c>
      <c r="O2" s="3" t="s">
        <v>4</v>
      </c>
      <c r="P2" s="3" t="n">
        <v>46156</v>
      </c>
      <c r="Q2" s="3" t="n">
        <v>46163</v>
      </c>
      <c r="R2" s="3" t="n">
        <v>46170</v>
      </c>
      <c r="S2" s="3" t="n">
        <v>46177</v>
      </c>
      <c r="T2" s="3" t="n">
        <v>46184</v>
      </c>
      <c r="U2" s="3" t="n">
        <v>46191</v>
      </c>
      <c r="V2" s="3" t="n">
        <v>46198</v>
      </c>
      <c r="W2" s="3" t="n">
        <v>46205</v>
      </c>
      <c r="X2" s="3" t="n">
        <v>46212</v>
      </c>
      <c r="Y2" s="3" t="n">
        <v>46219</v>
      </c>
      <c r="Z2" s="3" t="n">
        <v>46226</v>
      </c>
      <c r="AA2" s="3" t="n">
        <v>46233</v>
      </c>
      <c r="AB2" s="3" t="n">
        <v>46240</v>
      </c>
      <c r="AC2" s="3" t="n">
        <v>46247</v>
      </c>
      <c r="AD2" s="3" t="n">
        <v>46254</v>
      </c>
      <c r="AE2" s="3" t="n">
        <v>46261</v>
      </c>
      <c r="AF2" s="3" t="n">
        <v>46268</v>
      </c>
      <c r="AG2" s="3" t="n">
        <v>46275</v>
      </c>
      <c r="AH2" s="3" t="n">
        <v>46282</v>
      </c>
      <c r="AI2" s="3" t="n">
        <v>46289</v>
      </c>
      <c r="AJ2" s="3" t="n">
        <v>46296</v>
      </c>
      <c r="AK2" s="3" t="n">
        <v>46303</v>
      </c>
      <c r="AL2" s="3" t="n">
        <v>46310</v>
      </c>
      <c r="AM2" s="3" t="n">
        <v>46317</v>
      </c>
      <c r="AN2" s="3" t="n">
        <v>46324</v>
      </c>
      <c r="AO2" s="3" t="n">
        <v>46331</v>
      </c>
      <c r="AP2" s="3" t="n">
        <v>46338</v>
      </c>
      <c r="AQ2" s="3" t="n">
        <v>46345</v>
      </c>
      <c r="AR2" s="3" t="n">
        <v>46352</v>
      </c>
      <c r="AS2" s="3" t="n">
        <v>46359</v>
      </c>
      <c r="AT2" s="3" t="n">
        <v>46366</v>
      </c>
      <c r="AU2" s="3" t="n">
        <v>46373</v>
      </c>
      <c r="AV2" s="3" t="n">
        <v>46380</v>
      </c>
      <c r="AW2" s="3" t="n">
        <v>46387</v>
      </c>
      <c r="AX2" s="3"/>
      <c r="AY2" s="3"/>
      <c r="AZ2" s="3"/>
      <c r="BA2" s="3"/>
      <c r="BB2" s="3"/>
      <c r="BC2" s="3"/>
      <c r="BD2" s="3"/>
    </row>
    <row r="3" customFormat="false" ht="15" hidden="false" customHeight="false" outlineLevel="0" collapsed="false">
      <c r="A3" s="1" t="n">
        <v>1</v>
      </c>
      <c r="B3" s="1" t="s">
        <v>5</v>
      </c>
      <c r="C3" s="1" t="s">
        <v>6</v>
      </c>
      <c r="D3" s="1" t="s">
        <v>7</v>
      </c>
      <c r="E3" s="1" t="s">
        <v>8</v>
      </c>
      <c r="F3" s="2" t="s">
        <v>9</v>
      </c>
      <c r="H3" s="2" t="s">
        <v>9</v>
      </c>
      <c r="I3" s="2" t="s">
        <v>8</v>
      </c>
      <c r="K3" s="2" t="s">
        <v>9</v>
      </c>
      <c r="M3" s="2" t="s">
        <v>8</v>
      </c>
      <c r="N3" s="4" t="s">
        <v>9</v>
      </c>
    </row>
    <row r="4" customFormat="false" ht="15" hidden="false" customHeight="false" outlineLevel="0" collapsed="false">
      <c r="A4" s="1" t="n">
        <v>2</v>
      </c>
      <c r="B4" s="1" t="s">
        <v>10</v>
      </c>
      <c r="C4" s="1" t="s">
        <v>11</v>
      </c>
      <c r="D4" s="1" t="s">
        <v>12</v>
      </c>
      <c r="E4" s="1" t="s">
        <v>8</v>
      </c>
      <c r="F4" s="2" t="s">
        <v>8</v>
      </c>
      <c r="H4" s="2" t="s">
        <v>8</v>
      </c>
      <c r="I4" s="2" t="s">
        <v>8</v>
      </c>
      <c r="K4" s="2" t="s">
        <v>13</v>
      </c>
      <c r="L4" s="5" t="n">
        <v>0.659722222222222</v>
      </c>
      <c r="M4" s="2" t="s">
        <v>8</v>
      </c>
      <c r="N4" s="4" t="s">
        <v>13</v>
      </c>
    </row>
    <row r="5" customFormat="false" ht="15" hidden="false" customHeight="false" outlineLevel="0" collapsed="false">
      <c r="A5" s="1" t="n">
        <v>3</v>
      </c>
      <c r="B5" s="1" t="s">
        <v>14</v>
      </c>
      <c r="C5" s="1" t="s">
        <v>15</v>
      </c>
      <c r="D5" s="1" t="s">
        <v>16</v>
      </c>
      <c r="E5" s="1" t="s">
        <v>8</v>
      </c>
      <c r="F5" s="2" t="s">
        <v>8</v>
      </c>
      <c r="H5" s="2" t="s">
        <v>8</v>
      </c>
      <c r="I5" s="2" t="s">
        <v>8</v>
      </c>
      <c r="K5" s="2" t="s">
        <v>8</v>
      </c>
      <c r="M5" s="2" t="s">
        <v>8</v>
      </c>
      <c r="N5" s="4" t="s">
        <v>8</v>
      </c>
    </row>
    <row r="6" customFormat="false" ht="15" hidden="false" customHeight="false" outlineLevel="0" collapsed="false">
      <c r="A6" s="1" t="n">
        <v>4</v>
      </c>
      <c r="B6" s="1" t="s">
        <v>17</v>
      </c>
      <c r="C6" s="1" t="s">
        <v>18</v>
      </c>
      <c r="D6" s="1" t="s">
        <v>19</v>
      </c>
      <c r="E6" s="1" t="s">
        <v>8</v>
      </c>
      <c r="F6" s="2" t="s">
        <v>8</v>
      </c>
      <c r="H6" s="2" t="s">
        <v>8</v>
      </c>
      <c r="I6" s="2" t="s">
        <v>13</v>
      </c>
      <c r="J6" s="5" t="n">
        <v>0.715277777777778</v>
      </c>
      <c r="K6" s="2" t="s">
        <v>8</v>
      </c>
      <c r="M6" s="2" t="s">
        <v>9</v>
      </c>
      <c r="N6" s="4" t="s">
        <v>8</v>
      </c>
    </row>
    <row r="7" customFormat="false" ht="15" hidden="false" customHeight="false" outlineLevel="0" collapsed="false">
      <c r="A7" s="1" t="n">
        <v>5</v>
      </c>
      <c r="B7" s="1" t="s">
        <v>20</v>
      </c>
      <c r="C7" s="1" t="s">
        <v>21</v>
      </c>
      <c r="D7" s="1" t="s">
        <v>22</v>
      </c>
      <c r="E7" s="1" t="s">
        <v>8</v>
      </c>
      <c r="F7" s="2" t="s">
        <v>8</v>
      </c>
      <c r="H7" s="2" t="s">
        <v>8</v>
      </c>
      <c r="I7" s="2" t="s">
        <v>8</v>
      </c>
      <c r="K7" s="2" t="s">
        <v>9</v>
      </c>
      <c r="M7" s="2" t="s">
        <v>9</v>
      </c>
      <c r="N7" s="4" t="s">
        <v>9</v>
      </c>
    </row>
    <row r="8" customFormat="false" ht="15" hidden="false" customHeight="false" outlineLevel="0" collapsed="false">
      <c r="A8" s="1" t="n">
        <v>6</v>
      </c>
      <c r="B8" s="1" t="s">
        <v>23</v>
      </c>
      <c r="C8" s="1" t="s">
        <v>24</v>
      </c>
      <c r="D8" s="1" t="s">
        <v>25</v>
      </c>
      <c r="E8" s="1" t="s">
        <v>8</v>
      </c>
      <c r="F8" s="2" t="s">
        <v>8</v>
      </c>
      <c r="H8" s="2" t="s">
        <v>8</v>
      </c>
      <c r="I8" s="2" t="s">
        <v>8</v>
      </c>
      <c r="K8" s="2" t="s">
        <v>9</v>
      </c>
      <c r="M8" s="2" t="s">
        <v>8</v>
      </c>
      <c r="N8" s="4" t="s">
        <v>8</v>
      </c>
    </row>
    <row r="9" customFormat="false" ht="15" hidden="false" customHeight="false" outlineLevel="0" collapsed="false">
      <c r="A9" s="1" t="n">
        <v>7</v>
      </c>
      <c r="B9" s="1" t="s">
        <v>26</v>
      </c>
      <c r="C9" s="1" t="s">
        <v>27</v>
      </c>
      <c r="D9" s="1" t="s">
        <v>28</v>
      </c>
      <c r="E9" s="1" t="s">
        <v>8</v>
      </c>
      <c r="F9" s="2" t="s">
        <v>8</v>
      </c>
      <c r="H9" s="2" t="s">
        <v>8</v>
      </c>
      <c r="I9" s="2" t="s">
        <v>13</v>
      </c>
      <c r="J9" s="5" t="n">
        <v>0.715277777777778</v>
      </c>
      <c r="K9" s="2" t="s">
        <v>9</v>
      </c>
      <c r="M9" s="2" t="s">
        <v>9</v>
      </c>
      <c r="N9" s="4" t="s">
        <v>9</v>
      </c>
    </row>
    <row r="10" customFormat="false" ht="15" hidden="false" customHeight="false" outlineLevel="0" collapsed="false">
      <c r="A10" s="1" t="n">
        <v>8</v>
      </c>
      <c r="B10" s="1" t="s">
        <v>29</v>
      </c>
      <c r="C10" s="1" t="s">
        <v>30</v>
      </c>
      <c r="D10" s="1" t="s">
        <v>31</v>
      </c>
      <c r="E10" s="1" t="s">
        <v>8</v>
      </c>
      <c r="F10" s="2" t="s">
        <v>8</v>
      </c>
      <c r="H10" s="2" t="s">
        <v>8</v>
      </c>
      <c r="I10" s="2" t="s">
        <v>8</v>
      </c>
      <c r="K10" s="2" t="s">
        <v>9</v>
      </c>
      <c r="M10" s="2" t="s">
        <v>8</v>
      </c>
      <c r="N10" s="4" t="s">
        <v>8</v>
      </c>
    </row>
    <row r="11" customFormat="false" ht="15" hidden="false" customHeight="false" outlineLevel="0" collapsed="false">
      <c r="A11" s="1" t="n">
        <v>9</v>
      </c>
      <c r="B11" s="1" t="s">
        <v>32</v>
      </c>
      <c r="C11" s="1" t="s">
        <v>33</v>
      </c>
      <c r="D11" s="1" t="s">
        <v>34</v>
      </c>
      <c r="E11" s="1" t="s">
        <v>8</v>
      </c>
      <c r="F11" s="2" t="s">
        <v>8</v>
      </c>
      <c r="H11" s="2" t="s">
        <v>8</v>
      </c>
      <c r="I11" s="2" t="s">
        <v>8</v>
      </c>
      <c r="K11" s="2" t="s">
        <v>8</v>
      </c>
      <c r="M11" s="2" t="s">
        <v>8</v>
      </c>
      <c r="N11" s="4" t="s">
        <v>8</v>
      </c>
    </row>
    <row r="12" customFormat="false" ht="15" hidden="false" customHeight="false" outlineLevel="0" collapsed="false">
      <c r="A12" s="1" t="n">
        <v>10</v>
      </c>
      <c r="B12" s="1" t="s">
        <v>35</v>
      </c>
      <c r="C12" s="1" t="s">
        <v>36</v>
      </c>
      <c r="D12" s="1" t="s">
        <v>37</v>
      </c>
      <c r="E12" s="1" t="s">
        <v>8</v>
      </c>
      <c r="F12" s="2" t="s">
        <v>8</v>
      </c>
      <c r="H12" s="2" t="s">
        <v>8</v>
      </c>
      <c r="I12" s="2" t="s">
        <v>8</v>
      </c>
      <c r="K12" s="2" t="s">
        <v>8</v>
      </c>
      <c r="M12" s="2" t="s">
        <v>8</v>
      </c>
      <c r="N12" s="4" t="s">
        <v>8</v>
      </c>
    </row>
    <row r="13" customFormat="false" ht="15" hidden="false" customHeight="false" outlineLevel="0" collapsed="false">
      <c r="A13" s="1" t="n">
        <v>12</v>
      </c>
      <c r="B13" s="1" t="s">
        <v>38</v>
      </c>
      <c r="C13" s="1" t="s">
        <v>39</v>
      </c>
      <c r="D13" s="1" t="s">
        <v>40</v>
      </c>
      <c r="E13" s="1" t="s">
        <v>8</v>
      </c>
      <c r="F13" s="2" t="s">
        <v>8</v>
      </c>
      <c r="H13" s="2" t="s">
        <v>8</v>
      </c>
      <c r="I13" s="2" t="s">
        <v>8</v>
      </c>
      <c r="K13" s="2" t="s">
        <v>9</v>
      </c>
      <c r="M13" s="2" t="s">
        <v>8</v>
      </c>
      <c r="N13" s="4" t="s">
        <v>13</v>
      </c>
      <c r="O13" s="6" t="n">
        <v>0.652777777777778</v>
      </c>
    </row>
    <row r="14" customFormat="false" ht="15" hidden="false" customHeight="false" outlineLevel="0" collapsed="false">
      <c r="A14" s="1" t="n">
        <v>13</v>
      </c>
      <c r="B14" s="1" t="s">
        <v>41</v>
      </c>
      <c r="C14" s="1" t="s">
        <v>42</v>
      </c>
      <c r="D14" s="1" t="s">
        <v>43</v>
      </c>
      <c r="E14" s="1" t="s">
        <v>8</v>
      </c>
      <c r="F14" s="2" t="s">
        <v>8</v>
      </c>
      <c r="H14" s="2" t="s">
        <v>8</v>
      </c>
      <c r="I14" s="2" t="s">
        <v>8</v>
      </c>
      <c r="K14" s="2" t="s">
        <v>8</v>
      </c>
      <c r="M14" s="2" t="s">
        <v>8</v>
      </c>
      <c r="N14" s="4" t="s">
        <v>8</v>
      </c>
    </row>
    <row r="15" customFormat="false" ht="15" hidden="false" customHeight="false" outlineLevel="0" collapsed="false">
      <c r="A15" s="1" t="n">
        <v>14</v>
      </c>
      <c r="B15" s="1" t="s">
        <v>44</v>
      </c>
      <c r="C15" s="1" t="s">
        <v>45</v>
      </c>
      <c r="D15" s="1" t="s">
        <v>46</v>
      </c>
      <c r="E15" s="1" t="s">
        <v>8</v>
      </c>
      <c r="F15" s="2" t="s">
        <v>8</v>
      </c>
      <c r="H15" s="2" t="s">
        <v>8</v>
      </c>
      <c r="I15" s="2" t="s">
        <v>8</v>
      </c>
      <c r="K15" s="2" t="s">
        <v>8</v>
      </c>
      <c r="M15" s="2" t="s">
        <v>8</v>
      </c>
      <c r="N15" s="4" t="s">
        <v>9</v>
      </c>
    </row>
    <row r="16" customFormat="false" ht="15" hidden="false" customHeight="false" outlineLevel="0" collapsed="false">
      <c r="A16" s="1" t="n">
        <v>15</v>
      </c>
      <c r="B16" s="1" t="s">
        <v>47</v>
      </c>
      <c r="C16" s="1" t="s">
        <v>48</v>
      </c>
      <c r="D16" s="1" t="s">
        <v>49</v>
      </c>
      <c r="E16" s="1" t="s">
        <v>8</v>
      </c>
      <c r="F16" s="2" t="s">
        <v>8</v>
      </c>
      <c r="H16" s="2" t="s">
        <v>8</v>
      </c>
      <c r="I16" s="2" t="s">
        <v>8</v>
      </c>
      <c r="K16" s="2" t="s">
        <v>8</v>
      </c>
      <c r="M16" s="2" t="s">
        <v>8</v>
      </c>
      <c r="N16" s="4" t="s">
        <v>8</v>
      </c>
    </row>
    <row r="17" customFormat="false" ht="15" hidden="false" customHeight="false" outlineLevel="0" collapsed="false">
      <c r="A17" s="1" t="n">
        <v>16</v>
      </c>
      <c r="B17" s="1" t="s">
        <v>50</v>
      </c>
      <c r="C17" s="1" t="s">
        <v>51</v>
      </c>
      <c r="D17" s="1" t="s">
        <v>52</v>
      </c>
      <c r="E17" s="1" t="s">
        <v>8</v>
      </c>
      <c r="F17" s="2" t="s">
        <v>13</v>
      </c>
      <c r="G17" s="5" t="n">
        <v>0.697916666666667</v>
      </c>
      <c r="H17" s="2" t="s">
        <v>8</v>
      </c>
      <c r="I17" s="2" t="s">
        <v>8</v>
      </c>
      <c r="K17" s="2" t="s">
        <v>9</v>
      </c>
      <c r="M17" s="2" t="s">
        <v>8</v>
      </c>
      <c r="N17" s="4" t="s">
        <v>8</v>
      </c>
    </row>
    <row r="18" customFormat="false" ht="15" hidden="false" customHeight="false" outlineLevel="0" collapsed="false">
      <c r="A18" s="1" t="n">
        <v>17</v>
      </c>
      <c r="B18" s="1" t="s">
        <v>53</v>
      </c>
      <c r="C18" s="1" t="s">
        <v>54</v>
      </c>
      <c r="D18" s="1" t="s">
        <v>55</v>
      </c>
      <c r="E18" s="1" t="s">
        <v>8</v>
      </c>
      <c r="F18" s="2" t="s">
        <v>8</v>
      </c>
      <c r="H18" s="2" t="s">
        <v>8</v>
      </c>
      <c r="I18" s="2" t="s">
        <v>8</v>
      </c>
      <c r="K18" s="2" t="s">
        <v>8</v>
      </c>
      <c r="M18" s="2" t="s">
        <v>8</v>
      </c>
      <c r="N18" s="4" t="s">
        <v>8</v>
      </c>
    </row>
    <row r="19" customFormat="false" ht="15" hidden="false" customHeight="false" outlineLevel="0" collapsed="false">
      <c r="A19" s="1" t="n">
        <v>18</v>
      </c>
      <c r="B19" s="1" t="s">
        <v>56</v>
      </c>
      <c r="C19" s="1" t="s">
        <v>57</v>
      </c>
      <c r="D19" s="1" t="s">
        <v>58</v>
      </c>
      <c r="E19" s="1" t="s">
        <v>9</v>
      </c>
      <c r="F19" s="2" t="s">
        <v>13</v>
      </c>
      <c r="G19" s="5" t="n">
        <v>0.611111111111111</v>
      </c>
      <c r="H19" s="2" t="s">
        <v>9</v>
      </c>
      <c r="I19" s="2" t="s">
        <v>9</v>
      </c>
      <c r="K19" s="2" t="s">
        <v>13</v>
      </c>
      <c r="L19" s="5" t="n">
        <v>0.666666666666667</v>
      </c>
      <c r="M19" s="2" t="s">
        <v>9</v>
      </c>
      <c r="N19" s="4" t="s">
        <v>9</v>
      </c>
    </row>
    <row r="20" customFormat="false" ht="15" hidden="false" customHeight="false" outlineLevel="0" collapsed="false">
      <c r="A20" s="1" t="n">
        <v>19</v>
      </c>
      <c r="B20" s="1" t="s">
        <v>59</v>
      </c>
      <c r="C20" s="1" t="s">
        <v>60</v>
      </c>
      <c r="D20" s="1" t="s">
        <v>61</v>
      </c>
      <c r="E20" s="1" t="s">
        <v>8</v>
      </c>
      <c r="F20" s="2" t="s">
        <v>8</v>
      </c>
      <c r="H20" s="2" t="s">
        <v>8</v>
      </c>
      <c r="I20" s="2" t="s">
        <v>8</v>
      </c>
      <c r="K20" s="2" t="s">
        <v>8</v>
      </c>
      <c r="M20" s="2" t="s">
        <v>8</v>
      </c>
      <c r="N20" s="4" t="s">
        <v>8</v>
      </c>
    </row>
    <row r="21" customFormat="false" ht="15" hidden="false" customHeight="false" outlineLevel="0" collapsed="false">
      <c r="A21" s="1" t="n">
        <v>21</v>
      </c>
      <c r="B21" s="1" t="s">
        <v>62</v>
      </c>
      <c r="C21" s="1" t="s">
        <v>63</v>
      </c>
      <c r="D21" s="1" t="s">
        <v>64</v>
      </c>
      <c r="E21" s="1" t="s">
        <v>8</v>
      </c>
      <c r="F21" s="2" t="s">
        <v>8</v>
      </c>
      <c r="H21" s="2" t="s">
        <v>8</v>
      </c>
      <c r="I21" s="2" t="s">
        <v>8</v>
      </c>
      <c r="K21" s="2" t="s">
        <v>9</v>
      </c>
      <c r="M21" s="2" t="s">
        <v>8</v>
      </c>
      <c r="N21" s="4" t="s">
        <v>8</v>
      </c>
    </row>
    <row r="22" customFormat="false" ht="15" hidden="false" customHeight="false" outlineLevel="0" collapsed="false">
      <c r="A22" s="1" t="n">
        <v>20</v>
      </c>
      <c r="B22" s="1" t="s">
        <v>65</v>
      </c>
      <c r="C22" s="1" t="s">
        <v>66</v>
      </c>
      <c r="D22" s="1" t="s">
        <v>67</v>
      </c>
      <c r="E22" s="1" t="s">
        <v>8</v>
      </c>
      <c r="F22" s="2" t="s">
        <v>8</v>
      </c>
      <c r="H22" s="2" t="s">
        <v>8</v>
      </c>
      <c r="I22" s="2" t="s">
        <v>8</v>
      </c>
      <c r="K22" s="2" t="s">
        <v>8</v>
      </c>
      <c r="M22" s="2" t="s">
        <v>8</v>
      </c>
      <c r="N22" s="4" t="s">
        <v>8</v>
      </c>
    </row>
    <row r="23" customFormat="false" ht="15" hidden="false" customHeight="false" outlineLevel="0" collapsed="false">
      <c r="A23" s="1" t="n">
        <v>22</v>
      </c>
      <c r="B23" s="1" t="s">
        <v>68</v>
      </c>
      <c r="C23" s="1" t="s">
        <v>69</v>
      </c>
      <c r="D23" s="1" t="s">
        <v>70</v>
      </c>
      <c r="E23" s="1" t="s">
        <v>8</v>
      </c>
      <c r="F23" s="2" t="s">
        <v>13</v>
      </c>
      <c r="G23" s="5" t="n">
        <v>0.611111111111111</v>
      </c>
      <c r="H23" s="2" t="s">
        <v>8</v>
      </c>
      <c r="I23" s="2" t="s">
        <v>71</v>
      </c>
      <c r="J23" s="5" t="n">
        <v>0.680555555555556</v>
      </c>
      <c r="K23" s="2" t="s">
        <v>8</v>
      </c>
      <c r="M23" s="2" t="s">
        <v>8</v>
      </c>
      <c r="N23" s="4" t="s">
        <v>9</v>
      </c>
    </row>
    <row r="24" customFormat="false" ht="15" hidden="false" customHeight="false" outlineLevel="0" collapsed="false">
      <c r="A24" s="1" t="n">
        <v>24</v>
      </c>
      <c r="B24" s="1" t="s">
        <v>72</v>
      </c>
      <c r="C24" s="1" t="s">
        <v>73</v>
      </c>
      <c r="D24" s="1" t="s">
        <v>74</v>
      </c>
      <c r="E24" s="1" t="s">
        <v>8</v>
      </c>
      <c r="F24" s="2" t="s">
        <v>8</v>
      </c>
      <c r="H24" s="2" t="s">
        <v>8</v>
      </c>
      <c r="I24" s="2" t="s">
        <v>8</v>
      </c>
      <c r="K24" s="2" t="s">
        <v>9</v>
      </c>
      <c r="M24" s="2" t="s">
        <v>8</v>
      </c>
      <c r="N24" s="4" t="s">
        <v>8</v>
      </c>
    </row>
    <row r="25" customFormat="false" ht="15" hidden="false" customHeight="false" outlineLevel="0" collapsed="false">
      <c r="A25" s="1" t="n">
        <v>25</v>
      </c>
      <c r="B25" s="1" t="s">
        <v>75</v>
      </c>
      <c r="C25" s="1" t="s">
        <v>76</v>
      </c>
      <c r="D25" s="1" t="s">
        <v>77</v>
      </c>
      <c r="E25" s="1" t="s">
        <v>8</v>
      </c>
      <c r="F25" s="2" t="s">
        <v>8</v>
      </c>
      <c r="H25" s="2" t="s">
        <v>8</v>
      </c>
      <c r="I25" s="2" t="s">
        <v>8</v>
      </c>
      <c r="K25" s="2" t="s">
        <v>9</v>
      </c>
      <c r="M25" s="2" t="s">
        <v>8</v>
      </c>
      <c r="N25" s="4" t="s">
        <v>8</v>
      </c>
    </row>
    <row r="26" customFormat="false" ht="15" hidden="false" customHeight="false" outlineLevel="0" collapsed="false">
      <c r="A26" s="1" t="n">
        <v>26</v>
      </c>
      <c r="B26" s="1" t="s">
        <v>78</v>
      </c>
      <c r="C26" s="1" t="s">
        <v>79</v>
      </c>
      <c r="D26" s="1" t="s">
        <v>80</v>
      </c>
      <c r="E26" s="1" t="s">
        <v>8</v>
      </c>
      <c r="F26" s="2" t="s">
        <v>8</v>
      </c>
      <c r="H26" s="2" t="s">
        <v>8</v>
      </c>
      <c r="I26" s="2" t="s">
        <v>9</v>
      </c>
      <c r="K26" s="2" t="s">
        <v>13</v>
      </c>
      <c r="L26" s="5" t="n">
        <v>0.659722222222222</v>
      </c>
      <c r="M26" s="2" t="s">
        <v>8</v>
      </c>
      <c r="N26" s="4" t="s">
        <v>8</v>
      </c>
    </row>
    <row r="27" customFormat="false" ht="15" hidden="false" customHeight="false" outlineLevel="0" collapsed="false">
      <c r="C27" s="1" t="s">
        <v>81</v>
      </c>
      <c r="D27" s="1" t="s">
        <v>82</v>
      </c>
      <c r="E27" s="1" t="n">
        <f aca="false">COUNTIF(E3:E26,"P")</f>
        <v>23</v>
      </c>
      <c r="F27" s="1" t="n">
        <f aca="false">COUNTIF(F3:F26,"P")</f>
        <v>20</v>
      </c>
      <c r="H27" s="1" t="n">
        <f aca="false">COUNTIF(H3:H26,"P")</f>
        <v>22</v>
      </c>
      <c r="I27" s="1" t="n">
        <f aca="false">COUNTIF(I3:I26,"P")</f>
        <v>19</v>
      </c>
      <c r="J27" s="1"/>
      <c r="K27" s="1" t="n">
        <f aca="false">COUNTIF(K3:K26,"P")</f>
        <v>11</v>
      </c>
      <c r="L27" s="1"/>
      <c r="M27" s="1" t="n">
        <f aca="false">COUNTIF(M3:M26,"P")</f>
        <v>20</v>
      </c>
      <c r="N27" s="1" t="n">
        <f aca="false">COUNTIF(N3:N26,"P")</f>
        <v>16</v>
      </c>
      <c r="O27" s="1"/>
    </row>
    <row r="28" customFormat="false" ht="15" hidden="false" customHeight="false" outlineLevel="0" collapsed="false">
      <c r="C28" s="1" t="s">
        <v>83</v>
      </c>
      <c r="D28" s="1" t="s">
        <v>84</v>
      </c>
      <c r="F28" s="2" t="n">
        <f aca="false">COUNTIF(F3:F26,"M")</f>
        <v>0</v>
      </c>
      <c r="H28" s="2" t="n">
        <f aca="false">COUNTIF(H3:H26,"M")</f>
        <v>0</v>
      </c>
      <c r="I28" s="2" t="n">
        <f aca="false">COUNTIF(I3:I26,"M")</f>
        <v>1</v>
      </c>
      <c r="J28" s="2"/>
      <c r="K28" s="2" t="n">
        <f aca="false">COUNTIF(K3:K26,"M")</f>
        <v>0</v>
      </c>
      <c r="L28" s="2"/>
      <c r="M28" s="2" t="n">
        <f aca="false">COUNTIF(M3:M26,"M")</f>
        <v>0</v>
      </c>
      <c r="N28" s="2" t="n">
        <f aca="false">COUNTIF(N3:N26,"M")</f>
        <v>0</v>
      </c>
      <c r="O28" s="2"/>
    </row>
    <row r="29" customFormat="false" ht="15" hidden="false" customHeight="false" outlineLevel="0" collapsed="false">
      <c r="C29" s="1" t="s">
        <v>85</v>
      </c>
      <c r="F29" s="2" t="n">
        <f aca="false">COUNTIF(F3:F26,"T")</f>
        <v>3</v>
      </c>
      <c r="H29" s="2" t="n">
        <f aca="false">COUNTIF(H3:H26,"T")</f>
        <v>0</v>
      </c>
      <c r="I29" s="2" t="n">
        <f aca="false">COUNTIF(I3:I26,"T")</f>
        <v>2</v>
      </c>
      <c r="J29" s="2"/>
      <c r="K29" s="2" t="n">
        <f aca="false">COUNTIF(K3:K26,"T")</f>
        <v>3</v>
      </c>
      <c r="L29" s="2"/>
      <c r="M29" s="2" t="n">
        <f aca="false">COUNTIF(M3:M26,"T")</f>
        <v>0</v>
      </c>
      <c r="N29" s="2" t="n">
        <f aca="false">COUNTIF(N3:N26,"T")</f>
        <v>2</v>
      </c>
      <c r="O29" s="2"/>
    </row>
    <row r="30" customFormat="false" ht="15" hidden="false" customHeight="false" outlineLevel="0" collapsed="false">
      <c r="C30" s="1" t="s">
        <v>86</v>
      </c>
      <c r="F30" s="2" t="n">
        <f aca="false">SUM(F27:F29)</f>
        <v>23</v>
      </c>
      <c r="H30" s="2" t="n">
        <f aca="false">SUM(H27:H29)</f>
        <v>22</v>
      </c>
      <c r="I30" s="2" t="n">
        <f aca="false">SUM(I27:I29)</f>
        <v>22</v>
      </c>
      <c r="J30" s="2"/>
      <c r="K30" s="2" t="n">
        <f aca="false">SUM(K27:K29)</f>
        <v>14</v>
      </c>
      <c r="L30" s="2"/>
      <c r="M30" s="2" t="n">
        <f aca="false">SUM(M27:M29)</f>
        <v>20</v>
      </c>
      <c r="N30" s="2" t="n">
        <f aca="false">SUM(N27:N29)</f>
        <v>18</v>
      </c>
      <c r="O30" s="2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31"/>
  <sheetViews>
    <sheetView showFormulas="false" showGridLines="true" showRowColHeaders="true" showZeros="true" rightToLeft="false" tabSelected="false" showOutlineSymbols="true" defaultGridColor="true" view="normal" topLeftCell="A11" colorId="64" zoomScale="95" zoomScaleNormal="95" zoomScalePageLayoutView="100" workbookViewId="0">
      <selection pane="topLeft" activeCell="B2" activeCellId="0" sqref="B2"/>
    </sheetView>
  </sheetViews>
  <sheetFormatPr defaultColWidth="9.58203125" defaultRowHeight="15" zeroHeight="false" outlineLevelRow="0" outlineLevelCol="0"/>
  <cols>
    <col collapsed="false" customWidth="true" hidden="false" outlineLevel="0" max="1" min="1" style="1" width="4.43"/>
    <col collapsed="false" customWidth="true" hidden="false" outlineLevel="0" max="2" min="2" style="1" width="13.43"/>
    <col collapsed="false" customWidth="true" hidden="false" outlineLevel="0" max="3" min="3" style="1" width="18.79"/>
    <col collapsed="false" customWidth="true" hidden="false" outlineLevel="0" max="4" min="4" style="1" width="28.07"/>
    <col collapsed="false" customWidth="true" hidden="false" outlineLevel="0" max="14" min="5" style="1" width="9.34"/>
    <col collapsed="false" customWidth="true" hidden="false" outlineLevel="0" max="15" min="15" style="1" width="10.95"/>
    <col collapsed="false" customWidth="false" hidden="false" outlineLevel="0" max="23" min="16" style="1" width="9.58"/>
    <col collapsed="false" customWidth="false" hidden="true" outlineLevel="0" max="29" min="29" style="1" width="9.58"/>
  </cols>
  <sheetData>
    <row r="1" customFormat="false" ht="15" hidden="false" customHeight="false" outlineLevel="0" collapsed="false">
      <c r="B1" s="2" t="s">
        <v>87</v>
      </c>
      <c r="C1" s="2"/>
      <c r="D1" s="2"/>
      <c r="V1" s="3" t="n">
        <v>45827</v>
      </c>
      <c r="W1" s="1" t="s">
        <v>88</v>
      </c>
      <c r="X1" s="1"/>
      <c r="AE1" s="1" t="n">
        <v>10</v>
      </c>
      <c r="AF1" s="1" t="n">
        <v>6</v>
      </c>
    </row>
    <row r="2" customFormat="false" ht="15" hidden="false" customHeight="false" outlineLevel="0" collapsed="false">
      <c r="A2" s="1" t="s">
        <v>0</v>
      </c>
      <c r="B2" s="1" t="s">
        <v>1</v>
      </c>
      <c r="C2" s="1" t="s">
        <v>2</v>
      </c>
      <c r="D2" s="1" t="s">
        <v>3</v>
      </c>
      <c r="E2" s="1" t="s">
        <v>89</v>
      </c>
      <c r="G2" s="1" t="s">
        <v>90</v>
      </c>
      <c r="H2" s="1" t="s">
        <v>91</v>
      </c>
      <c r="J2" s="1" t="s">
        <v>92</v>
      </c>
      <c r="K2" s="1" t="s">
        <v>90</v>
      </c>
      <c r="L2" s="1" t="s">
        <v>93</v>
      </c>
      <c r="M2" s="1" t="s">
        <v>90</v>
      </c>
      <c r="N2" s="1" t="s">
        <v>94</v>
      </c>
      <c r="O2" s="1" t="s">
        <v>95</v>
      </c>
      <c r="P2" s="1" t="s">
        <v>96</v>
      </c>
      <c r="Q2" s="1" t="s">
        <v>97</v>
      </c>
      <c r="R2" s="1" t="s">
        <v>98</v>
      </c>
      <c r="T2" s="1" t="s">
        <v>99</v>
      </c>
      <c r="U2" s="1" t="s">
        <v>100</v>
      </c>
      <c r="V2" s="1" t="s">
        <v>101</v>
      </c>
      <c r="W2" s="1" t="s">
        <v>4</v>
      </c>
      <c r="X2" s="1" t="s">
        <v>102</v>
      </c>
      <c r="Y2" s="1" t="s">
        <v>103</v>
      </c>
      <c r="Z2" s="1" t="s">
        <v>99</v>
      </c>
      <c r="AA2" s="1" t="s">
        <v>94</v>
      </c>
      <c r="AB2" s="1" t="s">
        <v>104</v>
      </c>
      <c r="AC2" s="1" t="s">
        <v>100</v>
      </c>
      <c r="AD2" s="2" t="s">
        <v>105</v>
      </c>
      <c r="AE2" s="2" t="s">
        <v>106</v>
      </c>
      <c r="AF2" s="2" t="s">
        <v>107</v>
      </c>
    </row>
    <row r="3" customFormat="false" ht="15.65" hidden="false" customHeight="false" outlineLevel="0" collapsed="false">
      <c r="A3" s="1" t="n">
        <v>1</v>
      </c>
      <c r="B3" s="1" t="s">
        <v>5</v>
      </c>
      <c r="C3" s="1" t="s">
        <v>6</v>
      </c>
      <c r="D3" s="1" t="s">
        <v>7</v>
      </c>
      <c r="E3" s="7" t="n">
        <v>4</v>
      </c>
      <c r="F3" s="7"/>
      <c r="G3" s="8" t="n">
        <v>45855</v>
      </c>
      <c r="H3" s="7" t="n">
        <v>7</v>
      </c>
      <c r="I3" s="8" t="n">
        <v>45855</v>
      </c>
      <c r="J3" s="1" t="n">
        <v>4</v>
      </c>
      <c r="L3" s="1" t="n">
        <v>1</v>
      </c>
      <c r="N3" s="1" t="n">
        <v>4</v>
      </c>
      <c r="O3" s="1" t="n">
        <v>2</v>
      </c>
      <c r="P3" s="9" t="n">
        <f aca="false">ROUND(AVERAGE(O3,J3,H3,E3),0)</f>
        <v>4</v>
      </c>
      <c r="Q3" s="1" t="str">
        <f aca="false">IF(P3&lt;7,"TEP","TEA")</f>
        <v>TEP</v>
      </c>
      <c r="R3" s="1" t="n">
        <v>1</v>
      </c>
      <c r="T3" s="1" t="n">
        <v>10</v>
      </c>
      <c r="U3" s="9" t="n">
        <f aca="false">ROUND(AVERAGE(P3,R3:T3),0)</f>
        <v>5</v>
      </c>
      <c r="V3" s="1" t="n">
        <v>7</v>
      </c>
      <c r="W3" s="3" t="n">
        <v>45981</v>
      </c>
      <c r="X3" s="1" t="n">
        <v>10</v>
      </c>
      <c r="Y3" s="1" t="n">
        <v>8</v>
      </c>
      <c r="Z3" s="1" t="n">
        <v>7</v>
      </c>
      <c r="AA3" s="1" t="n">
        <v>0</v>
      </c>
      <c r="AB3" s="1" t="n">
        <f aca="false">Z3+AA3/2</f>
        <v>7</v>
      </c>
      <c r="AC3" s="9" t="n">
        <f aca="false">ROUND(AVERAGE(X3,Y3,AB3),0)</f>
        <v>8</v>
      </c>
    </row>
    <row r="4" customFormat="false" ht="15.65" hidden="false" customHeight="false" outlineLevel="0" collapsed="false">
      <c r="A4" s="1" t="n">
        <v>2</v>
      </c>
      <c r="B4" s="1" t="s">
        <v>10</v>
      </c>
      <c r="C4" s="1" t="s">
        <v>11</v>
      </c>
      <c r="D4" s="1" t="s">
        <v>12</v>
      </c>
      <c r="E4" s="1" t="n">
        <v>9</v>
      </c>
      <c r="H4" s="1" t="n">
        <v>9</v>
      </c>
      <c r="J4" s="1" t="n">
        <v>9</v>
      </c>
      <c r="L4" s="1" t="n">
        <v>9</v>
      </c>
      <c r="N4" s="1" t="n">
        <v>2</v>
      </c>
      <c r="O4" s="1" t="n">
        <f aca="false">L4+N4/2</f>
        <v>10</v>
      </c>
      <c r="P4" s="9" t="n">
        <f aca="false">ROUND(AVERAGE(O4,J4,H4,E4),0)</f>
        <v>9</v>
      </c>
      <c r="Q4" s="1" t="str">
        <f aca="false">IF(P4&lt;7,"TEP","TEA")</f>
        <v>TEA</v>
      </c>
      <c r="R4" s="1" t="n">
        <v>9</v>
      </c>
      <c r="T4" s="1" t="n">
        <v>10</v>
      </c>
      <c r="U4" s="9" t="n">
        <f aca="false">ROUND(AVERAGE(P4,R4:T4),0)</f>
        <v>9</v>
      </c>
      <c r="V4" s="1" t="n">
        <v>9</v>
      </c>
      <c r="W4" s="3" t="n">
        <v>45841</v>
      </c>
      <c r="X4" s="1" t="n">
        <v>10</v>
      </c>
      <c r="Y4" s="1" t="n">
        <v>7</v>
      </c>
      <c r="Z4" s="1" t="n">
        <v>8</v>
      </c>
      <c r="AA4" s="1" t="n">
        <v>0</v>
      </c>
      <c r="AB4" s="1" t="n">
        <f aca="false">Z4+AA4/2</f>
        <v>8</v>
      </c>
      <c r="AC4" s="9" t="n">
        <f aca="false">ROUND(AVERAGE(X4,Y4,AB4),0)</f>
        <v>8</v>
      </c>
    </row>
    <row r="5" customFormat="false" ht="15.65" hidden="false" customHeight="false" outlineLevel="0" collapsed="false">
      <c r="A5" s="1" t="n">
        <v>3</v>
      </c>
      <c r="B5" s="1" t="s">
        <v>14</v>
      </c>
      <c r="C5" s="1" t="s">
        <v>15</v>
      </c>
      <c r="D5" s="1" t="s">
        <v>16</v>
      </c>
      <c r="E5" s="1" t="n">
        <v>9</v>
      </c>
      <c r="H5" s="1" t="n">
        <v>7</v>
      </c>
      <c r="J5" s="1" t="n">
        <v>7</v>
      </c>
      <c r="L5" s="1" t="n">
        <v>7</v>
      </c>
      <c r="N5" s="1" t="n">
        <v>4</v>
      </c>
      <c r="O5" s="1" t="n">
        <f aca="false">L5+N5/2</f>
        <v>9</v>
      </c>
      <c r="P5" s="9" t="n">
        <f aca="false">ROUND(AVERAGE(O5,J5,H5,E5),0)</f>
        <v>8</v>
      </c>
      <c r="Q5" s="1" t="str">
        <f aca="false">IF(P5&lt;7,"TEP","TEA")</f>
        <v>TEA</v>
      </c>
      <c r="R5" s="1" t="n">
        <v>9</v>
      </c>
      <c r="T5" s="1" t="n">
        <v>9</v>
      </c>
      <c r="U5" s="9" t="n">
        <f aca="false">ROUND(AVERAGE(P5,R5:T5),0)</f>
        <v>9</v>
      </c>
      <c r="V5" s="1" t="n">
        <v>9</v>
      </c>
      <c r="W5" s="3" t="n">
        <v>45857</v>
      </c>
      <c r="X5" s="1" t="n">
        <v>10</v>
      </c>
      <c r="Y5" s="1" t="n">
        <v>9</v>
      </c>
      <c r="Z5" s="1" t="n">
        <v>10</v>
      </c>
      <c r="AA5" s="1" t="n">
        <v>0</v>
      </c>
      <c r="AB5" s="1" t="n">
        <f aca="false">Z5+AA5/2</f>
        <v>10</v>
      </c>
      <c r="AC5" s="9" t="n">
        <f aca="false">ROUND(AVERAGE(X5,Y5,AB5),0)</f>
        <v>10</v>
      </c>
    </row>
    <row r="6" customFormat="false" ht="15.65" hidden="false" customHeight="false" outlineLevel="0" collapsed="false">
      <c r="A6" s="1" t="n">
        <v>4</v>
      </c>
      <c r="B6" s="1" t="s">
        <v>17</v>
      </c>
      <c r="C6" s="1" t="s">
        <v>18</v>
      </c>
      <c r="D6" s="1" t="s">
        <v>19</v>
      </c>
      <c r="E6" s="1" t="n">
        <v>7</v>
      </c>
      <c r="H6" s="1" t="n">
        <v>7</v>
      </c>
      <c r="J6" s="1" t="n">
        <v>6</v>
      </c>
      <c r="L6" s="1" t="n">
        <v>9</v>
      </c>
      <c r="N6" s="1" t="n">
        <v>2</v>
      </c>
      <c r="O6" s="1" t="n">
        <f aca="false">L6+N6/2</f>
        <v>10</v>
      </c>
      <c r="P6" s="9" t="n">
        <f aca="false">ROUND(AVERAGE(O6,J6,H6,E6),0)</f>
        <v>8</v>
      </c>
      <c r="Q6" s="1" t="str">
        <f aca="false">IF(P6&lt;7,"TEP","TEA")</f>
        <v>TEA</v>
      </c>
      <c r="R6" s="1" t="n">
        <v>6</v>
      </c>
      <c r="T6" s="1" t="n">
        <v>8</v>
      </c>
      <c r="U6" s="9" t="n">
        <f aca="false">ROUND(AVERAGE(P6,R6:T6),0)</f>
        <v>7</v>
      </c>
      <c r="V6" s="1" t="n">
        <v>9</v>
      </c>
      <c r="W6" s="3" t="n">
        <v>45849</v>
      </c>
      <c r="X6" s="1" t="n">
        <v>10</v>
      </c>
      <c r="Y6" s="1" t="n">
        <v>10</v>
      </c>
      <c r="Z6" s="1" t="n">
        <v>5</v>
      </c>
      <c r="AA6" s="1" t="n">
        <v>0</v>
      </c>
      <c r="AB6" s="1" t="n">
        <f aca="false">Z6+AA6/2</f>
        <v>5</v>
      </c>
      <c r="AC6" s="9" t="n">
        <f aca="false">ROUND(AVERAGE(X6,Y6,AB6),0)</f>
        <v>8</v>
      </c>
    </row>
    <row r="7" s="7" customFormat="true" ht="15.65" hidden="false" customHeight="false" outlineLevel="0" collapsed="false">
      <c r="A7" s="1" t="n">
        <v>5</v>
      </c>
      <c r="B7" s="1" t="s">
        <v>108</v>
      </c>
      <c r="C7" s="1" t="s">
        <v>109</v>
      </c>
      <c r="D7" s="1" t="s">
        <v>110</v>
      </c>
      <c r="E7" s="1" t="n">
        <v>8</v>
      </c>
      <c r="F7" s="1"/>
      <c r="G7" s="1"/>
      <c r="H7" s="1" t="n">
        <v>9</v>
      </c>
      <c r="I7" s="1"/>
      <c r="J7" s="1" t="n">
        <v>9</v>
      </c>
      <c r="K7" s="1"/>
      <c r="L7" s="1" t="n">
        <v>7</v>
      </c>
      <c r="M7" s="1"/>
      <c r="N7" s="1" t="n">
        <v>3</v>
      </c>
      <c r="O7" s="1" t="n">
        <f aca="false">L7+N7/2</f>
        <v>8.5</v>
      </c>
      <c r="P7" s="9" t="n">
        <f aca="false">ROUND(AVERAGE(O7,J7,H7,E7),0)</f>
        <v>9</v>
      </c>
      <c r="Q7" s="1" t="str">
        <f aca="false">IF(P7&lt;7,"TEP","TEA")</f>
        <v>TEA</v>
      </c>
      <c r="R7" s="1" t="n">
        <v>9</v>
      </c>
      <c r="S7" s="1"/>
      <c r="T7" s="1" t="n">
        <v>10</v>
      </c>
      <c r="U7" s="9" t="n">
        <f aca="false">ROUND(AVERAGE(P7,R7:T7),0)</f>
        <v>9</v>
      </c>
      <c r="V7" s="1" t="n">
        <v>9</v>
      </c>
      <c r="W7" s="3" t="n">
        <v>45841</v>
      </c>
      <c r="X7" s="1" t="n">
        <v>10</v>
      </c>
      <c r="Y7" s="1" t="n">
        <v>10</v>
      </c>
      <c r="Z7" s="1" t="n">
        <v>8</v>
      </c>
      <c r="AA7" s="1" t="n">
        <v>0</v>
      </c>
      <c r="AB7" s="1" t="n">
        <f aca="false">Z7+AA7/2</f>
        <v>8</v>
      </c>
      <c r="AC7" s="9" t="n">
        <f aca="false">ROUND(AVERAGE(X7,Y7,AB7),0)</f>
        <v>9</v>
      </c>
      <c r="AD7" s="1"/>
      <c r="AE7" s="1"/>
      <c r="AF7" s="1"/>
    </row>
    <row r="8" s="7" customFormat="true" ht="15.65" hidden="false" customHeight="false" outlineLevel="0" collapsed="false">
      <c r="A8" s="7" t="n">
        <v>6</v>
      </c>
      <c r="B8" s="1" t="s">
        <v>20</v>
      </c>
      <c r="C8" s="1" t="s">
        <v>21</v>
      </c>
      <c r="D8" s="1" t="s">
        <v>22</v>
      </c>
      <c r="E8" s="7" t="n">
        <v>10</v>
      </c>
      <c r="H8" s="7" t="n">
        <v>10</v>
      </c>
      <c r="J8" s="7" t="n">
        <v>9</v>
      </c>
      <c r="L8" s="7" t="n">
        <v>10</v>
      </c>
      <c r="N8" s="7" t="n">
        <v>2</v>
      </c>
      <c r="O8" s="7" t="n">
        <f aca="false">L8+N8/2</f>
        <v>11</v>
      </c>
      <c r="P8" s="10" t="n">
        <f aca="false">ROUND(AVERAGE(O8,J8,H8,E8),0)</f>
        <v>10</v>
      </c>
      <c r="Q8" s="7" t="str">
        <f aca="false">IF(P8&lt;7,"TEP","TEA")</f>
        <v>TEA</v>
      </c>
      <c r="R8" s="7" t="n">
        <v>9</v>
      </c>
      <c r="T8" s="7" t="n">
        <v>3</v>
      </c>
      <c r="U8" s="10" t="n">
        <f aca="false">ROUND(AVERAGE(P8,R8:T8),0)</f>
        <v>7</v>
      </c>
      <c r="V8" s="7" t="n">
        <v>1</v>
      </c>
      <c r="X8" s="7" t="n">
        <v>10</v>
      </c>
      <c r="Y8" s="7" t="n">
        <v>10</v>
      </c>
      <c r="Z8" s="7" t="n">
        <v>10</v>
      </c>
      <c r="AA8" s="7" t="n">
        <v>0</v>
      </c>
      <c r="AB8" s="7" t="n">
        <f aca="false">Z8+AA8/2</f>
        <v>10</v>
      </c>
      <c r="AC8" s="10" t="n">
        <f aca="false">ROUND(AVERAGE(X8,Y8,AB8),0)</f>
        <v>10</v>
      </c>
      <c r="AD8" s="7" t="n">
        <f aca="false">AC8*6/10</f>
        <v>6</v>
      </c>
    </row>
    <row r="9" customFormat="false" ht="15.65" hidden="false" customHeight="false" outlineLevel="0" collapsed="false">
      <c r="A9" s="7" t="n">
        <v>7</v>
      </c>
      <c r="B9" s="1" t="s">
        <v>23</v>
      </c>
      <c r="C9" s="1" t="s">
        <v>24</v>
      </c>
      <c r="D9" s="1" t="s">
        <v>25</v>
      </c>
      <c r="E9" s="7" t="n">
        <v>5</v>
      </c>
      <c r="F9" s="7"/>
      <c r="G9" s="8" t="n">
        <v>45855</v>
      </c>
      <c r="H9" s="7" t="n">
        <v>5</v>
      </c>
      <c r="I9" s="8" t="n">
        <v>45855</v>
      </c>
      <c r="J9" s="7" t="n">
        <v>6</v>
      </c>
      <c r="K9" s="8" t="n">
        <v>45855</v>
      </c>
      <c r="L9" s="7" t="n">
        <v>6</v>
      </c>
      <c r="M9" s="8" t="n">
        <v>45855</v>
      </c>
      <c r="N9" s="7" t="n">
        <v>2</v>
      </c>
      <c r="O9" s="7" t="n">
        <f aca="false">L9+N9/2</f>
        <v>7</v>
      </c>
      <c r="P9" s="10" t="n">
        <f aca="false">ROUND(AVERAGE(O9,J9,H9,E9),0)</f>
        <v>6</v>
      </c>
      <c r="Q9" s="7" t="str">
        <f aca="false">IF(P9&lt;7,"TEP","TEA")</f>
        <v>TEP</v>
      </c>
      <c r="R9" s="7" t="n">
        <v>10</v>
      </c>
      <c r="S9" s="7"/>
      <c r="T9" s="7" t="n">
        <v>9</v>
      </c>
      <c r="U9" s="10" t="n">
        <f aca="false">ROUND(AVERAGE(P9,R9:T9),0)</f>
        <v>8</v>
      </c>
      <c r="V9" s="7" t="n">
        <v>10</v>
      </c>
      <c r="W9" s="8" t="n">
        <v>45834</v>
      </c>
      <c r="X9" s="7" t="n">
        <v>10</v>
      </c>
      <c r="Y9" s="7" t="n">
        <v>1</v>
      </c>
      <c r="Z9" s="7" t="n">
        <v>6</v>
      </c>
      <c r="AA9" s="7" t="n">
        <v>0</v>
      </c>
      <c r="AB9" s="7" t="n">
        <f aca="false">Z9+AA9/2</f>
        <v>6</v>
      </c>
      <c r="AC9" s="10" t="n">
        <f aca="false">ROUND(AVERAGE(X9,Y9,AB9),0)</f>
        <v>6</v>
      </c>
      <c r="AD9" s="7"/>
      <c r="AE9" s="7"/>
      <c r="AF9" s="7"/>
    </row>
    <row r="10" customFormat="false" ht="15.65" hidden="false" customHeight="false" outlineLevel="0" collapsed="false">
      <c r="A10" s="1" t="n">
        <v>8</v>
      </c>
      <c r="B10" s="1" t="s">
        <v>26</v>
      </c>
      <c r="C10" s="1" t="s">
        <v>27</v>
      </c>
      <c r="D10" s="1" t="s">
        <v>28</v>
      </c>
      <c r="E10" s="1" t="n">
        <v>9</v>
      </c>
      <c r="H10" s="1" t="n">
        <v>10</v>
      </c>
      <c r="J10" s="1" t="n">
        <v>9</v>
      </c>
      <c r="L10" s="1" t="n">
        <v>9</v>
      </c>
      <c r="N10" s="1" t="n">
        <v>6</v>
      </c>
      <c r="O10" s="1" t="n">
        <f aca="false">L10+N10/2</f>
        <v>12</v>
      </c>
      <c r="P10" s="9" t="n">
        <f aca="false">ROUND(AVERAGE(O10,J10,H10,E10),0)</f>
        <v>10</v>
      </c>
      <c r="Q10" s="1" t="str">
        <f aca="false">IF(P10&lt;7,"TEP","TEA")</f>
        <v>TEA</v>
      </c>
      <c r="R10" s="1" t="n">
        <v>9</v>
      </c>
      <c r="T10" s="1" t="n">
        <v>10</v>
      </c>
      <c r="U10" s="9" t="n">
        <f aca="false">ROUND(AVERAGE(P10,R10:T10),0)</f>
        <v>10</v>
      </c>
      <c r="V10" s="1" t="n">
        <v>7</v>
      </c>
      <c r="X10" s="1" t="n">
        <v>10</v>
      </c>
      <c r="Y10" s="1" t="n">
        <v>9</v>
      </c>
      <c r="Z10" s="1" t="n">
        <v>10</v>
      </c>
      <c r="AA10" s="1" t="n">
        <v>3</v>
      </c>
      <c r="AB10" s="1" t="n">
        <f aca="false">Z10+AA10/2</f>
        <v>11.5</v>
      </c>
      <c r="AC10" s="9" t="n">
        <f aca="false">ROUND(AVERAGE(X10,Y10,AB10),0)</f>
        <v>10</v>
      </c>
    </row>
    <row r="11" customFormat="false" ht="15.65" hidden="false" customHeight="false" outlineLevel="0" collapsed="false">
      <c r="A11" s="1" t="n">
        <v>9</v>
      </c>
      <c r="B11" s="1" t="s">
        <v>29</v>
      </c>
      <c r="C11" s="1" t="s">
        <v>30</v>
      </c>
      <c r="D11" s="1" t="s">
        <v>31</v>
      </c>
      <c r="E11" s="7" t="n">
        <v>6</v>
      </c>
      <c r="F11" s="7"/>
      <c r="G11" s="8" t="n">
        <v>45855</v>
      </c>
      <c r="H11" s="7" t="n">
        <v>5</v>
      </c>
      <c r="I11" s="8" t="n">
        <v>45855</v>
      </c>
      <c r="J11" s="1" t="n">
        <v>6</v>
      </c>
      <c r="L11" s="1" t="n">
        <v>1</v>
      </c>
      <c r="N11" s="1" t="n">
        <v>3</v>
      </c>
      <c r="O11" s="1" t="n">
        <f aca="false">L11+N11/2</f>
        <v>2.5</v>
      </c>
      <c r="P11" s="9" t="n">
        <f aca="false">ROUND(AVERAGE(O11,J11,H11,E11),0)</f>
        <v>5</v>
      </c>
      <c r="Q11" s="1" t="str">
        <f aca="false">IF(P11&lt;7,"TEP","TEA")</f>
        <v>TEP</v>
      </c>
      <c r="R11" s="1" t="n">
        <v>5</v>
      </c>
      <c r="T11" s="1" t="n">
        <v>10</v>
      </c>
      <c r="U11" s="9" t="n">
        <f aca="false">ROUND(AVERAGE(P11,R11:T11),0)</f>
        <v>7</v>
      </c>
      <c r="V11" s="1" t="n">
        <v>1</v>
      </c>
      <c r="X11" s="1" t="n">
        <v>10</v>
      </c>
      <c r="Y11" s="1" t="n">
        <v>10</v>
      </c>
      <c r="Z11" s="1" t="n">
        <v>10</v>
      </c>
      <c r="AA11" s="1" t="n">
        <v>0</v>
      </c>
      <c r="AB11" s="1" t="n">
        <f aca="false">Z11+AA11/2</f>
        <v>10</v>
      </c>
      <c r="AC11" s="9" t="n">
        <f aca="false">ROUND(AVERAGE(X11,Y11,AB11),0)</f>
        <v>10</v>
      </c>
    </row>
    <row r="12" customFormat="false" ht="15.65" hidden="false" customHeight="false" outlineLevel="0" collapsed="false">
      <c r="A12" s="1" t="n">
        <v>10</v>
      </c>
      <c r="B12" s="1" t="s">
        <v>32</v>
      </c>
      <c r="C12" s="1" t="s">
        <v>33</v>
      </c>
      <c r="D12" s="1" t="s">
        <v>34</v>
      </c>
      <c r="E12" s="1" t="n">
        <v>9</v>
      </c>
      <c r="H12" s="1" t="n">
        <v>10</v>
      </c>
      <c r="J12" s="1" t="n">
        <v>9</v>
      </c>
      <c r="L12" s="1" t="n">
        <v>10</v>
      </c>
      <c r="N12" s="1" t="n">
        <v>4</v>
      </c>
      <c r="O12" s="1" t="n">
        <f aca="false">L12+N12/2</f>
        <v>12</v>
      </c>
      <c r="P12" s="9" t="n">
        <f aca="false">ROUND(AVERAGE(O12,J12,H12,E12),0)</f>
        <v>10</v>
      </c>
      <c r="Q12" s="1" t="str">
        <f aca="false">IF(P12&lt;7,"TEP","TEA")</f>
        <v>TEA</v>
      </c>
      <c r="R12" s="1" t="n">
        <v>9</v>
      </c>
      <c r="T12" s="1" t="n">
        <v>9</v>
      </c>
      <c r="U12" s="9" t="n">
        <f aca="false">ROUND(AVERAGE(P12,R12:T12),0)</f>
        <v>9</v>
      </c>
      <c r="V12" s="1" t="n">
        <v>1</v>
      </c>
      <c r="X12" s="1" t="n">
        <v>10</v>
      </c>
      <c r="Y12" s="1" t="n">
        <v>10</v>
      </c>
      <c r="Z12" s="1" t="n">
        <v>10</v>
      </c>
      <c r="AA12" s="1" t="n">
        <v>0</v>
      </c>
      <c r="AB12" s="1" t="n">
        <f aca="false">Z12+AA12/2</f>
        <v>10</v>
      </c>
      <c r="AC12" s="9" t="n">
        <f aca="false">ROUND(AVERAGE(X12,Y12,AB12),0)</f>
        <v>10</v>
      </c>
    </row>
    <row r="13" customFormat="false" ht="15.65" hidden="false" customHeight="false" outlineLevel="0" collapsed="false">
      <c r="A13" s="1" t="n">
        <v>11</v>
      </c>
      <c r="B13" s="1" t="s">
        <v>35</v>
      </c>
      <c r="C13" s="1" t="s">
        <v>36</v>
      </c>
      <c r="D13" s="1" t="s">
        <v>37</v>
      </c>
      <c r="E13" s="1" t="n">
        <v>9</v>
      </c>
      <c r="H13" s="1" t="n">
        <v>8</v>
      </c>
      <c r="J13" s="1" t="n">
        <v>7</v>
      </c>
      <c r="L13" s="1" t="n">
        <v>10</v>
      </c>
      <c r="N13" s="1" t="n">
        <v>1</v>
      </c>
      <c r="O13" s="1" t="n">
        <f aca="false">L13+N13/2</f>
        <v>10.5</v>
      </c>
      <c r="P13" s="9" t="n">
        <f aca="false">ROUND(AVERAGE(O13,J13,H13,E13),0)</f>
        <v>9</v>
      </c>
      <c r="Q13" s="1" t="str">
        <f aca="false">IF(P13&lt;7,"TEP","TEA")</f>
        <v>TEA</v>
      </c>
      <c r="R13" s="1" t="n">
        <v>8</v>
      </c>
      <c r="T13" s="1" t="n">
        <v>10</v>
      </c>
      <c r="U13" s="9" t="n">
        <f aca="false">ROUND(AVERAGE(P13,R13:T13),0)</f>
        <v>9</v>
      </c>
      <c r="V13" s="1" t="n">
        <v>9</v>
      </c>
      <c r="W13" s="3" t="n">
        <v>45841</v>
      </c>
      <c r="X13" s="1" t="n">
        <v>10</v>
      </c>
      <c r="Y13" s="1" t="n">
        <v>7</v>
      </c>
      <c r="Z13" s="1" t="n">
        <v>8</v>
      </c>
      <c r="AA13" s="1" t="n">
        <v>0</v>
      </c>
      <c r="AB13" s="1" t="n">
        <f aca="false">Z13+AA13/2</f>
        <v>8</v>
      </c>
      <c r="AC13" s="9" t="n">
        <f aca="false">ROUND(AVERAGE(X13,Y13,AB13),0)</f>
        <v>8</v>
      </c>
    </row>
    <row r="14" customFormat="false" ht="15.65" hidden="false" customHeight="false" outlineLevel="0" collapsed="false">
      <c r="A14" s="1" t="n">
        <v>12</v>
      </c>
      <c r="B14" s="1" t="s">
        <v>111</v>
      </c>
      <c r="C14" s="1" t="s">
        <v>112</v>
      </c>
      <c r="D14" s="1" t="s">
        <v>113</v>
      </c>
      <c r="E14" s="1" t="n">
        <v>8</v>
      </c>
      <c r="H14" s="1" t="n">
        <v>8</v>
      </c>
      <c r="J14" s="1" t="n">
        <v>7</v>
      </c>
      <c r="L14" s="1" t="n">
        <v>7</v>
      </c>
      <c r="N14" s="1" t="n">
        <v>6</v>
      </c>
      <c r="O14" s="1" t="n">
        <f aca="false">L14+N14/2</f>
        <v>10</v>
      </c>
      <c r="P14" s="9" t="n">
        <f aca="false">ROUND(AVERAGE(O14,J14,H14,E14),0)</f>
        <v>8</v>
      </c>
      <c r="Q14" s="1" t="str">
        <f aca="false">IF(P14&lt;7,"TEP","TEA")</f>
        <v>TEA</v>
      </c>
      <c r="R14" s="1" t="n">
        <v>7</v>
      </c>
      <c r="T14" s="1" t="n">
        <v>10</v>
      </c>
      <c r="U14" s="9" t="n">
        <f aca="false">ROUND(AVERAGE(P14,R14:T14),0)</f>
        <v>8</v>
      </c>
      <c r="V14" s="1" t="n">
        <v>7</v>
      </c>
      <c r="X14" s="1" t="n">
        <v>10</v>
      </c>
      <c r="Y14" s="1" t="n">
        <v>7</v>
      </c>
      <c r="Z14" s="1" t="n">
        <v>10</v>
      </c>
      <c r="AA14" s="1" t="n">
        <v>0</v>
      </c>
      <c r="AB14" s="1" t="n">
        <f aca="false">Z14+AA14/2</f>
        <v>10</v>
      </c>
      <c r="AC14" s="9" t="n">
        <f aca="false">ROUND(AVERAGE(X14,Y14,AB14),0)</f>
        <v>9</v>
      </c>
    </row>
    <row r="15" customFormat="false" ht="15.65" hidden="false" customHeight="false" outlineLevel="0" collapsed="false">
      <c r="A15" s="1" t="n">
        <v>13</v>
      </c>
      <c r="B15" s="1" t="s">
        <v>38</v>
      </c>
      <c r="C15" s="1" t="s">
        <v>39</v>
      </c>
      <c r="D15" s="1" t="s">
        <v>40</v>
      </c>
      <c r="E15" s="1" t="n">
        <v>8</v>
      </c>
      <c r="H15" s="1" t="n">
        <v>7</v>
      </c>
      <c r="J15" s="1" t="n">
        <v>7</v>
      </c>
      <c r="L15" s="1" t="n">
        <v>10</v>
      </c>
      <c r="N15" s="1" t="n">
        <v>2</v>
      </c>
      <c r="O15" s="1" t="n">
        <f aca="false">L15+N15/2</f>
        <v>11</v>
      </c>
      <c r="P15" s="9" t="n">
        <f aca="false">ROUND(AVERAGE(O15,J15,H15,E15),0)</f>
        <v>8</v>
      </c>
      <c r="Q15" s="1" t="str">
        <f aca="false">IF(P15&lt;7,"TEP","TEA")</f>
        <v>TEA</v>
      </c>
      <c r="R15" s="1" t="n">
        <v>7</v>
      </c>
      <c r="T15" s="1" t="n">
        <v>8</v>
      </c>
      <c r="U15" s="9" t="n">
        <f aca="false">ROUND(AVERAGE(P15,R15:T15),0)</f>
        <v>8</v>
      </c>
      <c r="V15" s="1" t="n">
        <v>1</v>
      </c>
      <c r="X15" s="1" t="n">
        <v>10</v>
      </c>
      <c r="Y15" s="1" t="n">
        <v>9</v>
      </c>
      <c r="Z15" s="1" t="n">
        <v>7</v>
      </c>
      <c r="AA15" s="1" t="n">
        <v>0</v>
      </c>
      <c r="AB15" s="1" t="n">
        <f aca="false">Z15+AA15/2</f>
        <v>7</v>
      </c>
      <c r="AC15" s="9" t="n">
        <f aca="false">ROUND(AVERAGE(X15,Y15,AB15),0)</f>
        <v>9</v>
      </c>
    </row>
    <row r="16" customFormat="false" ht="15.65" hidden="false" customHeight="false" outlineLevel="0" collapsed="false">
      <c r="A16" s="1" t="n">
        <v>14</v>
      </c>
      <c r="B16" s="1" t="s">
        <v>41</v>
      </c>
      <c r="C16" s="1" t="s">
        <v>42</v>
      </c>
      <c r="D16" s="1" t="s">
        <v>43</v>
      </c>
      <c r="E16" s="1" t="n">
        <v>10</v>
      </c>
      <c r="H16" s="1" t="n">
        <v>10</v>
      </c>
      <c r="J16" s="1" t="n">
        <v>6</v>
      </c>
      <c r="L16" s="1" t="n">
        <v>10</v>
      </c>
      <c r="N16" s="1" t="n">
        <v>4</v>
      </c>
      <c r="O16" s="1" t="n">
        <f aca="false">L16+N16/2</f>
        <v>12</v>
      </c>
      <c r="P16" s="9" t="n">
        <f aca="false">ROUND(AVERAGE(O16,J16,H16,E16),0)</f>
        <v>10</v>
      </c>
      <c r="Q16" s="1" t="str">
        <f aca="false">IF(P16&lt;7,"TEP","TEA")</f>
        <v>TEA</v>
      </c>
      <c r="R16" s="1" t="n">
        <v>9</v>
      </c>
      <c r="T16" s="1" t="n">
        <v>10</v>
      </c>
      <c r="U16" s="9" t="n">
        <f aca="false">ROUND(AVERAGE(P16,R16:T16),0)</f>
        <v>10</v>
      </c>
      <c r="V16" s="1" t="n">
        <v>9</v>
      </c>
      <c r="W16" s="3" t="n">
        <v>45848</v>
      </c>
      <c r="X16" s="1" t="n">
        <v>10</v>
      </c>
      <c r="Y16" s="1" t="n">
        <v>9</v>
      </c>
      <c r="Z16" s="1" t="n">
        <v>7</v>
      </c>
      <c r="AA16" s="1" t="n">
        <v>0</v>
      </c>
      <c r="AB16" s="1" t="n">
        <f aca="false">Z16+AA16/2</f>
        <v>7</v>
      </c>
      <c r="AC16" s="9" t="n">
        <f aca="false">ROUND(AVERAGE(X16,Y16,AB16),0)</f>
        <v>9</v>
      </c>
    </row>
    <row r="17" customFormat="false" ht="15.65" hidden="false" customHeight="false" outlineLevel="0" collapsed="false">
      <c r="A17" s="1" t="n">
        <v>15</v>
      </c>
      <c r="B17" s="1" t="s">
        <v>44</v>
      </c>
      <c r="C17" s="1" t="s">
        <v>45</v>
      </c>
      <c r="D17" s="1" t="s">
        <v>46</v>
      </c>
      <c r="E17" s="1" t="n">
        <v>9</v>
      </c>
      <c r="H17" s="1" t="n">
        <v>7</v>
      </c>
      <c r="J17" s="1" t="n">
        <v>5</v>
      </c>
      <c r="L17" s="1" t="n">
        <v>9</v>
      </c>
      <c r="N17" s="1" t="n">
        <v>5</v>
      </c>
      <c r="O17" s="1" t="n">
        <f aca="false">L17+N17/2</f>
        <v>11.5</v>
      </c>
      <c r="P17" s="9" t="n">
        <f aca="false">ROUND(AVERAGE(O17,J17,H17,E17),0)</f>
        <v>8</v>
      </c>
      <c r="Q17" s="1" t="str">
        <f aca="false">IF(P17&lt;7,"TEP","TEA")</f>
        <v>TEA</v>
      </c>
      <c r="R17" s="1" t="n">
        <v>8</v>
      </c>
      <c r="T17" s="1" t="n">
        <v>9</v>
      </c>
      <c r="U17" s="9" t="n">
        <f aca="false">ROUND(AVERAGE(P17,R17:T17),0)</f>
        <v>8</v>
      </c>
      <c r="V17" s="1" t="n">
        <v>7</v>
      </c>
      <c r="X17" s="1" t="n">
        <v>10</v>
      </c>
      <c r="Y17" s="1" t="n">
        <v>9</v>
      </c>
      <c r="Z17" s="1" t="n">
        <v>7</v>
      </c>
      <c r="AA17" s="1" t="n">
        <v>0</v>
      </c>
      <c r="AB17" s="1" t="n">
        <f aca="false">Z17+AA17/2</f>
        <v>7</v>
      </c>
      <c r="AC17" s="9" t="n">
        <f aca="false">ROUND(AVERAGE(X17,Y17,AB17),0)</f>
        <v>9</v>
      </c>
    </row>
    <row r="18" s="7" customFormat="true" ht="15.65" hidden="false" customHeight="false" outlineLevel="0" collapsed="false">
      <c r="A18" s="1" t="n">
        <v>16</v>
      </c>
      <c r="B18" s="1" t="s">
        <v>47</v>
      </c>
      <c r="C18" s="1" t="s">
        <v>48</v>
      </c>
      <c r="D18" s="1" t="s">
        <v>49</v>
      </c>
      <c r="E18" s="1" t="n">
        <v>8</v>
      </c>
      <c r="F18" s="1"/>
      <c r="G18" s="1"/>
      <c r="H18" s="1" t="n">
        <v>10</v>
      </c>
      <c r="I18" s="1"/>
      <c r="J18" s="1" t="n">
        <v>8</v>
      </c>
      <c r="K18" s="1"/>
      <c r="L18" s="1" t="n">
        <v>10</v>
      </c>
      <c r="M18" s="1"/>
      <c r="N18" s="1" t="n">
        <v>3</v>
      </c>
      <c r="O18" s="1" t="n">
        <f aca="false">L18+N18/2</f>
        <v>11.5</v>
      </c>
      <c r="P18" s="9" t="n">
        <f aca="false">ROUND(AVERAGE(O18,J18,H18,E18),0)</f>
        <v>9</v>
      </c>
      <c r="Q18" s="1" t="str">
        <f aca="false">IF(P18&lt;7,"TEP","TEA")</f>
        <v>TEA</v>
      </c>
      <c r="R18" s="1" t="n">
        <v>4</v>
      </c>
      <c r="S18" s="1"/>
      <c r="T18" s="1" t="n">
        <v>6</v>
      </c>
      <c r="U18" s="9" t="n">
        <f aca="false">ROUND(AVERAGE(P18,R18:T18),0)</f>
        <v>6</v>
      </c>
      <c r="V18" s="1" t="n">
        <v>5</v>
      </c>
      <c r="W18" s="1"/>
      <c r="X18" s="1" t="n">
        <v>10</v>
      </c>
      <c r="Y18" s="1" t="n">
        <v>8</v>
      </c>
      <c r="Z18" s="1" t="n">
        <v>7</v>
      </c>
      <c r="AA18" s="1" t="n">
        <v>1</v>
      </c>
      <c r="AB18" s="1" t="n">
        <f aca="false">Z18+AA18/2</f>
        <v>7.5</v>
      </c>
      <c r="AC18" s="9" t="n">
        <f aca="false">ROUND(AVERAGE(X18,Y18,AB18),0)</f>
        <v>9</v>
      </c>
      <c r="AD18" s="1"/>
      <c r="AE18" s="1"/>
      <c r="AF18" s="1"/>
    </row>
    <row r="19" customFormat="false" ht="15.65" hidden="false" customHeight="false" outlineLevel="0" collapsed="false">
      <c r="A19" s="1" t="n">
        <v>17</v>
      </c>
      <c r="B19" s="1" t="s">
        <v>50</v>
      </c>
      <c r="C19" s="1" t="s">
        <v>51</v>
      </c>
      <c r="D19" s="1" t="s">
        <v>52</v>
      </c>
      <c r="E19" s="1" t="n">
        <v>8</v>
      </c>
      <c r="H19" s="1" t="n">
        <v>9</v>
      </c>
      <c r="J19" s="1" t="n">
        <v>6</v>
      </c>
      <c r="L19" s="1" t="n">
        <v>10</v>
      </c>
      <c r="N19" s="1" t="n">
        <v>4</v>
      </c>
      <c r="O19" s="1" t="n">
        <f aca="false">L19+N19/2</f>
        <v>12</v>
      </c>
      <c r="P19" s="9" t="n">
        <f aca="false">ROUND(AVERAGE(O19,J19,H19,E19),0)</f>
        <v>9</v>
      </c>
      <c r="Q19" s="1" t="str">
        <f aca="false">IF(P19&lt;7,"TEP","TEA")</f>
        <v>TEA</v>
      </c>
      <c r="R19" s="1" t="n">
        <v>10</v>
      </c>
      <c r="T19" s="1" t="n">
        <v>10</v>
      </c>
      <c r="U19" s="9" t="n">
        <f aca="false">ROUND(AVERAGE(P19,R19:T19),0)</f>
        <v>10</v>
      </c>
      <c r="V19" s="1" t="n">
        <v>1</v>
      </c>
      <c r="X19" s="1" t="n">
        <v>10</v>
      </c>
      <c r="Y19" s="1" t="n">
        <v>9</v>
      </c>
      <c r="Z19" s="1" t="n">
        <v>10</v>
      </c>
      <c r="AA19" s="1" t="n">
        <v>0</v>
      </c>
      <c r="AB19" s="1" t="n">
        <f aca="false">Z19+AA19/2</f>
        <v>10</v>
      </c>
      <c r="AC19" s="9" t="n">
        <f aca="false">ROUND(AVERAGE(X19,Y19,AB19),0)</f>
        <v>10</v>
      </c>
      <c r="AD19" s="1"/>
      <c r="AE19" s="1"/>
      <c r="AF19" s="1"/>
    </row>
    <row r="20" s="7" customFormat="true" ht="15.65" hidden="false" customHeight="false" outlineLevel="0" collapsed="false">
      <c r="A20" s="7" t="n">
        <v>18</v>
      </c>
      <c r="B20" s="1" t="s">
        <v>53</v>
      </c>
      <c r="C20" s="1" t="s">
        <v>54</v>
      </c>
      <c r="D20" s="1" t="s">
        <v>55</v>
      </c>
      <c r="E20" s="7" t="n">
        <v>10</v>
      </c>
      <c r="H20" s="7" t="n">
        <v>10</v>
      </c>
      <c r="J20" s="7" t="n">
        <v>9</v>
      </c>
      <c r="L20" s="7" t="n">
        <v>10</v>
      </c>
      <c r="N20" s="7" t="n">
        <v>3</v>
      </c>
      <c r="O20" s="7" t="n">
        <f aca="false">L20+N20/2</f>
        <v>11.5</v>
      </c>
      <c r="P20" s="10" t="n">
        <f aca="false">ROUND(AVERAGE(O20,J20,H20,E20),0)</f>
        <v>10</v>
      </c>
      <c r="Q20" s="7" t="str">
        <f aca="false">IF(P20&lt;7,"TEP","TEA")</f>
        <v>TEA</v>
      </c>
      <c r="R20" s="7" t="n">
        <v>10</v>
      </c>
      <c r="T20" s="7" t="n">
        <v>8</v>
      </c>
      <c r="U20" s="10" t="n">
        <f aca="false">ROUND(AVERAGE(P20,R20:T20),0)</f>
        <v>9</v>
      </c>
      <c r="V20" s="7" t="n">
        <v>1</v>
      </c>
      <c r="X20" s="7" t="n">
        <v>10</v>
      </c>
      <c r="Y20" s="7" t="n">
        <v>10</v>
      </c>
      <c r="Z20" s="7" t="n">
        <v>10</v>
      </c>
      <c r="AA20" s="7" t="n">
        <v>0</v>
      </c>
      <c r="AB20" s="7" t="n">
        <f aca="false">Z20+AA20/2</f>
        <v>10</v>
      </c>
      <c r="AC20" s="10" t="n">
        <f aca="false">ROUND(AVERAGE(X20,Y20,AB20),0)</f>
        <v>10</v>
      </c>
      <c r="AD20" s="7" t="n">
        <f aca="false">AC20*6/10</f>
        <v>6</v>
      </c>
    </row>
    <row r="21" customFormat="false" ht="15.65" hidden="false" customHeight="false" outlineLevel="0" collapsed="false">
      <c r="A21" s="1" t="n">
        <v>19</v>
      </c>
      <c r="B21" s="1" t="s">
        <v>56</v>
      </c>
      <c r="C21" s="1" t="s">
        <v>57</v>
      </c>
      <c r="D21" s="1" t="s">
        <v>58</v>
      </c>
      <c r="E21" s="1" t="n">
        <v>9</v>
      </c>
      <c r="H21" s="1" t="n">
        <v>8</v>
      </c>
      <c r="J21" s="1" t="n">
        <v>7</v>
      </c>
      <c r="L21" s="1" t="n">
        <v>8</v>
      </c>
      <c r="N21" s="1" t="n">
        <v>6</v>
      </c>
      <c r="O21" s="1" t="n">
        <f aca="false">L21+N21/2</f>
        <v>11</v>
      </c>
      <c r="P21" s="9" t="n">
        <f aca="false">ROUND(AVERAGE(O21,J21,H21,E21),0)</f>
        <v>9</v>
      </c>
      <c r="Q21" s="1" t="str">
        <f aca="false">IF(P21&lt;7,"TEP","TEA")</f>
        <v>TEA</v>
      </c>
      <c r="R21" s="1" t="n">
        <v>7</v>
      </c>
      <c r="T21" s="1" t="n">
        <v>8</v>
      </c>
      <c r="U21" s="9" t="n">
        <f aca="false">ROUND(AVERAGE(P21,R21:T21),0)</f>
        <v>8</v>
      </c>
      <c r="V21" s="1" t="n">
        <v>1</v>
      </c>
      <c r="X21" s="1" t="n">
        <v>9</v>
      </c>
      <c r="Y21" s="1" t="n">
        <v>10</v>
      </c>
      <c r="Z21" s="1" t="n">
        <v>9</v>
      </c>
      <c r="AA21" s="1" t="n">
        <v>0</v>
      </c>
      <c r="AB21" s="1" t="n">
        <f aca="false">Z21+AA21/2</f>
        <v>9</v>
      </c>
      <c r="AC21" s="9" t="n">
        <f aca="false">ROUND(AVERAGE(X21,Y21,AB21),0)</f>
        <v>9</v>
      </c>
      <c r="AD21" s="1"/>
      <c r="AE21" s="1"/>
      <c r="AF21" s="1"/>
    </row>
    <row r="22" customFormat="false" ht="15.65" hidden="false" customHeight="false" outlineLevel="0" collapsed="false">
      <c r="A22" s="7" t="n">
        <v>20</v>
      </c>
      <c r="B22" s="1" t="s">
        <v>59</v>
      </c>
      <c r="C22" s="1" t="s">
        <v>60</v>
      </c>
      <c r="D22" s="1" t="s">
        <v>61</v>
      </c>
      <c r="E22" s="11" t="n">
        <v>1</v>
      </c>
      <c r="F22" s="11"/>
      <c r="G22" s="7"/>
      <c r="H22" s="11" t="n">
        <v>1</v>
      </c>
      <c r="I22" s="7"/>
      <c r="J22" s="11" t="n">
        <v>2</v>
      </c>
      <c r="K22" s="7"/>
      <c r="L22" s="7" t="n">
        <v>7</v>
      </c>
      <c r="M22" s="7"/>
      <c r="N22" s="7" t="n">
        <v>4</v>
      </c>
      <c r="O22" s="7" t="n">
        <f aca="false">L22+N22/2</f>
        <v>9</v>
      </c>
      <c r="P22" s="10" t="n">
        <f aca="false">ROUND(AVERAGE(O22,J22,H22,E22),0)</f>
        <v>3</v>
      </c>
      <c r="Q22" s="7" t="str">
        <f aca="false">IF(P22&lt;7,"TEP","TEA")</f>
        <v>TEP</v>
      </c>
      <c r="R22" s="7" t="n">
        <v>5</v>
      </c>
      <c r="S22" s="7"/>
      <c r="T22" s="7" t="n">
        <v>3</v>
      </c>
      <c r="U22" s="10" t="n">
        <f aca="false">ROUND(AVERAGE(P22,R22:T22),0)</f>
        <v>4</v>
      </c>
      <c r="V22" s="7" t="n">
        <v>1</v>
      </c>
      <c r="W22" s="7"/>
      <c r="X22" s="7" t="n">
        <v>10</v>
      </c>
      <c r="Y22" s="7" t="n">
        <v>10</v>
      </c>
      <c r="Z22" s="7" t="n">
        <v>10</v>
      </c>
      <c r="AA22" s="7" t="n">
        <v>0</v>
      </c>
      <c r="AB22" s="7" t="n">
        <f aca="false">Z22+AA22/2</f>
        <v>10</v>
      </c>
      <c r="AC22" s="10" t="n">
        <f aca="false">ROUND(AVERAGE(X22,Y22,AB22),0)</f>
        <v>10</v>
      </c>
      <c r="AD22" s="7" t="n">
        <f aca="false">AC22*6/10</f>
        <v>6</v>
      </c>
      <c r="AE22" s="7"/>
      <c r="AF22" s="7"/>
    </row>
    <row r="23" customFormat="false" ht="15.65" hidden="true" customHeight="false" outlineLevel="0" collapsed="false">
      <c r="A23" s="1" t="n">
        <v>21</v>
      </c>
      <c r="B23" s="1" t="s">
        <v>62</v>
      </c>
      <c r="C23" s="1" t="s">
        <v>63</v>
      </c>
      <c r="D23" s="1" t="s">
        <v>64</v>
      </c>
      <c r="E23" s="1" t="n">
        <v>7</v>
      </c>
      <c r="H23" s="1" t="n">
        <v>9</v>
      </c>
      <c r="J23" s="1" t="n">
        <v>9</v>
      </c>
      <c r="L23" s="1" t="n">
        <v>7</v>
      </c>
      <c r="N23" s="1" t="n">
        <v>6</v>
      </c>
      <c r="O23" s="1" t="n">
        <f aca="false">L23+N23/2</f>
        <v>10</v>
      </c>
      <c r="P23" s="9" t="n">
        <f aca="false">ROUND(AVERAGE(O23,J23,H23,E23),0)</f>
        <v>9</v>
      </c>
      <c r="Q23" s="1" t="str">
        <f aca="false">IF(P23&lt;7,"TEP","TEA")</f>
        <v>TEA</v>
      </c>
      <c r="R23" s="1" t="n">
        <v>6</v>
      </c>
      <c r="T23" s="1" t="n">
        <v>10</v>
      </c>
      <c r="U23" s="9" t="n">
        <f aca="false">ROUND(AVERAGE(P23,R23:T23),0)</f>
        <v>8</v>
      </c>
      <c r="V23" s="1" t="n">
        <v>1</v>
      </c>
      <c r="X23" s="1" t="n">
        <v>10</v>
      </c>
      <c r="Y23" s="1" t="n">
        <v>9</v>
      </c>
      <c r="Z23" s="1" t="n">
        <v>6</v>
      </c>
      <c r="AA23" s="1" t="n">
        <v>2</v>
      </c>
      <c r="AB23" s="1" t="n">
        <f aca="false">Z23+AA23/2</f>
        <v>7</v>
      </c>
      <c r="AC23" s="9" t="n">
        <f aca="false">ROUND(AVERAGE(X23,Y23,AB23),0)</f>
        <v>9</v>
      </c>
    </row>
    <row r="24" customFormat="false" ht="15" hidden="false" customHeight="false" outlineLevel="0" collapsed="false">
      <c r="A24" s="1" t="n">
        <v>21</v>
      </c>
      <c r="B24" s="1" t="s">
        <v>65</v>
      </c>
      <c r="C24" s="1" t="s">
        <v>66</v>
      </c>
      <c r="D24" s="1" t="s">
        <v>67</v>
      </c>
    </row>
    <row r="25" customFormat="false" ht="15" hidden="false" customHeight="false" outlineLevel="0" collapsed="false">
      <c r="A25" s="7" t="n">
        <v>22</v>
      </c>
      <c r="B25" s="1" t="s">
        <v>114</v>
      </c>
      <c r="C25" s="1" t="s">
        <v>115</v>
      </c>
      <c r="D25" s="1" t="s">
        <v>116</v>
      </c>
    </row>
    <row r="26" customFormat="false" ht="15" hidden="false" customHeight="false" outlineLevel="0" collapsed="false">
      <c r="A26" s="1" t="n">
        <v>23</v>
      </c>
      <c r="B26" s="1" t="s">
        <v>68</v>
      </c>
      <c r="C26" s="1" t="s">
        <v>69</v>
      </c>
      <c r="D26" s="1" t="s">
        <v>70</v>
      </c>
    </row>
    <row r="27" customFormat="false" ht="15" hidden="false" customHeight="false" outlineLevel="0" collapsed="false">
      <c r="A27" s="7" t="n">
        <v>24</v>
      </c>
      <c r="B27" s="1" t="s">
        <v>117</v>
      </c>
      <c r="C27" s="1" t="s">
        <v>118</v>
      </c>
      <c r="D27" s="1" t="s">
        <v>119</v>
      </c>
    </row>
    <row r="28" customFormat="false" ht="15" hidden="false" customHeight="false" outlineLevel="0" collapsed="false">
      <c r="A28" s="1" t="n">
        <v>25</v>
      </c>
      <c r="B28" s="1" t="s">
        <v>72</v>
      </c>
      <c r="C28" s="1" t="s">
        <v>73</v>
      </c>
      <c r="D28" s="1" t="s">
        <v>74</v>
      </c>
    </row>
    <row r="29" customFormat="false" ht="15" hidden="false" customHeight="false" outlineLevel="0" collapsed="false">
      <c r="A29" s="7" t="n">
        <v>26</v>
      </c>
      <c r="B29" s="1" t="s">
        <v>75</v>
      </c>
      <c r="C29" s="1" t="s">
        <v>76</v>
      </c>
      <c r="D29" s="1" t="s">
        <v>77</v>
      </c>
    </row>
    <row r="30" customFormat="false" ht="15" hidden="false" customHeight="false" outlineLevel="0" collapsed="false">
      <c r="A30" s="1" t="n">
        <v>27</v>
      </c>
      <c r="B30" s="1" t="s">
        <v>78</v>
      </c>
      <c r="C30" s="1" t="s">
        <v>79</v>
      </c>
      <c r="D30" s="1" t="s">
        <v>80</v>
      </c>
    </row>
    <row r="31" customFormat="false" ht="15" hidden="false" customHeight="false" outlineLevel="0" collapsed="false">
      <c r="A31" s="7"/>
    </row>
  </sheetData>
  <conditionalFormatting sqref="U3:U23">
    <cfRule type="cellIs" priority="2" operator="greaterThan" aboveAverage="0" equalAverage="0" bottom="0" percent="0" rank="0" text="" dxfId="0">
      <formula>6</formula>
    </cfRule>
    <cfRule type="cellIs" priority="3" operator="lessThan" aboveAverage="0" equalAverage="0" bottom="0" percent="0" rank="0" text="" dxfId="1">
      <formula>7</formula>
    </cfRule>
  </conditionalFormatting>
  <conditionalFormatting sqref="P3:P23">
    <cfRule type="cellIs" priority="4" operator="greaterThan" aboveAverage="0" equalAverage="0" bottom="0" percent="0" rank="0" text="" dxfId="2">
      <formula>5</formula>
    </cfRule>
    <cfRule type="cellIs" priority="5" operator="between" aboveAverage="0" equalAverage="0" bottom="0" percent="0" rank="0" text="" dxfId="3">
      <formula>4</formula>
      <formula>6</formula>
    </cfRule>
    <cfRule type="cellIs" priority="6" operator="lessThan" aboveAverage="0" equalAverage="0" bottom="0" percent="0" rank="0" text="" dxfId="4">
      <formula>4</formula>
    </cfRule>
  </conditionalFormatting>
  <conditionalFormatting sqref="AC3:AC23">
    <cfRule type="cellIs" priority="7" operator="greaterThan" aboveAverage="0" equalAverage="0" bottom="0" percent="0" rank="0" text="" dxfId="5">
      <formula>6</formula>
    </cfRule>
    <cfRule type="cellIs" priority="8" operator="between" aboveAverage="0" equalAverage="0" bottom="0" percent="0" rank="0" text="" dxfId="6">
      <formula>4</formula>
      <formula>6</formula>
    </cfRule>
    <cfRule type="cellIs" priority="9" operator="lessThan" aboveAverage="0" equalAverage="0" bottom="0" percent="0" rank="0" text="" dxfId="7">
      <formula>4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3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J2" activeCellId="0" sqref="J2"/>
    </sheetView>
  </sheetViews>
  <sheetFormatPr defaultColWidth="9.58203125" defaultRowHeight="15" zeroHeight="false" outlineLevelRow="0" outlineLevelCol="0"/>
  <cols>
    <col collapsed="false" customWidth="true" hidden="false" outlineLevel="0" max="1" min="1" style="1" width="4.43"/>
    <col collapsed="false" customWidth="true" hidden="false" outlineLevel="0" max="2" min="2" style="1" width="13.43"/>
    <col collapsed="false" customWidth="false" hidden="true" outlineLevel="0" max="7" min="3" style="1" width="9.58"/>
    <col collapsed="false" customWidth="true" hidden="false" outlineLevel="0" max="16384" min="16364" style="1" width="10.58"/>
  </cols>
  <sheetData>
    <row r="1" customFormat="false" ht="15" hidden="false" customHeight="false" outlineLevel="0" collapsed="false">
      <c r="A1" s="1" t="s">
        <v>0</v>
      </c>
      <c r="B1" s="2" t="s">
        <v>2</v>
      </c>
      <c r="C1" s="12" t="n">
        <v>45729</v>
      </c>
      <c r="D1" s="12" t="n">
        <v>45736</v>
      </c>
      <c r="E1" s="3" t="n">
        <v>45743</v>
      </c>
      <c r="F1" s="3" t="n">
        <v>45813</v>
      </c>
      <c r="G1" s="3" t="s">
        <v>94</v>
      </c>
      <c r="H1" s="3" t="n">
        <v>45960</v>
      </c>
      <c r="I1" s="3" t="n">
        <v>45967</v>
      </c>
      <c r="J1" s="3" t="s">
        <v>94</v>
      </c>
    </row>
    <row r="2" customFormat="false" ht="15" hidden="false" customHeight="false" outlineLevel="0" collapsed="false">
      <c r="A2" s="1" t="n">
        <v>1</v>
      </c>
      <c r="B2" s="2" t="s">
        <v>120</v>
      </c>
      <c r="C2" s="2" t="n">
        <v>1</v>
      </c>
      <c r="D2" s="2" t="n">
        <v>1</v>
      </c>
      <c r="E2" s="1" t="n">
        <v>1</v>
      </c>
      <c r="F2" s="1" t="n">
        <v>1</v>
      </c>
      <c r="G2" s="1" t="n">
        <f aca="false">SUM(C2:F2)</f>
        <v>4</v>
      </c>
      <c r="J2" s="1" t="n">
        <f aca="false">SUM(H2:I2)</f>
        <v>0</v>
      </c>
    </row>
    <row r="3" customFormat="false" ht="15" hidden="false" customHeight="false" outlineLevel="0" collapsed="false">
      <c r="A3" s="1" t="n">
        <v>2</v>
      </c>
      <c r="B3" s="2" t="s">
        <v>121</v>
      </c>
      <c r="C3" s="2" t="n">
        <v>1</v>
      </c>
      <c r="D3" s="2"/>
      <c r="F3" s="1" t="n">
        <v>1</v>
      </c>
      <c r="G3" s="1" t="n">
        <f aca="false">SUM(C3:F3)</f>
        <v>2</v>
      </c>
      <c r="J3" s="1" t="n">
        <f aca="false">SUM(H3:I3)</f>
        <v>0</v>
      </c>
    </row>
    <row r="4" customFormat="false" ht="15" hidden="false" customHeight="false" outlineLevel="0" collapsed="false">
      <c r="A4" s="1" t="n">
        <v>3</v>
      </c>
      <c r="B4" s="2" t="s">
        <v>122</v>
      </c>
      <c r="C4" s="2" t="n">
        <v>1</v>
      </c>
      <c r="D4" s="2" t="n">
        <v>1</v>
      </c>
      <c r="E4" s="1" t="n">
        <v>1</v>
      </c>
      <c r="F4" s="1" t="n">
        <v>1</v>
      </c>
      <c r="G4" s="1" t="n">
        <f aca="false">SUM(C4:F4)</f>
        <v>4</v>
      </c>
      <c r="J4" s="1" t="n">
        <f aca="false">SUM(H4:I4)</f>
        <v>0</v>
      </c>
    </row>
    <row r="5" customFormat="false" ht="15" hidden="false" customHeight="false" outlineLevel="0" collapsed="false">
      <c r="A5" s="1" t="n">
        <v>4</v>
      </c>
      <c r="B5" s="2" t="s">
        <v>123</v>
      </c>
      <c r="C5" s="2" t="n">
        <v>1</v>
      </c>
      <c r="D5" s="2"/>
      <c r="F5" s="1" t="n">
        <v>1</v>
      </c>
      <c r="G5" s="1" t="n">
        <f aca="false">SUM(C5:F5)</f>
        <v>2</v>
      </c>
      <c r="J5" s="1" t="n">
        <f aca="false">SUM(H5:I5)</f>
        <v>0</v>
      </c>
    </row>
    <row r="6" customFormat="false" ht="15" hidden="false" customHeight="false" outlineLevel="0" collapsed="false">
      <c r="A6" s="1" t="n">
        <v>5</v>
      </c>
      <c r="B6" s="2" t="s">
        <v>124</v>
      </c>
      <c r="C6" s="2" t="n">
        <v>1</v>
      </c>
      <c r="D6" s="2"/>
      <c r="E6" s="1" t="n">
        <v>1</v>
      </c>
      <c r="F6" s="1" t="n">
        <v>1</v>
      </c>
      <c r="G6" s="1" t="n">
        <f aca="false">SUM(C6:F6)</f>
        <v>3</v>
      </c>
      <c r="J6" s="1" t="n">
        <f aca="false">SUM(H6:I6)</f>
        <v>0</v>
      </c>
    </row>
    <row r="7" customFormat="false" ht="15" hidden="false" customHeight="false" outlineLevel="0" collapsed="false">
      <c r="A7" s="1" t="n">
        <v>6</v>
      </c>
      <c r="B7" s="2" t="s">
        <v>125</v>
      </c>
      <c r="C7" s="2" t="n">
        <v>1</v>
      </c>
      <c r="D7" s="2" t="n">
        <v>1</v>
      </c>
      <c r="F7" s="1" t="n">
        <v>0</v>
      </c>
      <c r="G7" s="1" t="n">
        <f aca="false">SUM(C7:F7)</f>
        <v>2</v>
      </c>
      <c r="J7" s="1" t="n">
        <f aca="false">SUM(H7:I7)</f>
        <v>0</v>
      </c>
    </row>
    <row r="8" customFormat="false" ht="15" hidden="false" customHeight="false" outlineLevel="0" collapsed="false">
      <c r="A8" s="1" t="n">
        <v>7</v>
      </c>
      <c r="B8" s="2" t="s">
        <v>126</v>
      </c>
      <c r="C8" s="2"/>
      <c r="D8" s="2" t="n">
        <v>1</v>
      </c>
      <c r="F8" s="1" t="n">
        <v>1</v>
      </c>
      <c r="G8" s="1" t="n">
        <f aca="false">SUM(C8:F8)</f>
        <v>2</v>
      </c>
      <c r="J8" s="1" t="n">
        <f aca="false">SUM(H8:I8)</f>
        <v>0</v>
      </c>
    </row>
    <row r="9" customFormat="false" ht="15" hidden="false" customHeight="false" outlineLevel="0" collapsed="false">
      <c r="A9" s="1" t="n">
        <v>8</v>
      </c>
      <c r="B9" s="2" t="s">
        <v>127</v>
      </c>
      <c r="C9" s="2" t="n">
        <v>1</v>
      </c>
      <c r="D9" s="2" t="n">
        <v>1</v>
      </c>
      <c r="E9" s="1" t="n">
        <v>3</v>
      </c>
      <c r="F9" s="1" t="n">
        <v>1</v>
      </c>
      <c r="G9" s="1" t="n">
        <f aca="false">SUM(C9:F9)</f>
        <v>6</v>
      </c>
      <c r="H9" s="1" t="n">
        <v>1</v>
      </c>
      <c r="I9" s="1" t="n">
        <v>2</v>
      </c>
      <c r="J9" s="1" t="n">
        <f aca="false">SUM(H9:I9)</f>
        <v>3</v>
      </c>
    </row>
    <row r="10" customFormat="false" ht="15" hidden="false" customHeight="false" outlineLevel="0" collapsed="false">
      <c r="A10" s="1" t="n">
        <v>9</v>
      </c>
      <c r="B10" s="2" t="s">
        <v>128</v>
      </c>
      <c r="C10" s="2" t="n">
        <v>1</v>
      </c>
      <c r="D10" s="2" t="n">
        <v>1</v>
      </c>
      <c r="F10" s="1" t="n">
        <v>1</v>
      </c>
      <c r="G10" s="1" t="n">
        <f aca="false">SUM(C10:F10)</f>
        <v>3</v>
      </c>
      <c r="J10" s="1" t="n">
        <f aca="false">SUM(H10:I10)</f>
        <v>0</v>
      </c>
    </row>
    <row r="11" customFormat="false" ht="15" hidden="false" customHeight="false" outlineLevel="0" collapsed="false">
      <c r="A11" s="1" t="n">
        <v>10</v>
      </c>
      <c r="B11" s="2" t="s">
        <v>129</v>
      </c>
      <c r="C11" s="2" t="n">
        <v>1</v>
      </c>
      <c r="D11" s="2" t="n">
        <v>1</v>
      </c>
      <c r="E11" s="1" t="n">
        <v>1</v>
      </c>
      <c r="F11" s="1" t="n">
        <v>1</v>
      </c>
      <c r="G11" s="1" t="n">
        <f aca="false">SUM(C11:F11)</f>
        <v>4</v>
      </c>
      <c r="J11" s="1" t="n">
        <f aca="false">SUM(H11:I11)</f>
        <v>0</v>
      </c>
    </row>
    <row r="12" customFormat="false" ht="15" hidden="false" customHeight="false" outlineLevel="0" collapsed="false">
      <c r="A12" s="1" t="n">
        <v>11</v>
      </c>
      <c r="B12" s="2" t="s">
        <v>130</v>
      </c>
      <c r="C12" s="2"/>
      <c r="D12" s="2"/>
      <c r="F12" s="1" t="n">
        <v>1</v>
      </c>
      <c r="G12" s="1" t="n">
        <f aca="false">SUM(C12:F12)</f>
        <v>1</v>
      </c>
      <c r="J12" s="1" t="n">
        <f aca="false">SUM(H12:I12)</f>
        <v>0</v>
      </c>
    </row>
    <row r="13" customFormat="false" ht="15" hidden="false" customHeight="false" outlineLevel="0" collapsed="false">
      <c r="A13" s="1" t="n">
        <v>12</v>
      </c>
      <c r="B13" s="2" t="s">
        <v>131</v>
      </c>
      <c r="C13" s="2" t="n">
        <v>1</v>
      </c>
      <c r="D13" s="2" t="n">
        <v>1</v>
      </c>
      <c r="E13" s="1" t="n">
        <v>3</v>
      </c>
      <c r="F13" s="1" t="n">
        <v>1</v>
      </c>
      <c r="G13" s="1" t="n">
        <f aca="false">SUM(C13:F13)</f>
        <v>6</v>
      </c>
      <c r="J13" s="1" t="n">
        <f aca="false">SUM(H13:I13)</f>
        <v>0</v>
      </c>
    </row>
    <row r="14" customFormat="false" ht="15" hidden="false" customHeight="false" outlineLevel="0" collapsed="false">
      <c r="A14" s="1" t="n">
        <v>13</v>
      </c>
      <c r="B14" s="2" t="s">
        <v>132</v>
      </c>
      <c r="C14" s="2" t="n">
        <v>1</v>
      </c>
      <c r="D14" s="2"/>
      <c r="F14" s="1" t="n">
        <v>1</v>
      </c>
      <c r="G14" s="1" t="n">
        <f aca="false">SUM(C14:F14)</f>
        <v>2</v>
      </c>
      <c r="J14" s="1" t="n">
        <f aca="false">SUM(H14:I14)</f>
        <v>0</v>
      </c>
    </row>
    <row r="15" customFormat="false" ht="15" hidden="false" customHeight="false" outlineLevel="0" collapsed="false">
      <c r="A15" s="1" t="n">
        <v>14</v>
      </c>
      <c r="B15" s="2" t="s">
        <v>133</v>
      </c>
      <c r="C15" s="2" t="n">
        <v>1</v>
      </c>
      <c r="D15" s="2" t="n">
        <v>1</v>
      </c>
      <c r="E15" s="1" t="n">
        <v>1</v>
      </c>
      <c r="F15" s="1" t="n">
        <v>1</v>
      </c>
      <c r="G15" s="1" t="n">
        <f aca="false">SUM(C15:F15)</f>
        <v>4</v>
      </c>
      <c r="J15" s="1" t="n">
        <f aca="false">SUM(H15:I15)</f>
        <v>0</v>
      </c>
    </row>
    <row r="16" customFormat="false" ht="15" hidden="false" customHeight="false" outlineLevel="0" collapsed="false">
      <c r="A16" s="1" t="n">
        <v>15</v>
      </c>
      <c r="B16" s="2" t="s">
        <v>134</v>
      </c>
      <c r="C16" s="2"/>
      <c r="D16" s="2"/>
      <c r="E16" s="1" t="n">
        <v>4</v>
      </c>
      <c r="F16" s="1" t="n">
        <v>1</v>
      </c>
      <c r="G16" s="1" t="n">
        <f aca="false">SUM(C16:F16)</f>
        <v>5</v>
      </c>
      <c r="J16" s="1" t="n">
        <f aca="false">SUM(H16:I16)</f>
        <v>0</v>
      </c>
    </row>
    <row r="17" customFormat="false" ht="15" hidden="false" customHeight="false" outlineLevel="0" collapsed="false">
      <c r="A17" s="1" t="n">
        <v>16</v>
      </c>
      <c r="B17" s="2" t="s">
        <v>135</v>
      </c>
      <c r="C17" s="2" t="n">
        <v>1</v>
      </c>
      <c r="D17" s="2" t="n">
        <v>1</v>
      </c>
      <c r="E17" s="1" t="n">
        <v>1</v>
      </c>
      <c r="F17" s="1" t="n">
        <v>0</v>
      </c>
      <c r="G17" s="1" t="n">
        <f aca="false">SUM(C17:F17)</f>
        <v>3</v>
      </c>
      <c r="I17" s="1" t="n">
        <v>1</v>
      </c>
      <c r="J17" s="1" t="n">
        <f aca="false">SUM(H17:I17)</f>
        <v>1</v>
      </c>
    </row>
    <row r="18" customFormat="false" ht="15" hidden="false" customHeight="false" outlineLevel="0" collapsed="false">
      <c r="A18" s="1" t="n">
        <v>17</v>
      </c>
      <c r="B18" s="2" t="s">
        <v>136</v>
      </c>
      <c r="C18" s="2" t="n">
        <v>1</v>
      </c>
      <c r="D18" s="2" t="n">
        <v>1</v>
      </c>
      <c r="E18" s="1" t="n">
        <v>1</v>
      </c>
      <c r="F18" s="1" t="n">
        <v>1</v>
      </c>
      <c r="G18" s="1" t="n">
        <f aca="false">SUM(C18:F18)</f>
        <v>4</v>
      </c>
      <c r="J18" s="1" t="n">
        <f aca="false">SUM(H18:I18)</f>
        <v>0</v>
      </c>
    </row>
    <row r="19" customFormat="false" ht="15" hidden="false" customHeight="false" outlineLevel="0" collapsed="false">
      <c r="A19" s="1" t="n">
        <v>18</v>
      </c>
      <c r="B19" s="2" t="s">
        <v>137</v>
      </c>
      <c r="C19" s="2" t="n">
        <v>1</v>
      </c>
      <c r="D19" s="2" t="n">
        <v>1</v>
      </c>
      <c r="F19" s="1" t="n">
        <v>1</v>
      </c>
      <c r="G19" s="1" t="n">
        <f aca="false">SUM(C19:F19)</f>
        <v>3</v>
      </c>
      <c r="J19" s="1" t="n">
        <f aca="false">SUM(H19:I19)</f>
        <v>0</v>
      </c>
    </row>
    <row r="20" customFormat="false" ht="15" hidden="false" customHeight="false" outlineLevel="0" collapsed="false">
      <c r="A20" s="1" t="n">
        <v>19</v>
      </c>
      <c r="B20" s="2" t="s">
        <v>138</v>
      </c>
      <c r="C20" s="2" t="n">
        <v>1</v>
      </c>
      <c r="D20" s="2" t="n">
        <v>1</v>
      </c>
      <c r="E20" s="1" t="n">
        <v>3</v>
      </c>
      <c r="F20" s="1" t="n">
        <v>1</v>
      </c>
      <c r="G20" s="1" t="n">
        <f aca="false">SUM(C20:F20)</f>
        <v>6</v>
      </c>
      <c r="J20" s="1" t="n">
        <f aca="false">SUM(H20:I20)</f>
        <v>0</v>
      </c>
    </row>
    <row r="21" customFormat="false" ht="15" hidden="false" customHeight="false" outlineLevel="0" collapsed="false">
      <c r="A21" s="1" t="n">
        <v>21</v>
      </c>
      <c r="B21" s="2" t="s">
        <v>139</v>
      </c>
      <c r="C21" s="2" t="n">
        <v>1</v>
      </c>
      <c r="D21" s="2"/>
      <c r="E21" s="1" t="n">
        <v>3</v>
      </c>
      <c r="F21" s="1" t="n">
        <v>0</v>
      </c>
      <c r="G21" s="1" t="n">
        <f aca="false">SUM(C21:F21)</f>
        <v>4</v>
      </c>
      <c r="J21" s="1" t="n">
        <f aca="false">SUM(H21:I21)</f>
        <v>0</v>
      </c>
    </row>
    <row r="22" customFormat="false" ht="15" hidden="false" customHeight="false" outlineLevel="0" collapsed="false">
      <c r="A22" s="1" t="n">
        <v>22</v>
      </c>
      <c r="B22" s="2" t="s">
        <v>140</v>
      </c>
      <c r="C22" s="2" t="n">
        <v>1</v>
      </c>
      <c r="D22" s="2" t="n">
        <v>1</v>
      </c>
      <c r="E22" s="1" t="n">
        <v>3</v>
      </c>
      <c r="F22" s="1" t="n">
        <v>1</v>
      </c>
      <c r="G22" s="1" t="n">
        <f aca="false">SUM(C22:F22)</f>
        <v>6</v>
      </c>
      <c r="H22" s="1" t="n">
        <v>2</v>
      </c>
      <c r="J22" s="1" t="n">
        <f aca="false">SUM(H22:I22)</f>
        <v>2</v>
      </c>
    </row>
    <row r="23" customFormat="false" ht="15" hidden="false" customHeight="false" outlineLevel="0" collapsed="false">
      <c r="B23" s="1" t="s">
        <v>86</v>
      </c>
      <c r="E23" s="1" t="n">
        <f aca="false">COUNTIF(E2:E22,"&gt;0")</f>
        <v>13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8"/>
  <sheetViews>
    <sheetView showFormulas="false" showGridLines="true" showRowColHeaders="true" showZeros="true" rightToLeft="false" tabSelected="false" showOutlineSymbols="true" defaultGridColor="true" view="normal" topLeftCell="A13" colorId="64" zoomScale="95" zoomScaleNormal="95" zoomScalePageLayoutView="100" workbookViewId="0">
      <selection pane="topLeft" activeCell="H28" activeCellId="0" sqref="H28"/>
    </sheetView>
  </sheetViews>
  <sheetFormatPr defaultColWidth="9.58203125" defaultRowHeight="15" zeroHeight="false" outlineLevelRow="0" outlineLevelCol="0"/>
  <cols>
    <col collapsed="false" customWidth="true" hidden="false" outlineLevel="0" max="1" min="1" style="1" width="3.29"/>
    <col collapsed="false" customWidth="true" hidden="false" outlineLevel="0" max="2" min="2" style="1" width="13.43"/>
    <col collapsed="false" customWidth="true" hidden="false" outlineLevel="0" max="3" min="3" style="1" width="12.64"/>
    <col collapsed="false" customWidth="true" hidden="false" outlineLevel="0" max="4" min="4" style="1" width="22.63"/>
    <col collapsed="false" customWidth="true" hidden="false" outlineLevel="0" max="5" min="5" style="1" width="21.19"/>
  </cols>
  <sheetData>
    <row r="1" customFormat="false" ht="15" hidden="false" customHeight="false" outlineLevel="0" collapsed="false">
      <c r="C1" s="1" t="s">
        <v>2</v>
      </c>
      <c r="D1" s="1" t="s">
        <v>141</v>
      </c>
      <c r="E1" s="1" t="s">
        <v>142</v>
      </c>
      <c r="F1" s="1" t="s">
        <v>143</v>
      </c>
      <c r="G1" s="1" t="s">
        <v>100</v>
      </c>
      <c r="H1" s="1" t="s">
        <v>144</v>
      </c>
      <c r="I1" s="1" t="s">
        <v>145</v>
      </c>
    </row>
    <row r="2" customFormat="false" ht="15" hidden="false" customHeight="false" outlineLevel="0" collapsed="false">
      <c r="A2" s="1" t="n">
        <v>1</v>
      </c>
      <c r="B2" s="2" t="s">
        <v>120</v>
      </c>
      <c r="F2" s="1" t="n">
        <v>1</v>
      </c>
      <c r="I2" s="1" t="n">
        <v>1</v>
      </c>
    </row>
    <row r="3" customFormat="false" ht="15" hidden="false" customHeight="false" outlineLevel="0" collapsed="false">
      <c r="A3" s="1" t="n">
        <v>2</v>
      </c>
      <c r="B3" s="2" t="s">
        <v>121</v>
      </c>
      <c r="F3" s="1" t="n">
        <v>1</v>
      </c>
      <c r="I3" s="1" t="n">
        <v>1</v>
      </c>
    </row>
    <row r="4" customFormat="false" ht="15" hidden="false" customHeight="false" outlineLevel="0" collapsed="false">
      <c r="A4" s="1" t="n">
        <v>3</v>
      </c>
      <c r="B4" s="2" t="s">
        <v>122</v>
      </c>
      <c r="F4" s="1" t="n">
        <v>1</v>
      </c>
      <c r="I4" s="1" t="n">
        <v>1</v>
      </c>
    </row>
    <row r="5" customFormat="false" ht="15" hidden="false" customHeight="false" outlineLevel="0" collapsed="false">
      <c r="A5" s="1" t="n">
        <v>4</v>
      </c>
      <c r="B5" s="2" t="s">
        <v>123</v>
      </c>
      <c r="F5" s="1" t="n">
        <v>1</v>
      </c>
      <c r="I5" s="1" t="n">
        <v>1</v>
      </c>
    </row>
    <row r="6" customFormat="false" ht="15" hidden="false" customHeight="false" outlineLevel="0" collapsed="false">
      <c r="A6" s="1" t="n">
        <v>5</v>
      </c>
      <c r="B6" s="2" t="s">
        <v>124</v>
      </c>
      <c r="F6" s="1" t="n">
        <v>1</v>
      </c>
      <c r="I6" s="1" t="n">
        <v>1</v>
      </c>
    </row>
    <row r="7" customFormat="false" ht="15" hidden="false" customHeight="false" outlineLevel="0" collapsed="false">
      <c r="A7" s="1" t="n">
        <v>6</v>
      </c>
      <c r="B7" s="2" t="s">
        <v>125</v>
      </c>
      <c r="F7" s="1" t="n">
        <v>1</v>
      </c>
      <c r="I7" s="1" t="n">
        <v>1</v>
      </c>
    </row>
    <row r="8" customFormat="false" ht="15" hidden="false" customHeight="false" outlineLevel="0" collapsed="false">
      <c r="A8" s="1" t="n">
        <v>7</v>
      </c>
      <c r="B8" s="2" t="s">
        <v>126</v>
      </c>
      <c r="F8" s="1" t="n">
        <v>1</v>
      </c>
      <c r="I8" s="1" t="n">
        <v>1</v>
      </c>
    </row>
    <row r="9" customFormat="false" ht="15" hidden="false" customHeight="false" outlineLevel="0" collapsed="false">
      <c r="A9" s="1" t="n">
        <v>8</v>
      </c>
      <c r="B9" s="2" t="s">
        <v>127</v>
      </c>
      <c r="F9" s="1" t="n">
        <v>1</v>
      </c>
      <c r="I9" s="1" t="n">
        <v>1</v>
      </c>
    </row>
    <row r="10" customFormat="false" ht="15" hidden="false" customHeight="false" outlineLevel="0" collapsed="false">
      <c r="A10" s="1" t="n">
        <v>9</v>
      </c>
      <c r="B10" s="2" t="s">
        <v>128</v>
      </c>
      <c r="C10" s="1" t="s">
        <v>128</v>
      </c>
      <c r="D10" s="1" t="s">
        <v>146</v>
      </c>
      <c r="E10" s="1" t="s">
        <v>147</v>
      </c>
      <c r="F10" s="1" t="n">
        <v>3</v>
      </c>
      <c r="I10" s="1" t="n">
        <v>3</v>
      </c>
    </row>
    <row r="11" customFormat="false" ht="15" hidden="false" customHeight="false" outlineLevel="0" collapsed="false">
      <c r="A11" s="1" t="n">
        <v>10</v>
      </c>
      <c r="B11" s="2" t="s">
        <v>129</v>
      </c>
      <c r="F11" s="1" t="n">
        <v>1</v>
      </c>
      <c r="I11" s="1" t="n">
        <v>1</v>
      </c>
    </row>
    <row r="12" customFormat="false" ht="15" hidden="false" customHeight="false" outlineLevel="0" collapsed="false">
      <c r="A12" s="1" t="n">
        <v>11</v>
      </c>
      <c r="B12" s="2" t="s">
        <v>130</v>
      </c>
      <c r="F12" s="1" t="n">
        <v>1</v>
      </c>
      <c r="I12" s="1" t="n">
        <v>1</v>
      </c>
    </row>
    <row r="13" customFormat="false" ht="15" hidden="false" customHeight="false" outlineLevel="0" collapsed="false">
      <c r="A13" s="1" t="n">
        <v>12</v>
      </c>
      <c r="B13" s="2" t="s">
        <v>131</v>
      </c>
      <c r="F13" s="1" t="n">
        <v>1</v>
      </c>
      <c r="I13" s="1" t="n">
        <v>1</v>
      </c>
    </row>
    <row r="14" customFormat="false" ht="15" hidden="false" customHeight="false" outlineLevel="0" collapsed="false">
      <c r="A14" s="1" t="n">
        <v>13</v>
      </c>
      <c r="B14" s="2" t="s">
        <v>132</v>
      </c>
      <c r="F14" s="1" t="n">
        <v>1</v>
      </c>
      <c r="I14" s="1" t="n">
        <v>1</v>
      </c>
    </row>
    <row r="15" customFormat="false" ht="15" hidden="false" customHeight="false" outlineLevel="0" collapsed="false">
      <c r="A15" s="1" t="n">
        <v>14</v>
      </c>
      <c r="B15" s="2" t="s">
        <v>133</v>
      </c>
      <c r="F15" s="1" t="n">
        <v>1</v>
      </c>
      <c r="I15" s="1" t="n">
        <v>1</v>
      </c>
    </row>
    <row r="16" customFormat="false" ht="15" hidden="false" customHeight="false" outlineLevel="0" collapsed="false">
      <c r="A16" s="1" t="n">
        <v>15</v>
      </c>
      <c r="B16" s="2" t="s">
        <v>134</v>
      </c>
      <c r="F16" s="1" t="n">
        <v>1</v>
      </c>
      <c r="I16" s="1" t="n">
        <v>1</v>
      </c>
    </row>
    <row r="17" customFormat="false" ht="15" hidden="false" customHeight="false" outlineLevel="0" collapsed="false">
      <c r="A17" s="1" t="n">
        <v>16</v>
      </c>
      <c r="B17" s="2" t="s">
        <v>135</v>
      </c>
      <c r="C17" s="1" t="s">
        <v>135</v>
      </c>
      <c r="D17" s="1" t="s">
        <v>148</v>
      </c>
      <c r="E17" s="1" t="s">
        <v>149</v>
      </c>
      <c r="F17" s="1" t="n">
        <v>8</v>
      </c>
      <c r="I17" s="1" t="n">
        <v>8</v>
      </c>
    </row>
    <row r="18" customFormat="false" ht="15" hidden="false" customHeight="false" outlineLevel="0" collapsed="false">
      <c r="A18" s="1" t="n">
        <v>17</v>
      </c>
      <c r="B18" s="2" t="s">
        <v>136</v>
      </c>
      <c r="C18" s="1" t="s">
        <v>136</v>
      </c>
      <c r="D18" s="1" t="s">
        <v>150</v>
      </c>
      <c r="E18" s="1" t="s">
        <v>151</v>
      </c>
      <c r="F18" s="1" t="n">
        <v>9</v>
      </c>
      <c r="G18" s="1" t="n">
        <f aca="false">AVERAGE(F18:F22)</f>
        <v>7.4</v>
      </c>
      <c r="H18" s="1" t="n">
        <v>8</v>
      </c>
      <c r="I18" s="1" t="n">
        <f aca="false">ROUND(MAX(H18,G18),0)</f>
        <v>8</v>
      </c>
    </row>
    <row r="19" customFormat="false" ht="15" hidden="false" customHeight="false" outlineLevel="0" collapsed="false">
      <c r="C19" s="1" t="s">
        <v>136</v>
      </c>
      <c r="D19" s="1" t="s">
        <v>152</v>
      </c>
      <c r="E19" s="1" t="s">
        <v>153</v>
      </c>
      <c r="F19" s="1" t="n">
        <v>8</v>
      </c>
    </row>
    <row r="20" customFormat="false" ht="15" hidden="false" customHeight="false" outlineLevel="0" collapsed="false">
      <c r="C20" s="1" t="s">
        <v>136</v>
      </c>
      <c r="D20" s="1" t="s">
        <v>154</v>
      </c>
      <c r="E20" s="1" t="s">
        <v>155</v>
      </c>
      <c r="F20" s="1" t="n">
        <v>7</v>
      </c>
    </row>
    <row r="21" customFormat="false" ht="15" hidden="false" customHeight="false" outlineLevel="0" collapsed="false">
      <c r="C21" s="1" t="s">
        <v>136</v>
      </c>
      <c r="D21" s="1" t="s">
        <v>156</v>
      </c>
      <c r="E21" s="1" t="s">
        <v>157</v>
      </c>
      <c r="F21" s="1" t="n">
        <v>7</v>
      </c>
    </row>
    <row r="22" customFormat="false" ht="15" hidden="false" customHeight="false" outlineLevel="0" collapsed="false">
      <c r="C22" s="1" t="s">
        <v>136</v>
      </c>
      <c r="D22" s="1" t="s">
        <v>158</v>
      </c>
      <c r="E22" s="1" t="s">
        <v>159</v>
      </c>
      <c r="F22" s="1" t="n">
        <v>6</v>
      </c>
    </row>
    <row r="23" customFormat="false" ht="15" hidden="false" customHeight="false" outlineLevel="0" collapsed="false">
      <c r="A23" s="1" t="n">
        <v>18</v>
      </c>
      <c r="B23" s="2" t="s">
        <v>137</v>
      </c>
      <c r="F23" s="1" t="n">
        <v>1</v>
      </c>
      <c r="I23" s="1" t="n">
        <v>1</v>
      </c>
    </row>
    <row r="24" customFormat="false" ht="15" hidden="false" customHeight="false" outlineLevel="0" collapsed="false">
      <c r="A24" s="1" t="n">
        <v>19</v>
      </c>
      <c r="B24" s="2" t="s">
        <v>138</v>
      </c>
      <c r="F24" s="1" t="n">
        <v>1</v>
      </c>
      <c r="I24" s="1" t="n">
        <v>1</v>
      </c>
    </row>
    <row r="25" customFormat="false" ht="15" hidden="false" customHeight="false" outlineLevel="0" collapsed="false">
      <c r="A25" s="1" t="n">
        <v>20</v>
      </c>
      <c r="B25" s="2" t="s">
        <v>115</v>
      </c>
      <c r="F25" s="1" t="n">
        <v>1</v>
      </c>
      <c r="I25" s="1" t="n">
        <v>1</v>
      </c>
    </row>
    <row r="26" customFormat="false" ht="15" hidden="false" customHeight="false" outlineLevel="0" collapsed="false">
      <c r="A26" s="1" t="n">
        <v>21</v>
      </c>
      <c r="B26" s="2" t="s">
        <v>139</v>
      </c>
      <c r="F26" s="1" t="n">
        <v>1</v>
      </c>
      <c r="I26" s="1" t="n">
        <v>1</v>
      </c>
    </row>
    <row r="27" customFormat="false" ht="15" hidden="false" customHeight="false" outlineLevel="0" collapsed="false">
      <c r="A27" s="1" t="n">
        <v>22</v>
      </c>
      <c r="B27" s="2" t="s">
        <v>140</v>
      </c>
      <c r="F27" s="1" t="n">
        <v>1</v>
      </c>
      <c r="I27" s="1" t="n">
        <v>1</v>
      </c>
    </row>
    <row r="28" customFormat="false" ht="15" hidden="false" customHeight="false" outlineLevel="0" collapsed="false">
      <c r="H28" s="1" t="s">
        <v>86</v>
      </c>
      <c r="I28" s="1" t="n">
        <f aca="false">COUNTIF(I2:I27,"&gt;0")</f>
        <v>22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2"/>
  <sheetViews>
    <sheetView showFormulas="false" showGridLines="true" showRowColHeaders="true" showZeros="true" rightToLeft="false" tabSelected="false" showOutlineSymbols="true" defaultGridColor="true" view="normal" topLeftCell="A34" colorId="64" zoomScale="95" zoomScaleNormal="95" zoomScalePageLayoutView="100" workbookViewId="0">
      <selection pane="topLeft" activeCell="A66" activeCellId="0" sqref="A66"/>
    </sheetView>
  </sheetViews>
  <sheetFormatPr defaultColWidth="9.44921875" defaultRowHeight="15" zeroHeight="false" outlineLevelRow="0" outlineLevelCol="0"/>
  <cols>
    <col collapsed="false" customWidth="true" hidden="false" outlineLevel="0" max="1" min="1" style="1" width="3.22"/>
    <col collapsed="false" customWidth="true" hidden="false" outlineLevel="0" max="2" min="2" style="1" width="13.57"/>
    <col collapsed="false" customWidth="true" hidden="false" outlineLevel="0" max="3" min="3" style="1" width="12.67"/>
    <col collapsed="false" customWidth="true" hidden="false" outlineLevel="0" max="4" min="4" style="1" width="16.87"/>
    <col collapsed="false" customWidth="true" hidden="false" outlineLevel="0" max="5" min="5" style="1" width="20.48"/>
    <col collapsed="false" customWidth="true" hidden="false" outlineLevel="0" max="6" min="6" style="1" width="15.98"/>
  </cols>
  <sheetData>
    <row r="1" customFormat="false" ht="15" hidden="false" customHeight="false" outlineLevel="0" collapsed="false">
      <c r="C1" s="1" t="s">
        <v>2</v>
      </c>
      <c r="D1" s="1" t="s">
        <v>1</v>
      </c>
      <c r="E1" s="1" t="s">
        <v>142</v>
      </c>
      <c r="F1" s="1" t="s">
        <v>143</v>
      </c>
      <c r="G1" s="1" t="s">
        <v>100</v>
      </c>
      <c r="H1" s="1" t="s">
        <v>144</v>
      </c>
      <c r="I1" s="1" t="s">
        <v>145</v>
      </c>
    </row>
    <row r="2" customFormat="false" ht="15" hidden="false" customHeight="false" outlineLevel="0" collapsed="false">
      <c r="A2" s="1" t="n">
        <v>1</v>
      </c>
      <c r="B2" s="2" t="s">
        <v>120</v>
      </c>
      <c r="F2" s="1" t="n">
        <v>1</v>
      </c>
      <c r="I2" s="1" t="n">
        <v>1</v>
      </c>
    </row>
    <row r="3" customFormat="false" ht="15" hidden="false" customHeight="false" outlineLevel="0" collapsed="false">
      <c r="A3" s="1" t="n">
        <v>2</v>
      </c>
      <c r="B3" s="2"/>
      <c r="C3" s="1" t="s">
        <v>121</v>
      </c>
      <c r="D3" s="1" t="s">
        <v>160</v>
      </c>
      <c r="E3" s="1" t="s">
        <v>161</v>
      </c>
      <c r="F3" s="1" t="n">
        <v>4</v>
      </c>
      <c r="G3" s="1" t="n">
        <f aca="false">AVERAGE(F3:F5)</f>
        <v>7.66666666666667</v>
      </c>
      <c r="H3" s="1" t="n">
        <v>9</v>
      </c>
      <c r="I3" s="1" t="n">
        <f aca="false">MAX(H3,G3)</f>
        <v>9</v>
      </c>
    </row>
    <row r="4" customFormat="false" ht="15" hidden="false" customHeight="false" outlineLevel="0" collapsed="false">
      <c r="C4" s="1" t="s">
        <v>121</v>
      </c>
      <c r="D4" s="1" t="s">
        <v>160</v>
      </c>
      <c r="E4" s="1" t="s">
        <v>162</v>
      </c>
      <c r="F4" s="1" t="n">
        <v>9</v>
      </c>
    </row>
    <row r="5" customFormat="false" ht="15" hidden="false" customHeight="false" outlineLevel="0" collapsed="false">
      <c r="C5" s="1" t="s">
        <v>121</v>
      </c>
      <c r="D5" s="1" t="s">
        <v>160</v>
      </c>
      <c r="E5" s="1" t="s">
        <v>163</v>
      </c>
      <c r="F5" s="1" t="n">
        <v>10</v>
      </c>
    </row>
    <row r="6" customFormat="false" ht="15" hidden="false" customHeight="false" outlineLevel="0" collapsed="false">
      <c r="A6" s="1" t="n">
        <v>3</v>
      </c>
      <c r="B6" s="13" t="s">
        <v>122</v>
      </c>
      <c r="C6" s="1" t="s">
        <v>122</v>
      </c>
      <c r="D6" s="1" t="s">
        <v>164</v>
      </c>
      <c r="E6" s="1" t="s">
        <v>165</v>
      </c>
      <c r="F6" s="1" t="n">
        <v>9</v>
      </c>
      <c r="G6" s="1" t="n">
        <f aca="false">AVERAGE(F6:F9)</f>
        <v>6.25</v>
      </c>
      <c r="H6" s="1" t="n">
        <v>9</v>
      </c>
      <c r="I6" s="1" t="n">
        <f aca="false">MAX(H6,G6)</f>
        <v>9</v>
      </c>
    </row>
    <row r="7" customFormat="false" ht="15" hidden="false" customHeight="false" outlineLevel="0" collapsed="false">
      <c r="C7" s="1" t="s">
        <v>122</v>
      </c>
      <c r="D7" s="1" t="s">
        <v>164</v>
      </c>
      <c r="E7" s="1" t="s">
        <v>166</v>
      </c>
      <c r="F7" s="1" t="n">
        <v>8</v>
      </c>
    </row>
    <row r="8" customFormat="false" ht="15" hidden="false" customHeight="false" outlineLevel="0" collapsed="false">
      <c r="C8" s="1" t="s">
        <v>122</v>
      </c>
      <c r="D8" s="1" t="s">
        <v>164</v>
      </c>
      <c r="E8" s="1" t="s">
        <v>167</v>
      </c>
      <c r="F8" s="1" t="n">
        <v>6</v>
      </c>
    </row>
    <row r="9" customFormat="false" ht="15" hidden="false" customHeight="false" outlineLevel="0" collapsed="false">
      <c r="C9" s="1" t="s">
        <v>122</v>
      </c>
      <c r="D9" s="1" t="s">
        <v>164</v>
      </c>
      <c r="E9" s="1" t="s">
        <v>168</v>
      </c>
      <c r="F9" s="1" t="n">
        <v>2</v>
      </c>
    </row>
    <row r="10" customFormat="false" ht="15" hidden="false" customHeight="false" outlineLevel="0" collapsed="false">
      <c r="A10" s="1" t="n">
        <v>4</v>
      </c>
      <c r="B10" s="2" t="s">
        <v>123</v>
      </c>
      <c r="C10" s="1" t="s">
        <v>123</v>
      </c>
      <c r="D10" s="1" t="s">
        <v>169</v>
      </c>
      <c r="E10" s="1" t="s">
        <v>170</v>
      </c>
      <c r="F10" s="1" t="n">
        <v>7</v>
      </c>
      <c r="G10" s="1" t="n">
        <f aca="false">AVERAGE(F10:F11)</f>
        <v>7</v>
      </c>
      <c r="H10" s="1" t="n">
        <v>7</v>
      </c>
      <c r="I10" s="1" t="n">
        <f aca="false">MAX(H10,G10)</f>
        <v>7</v>
      </c>
    </row>
    <row r="11" customFormat="false" ht="15" hidden="false" customHeight="false" outlineLevel="0" collapsed="false">
      <c r="C11" s="1" t="s">
        <v>123</v>
      </c>
      <c r="D11" s="1" t="s">
        <v>169</v>
      </c>
      <c r="E11" s="1" t="s">
        <v>171</v>
      </c>
      <c r="F11" s="1" t="n">
        <v>7</v>
      </c>
    </row>
    <row r="12" customFormat="false" ht="15" hidden="false" customHeight="false" outlineLevel="0" collapsed="false">
      <c r="A12" s="1" t="n">
        <v>5</v>
      </c>
      <c r="B12" s="2" t="s">
        <v>124</v>
      </c>
      <c r="C12" s="1" t="s">
        <v>124</v>
      </c>
      <c r="D12" s="1" t="s">
        <v>172</v>
      </c>
      <c r="E12" s="1" t="s">
        <v>173</v>
      </c>
      <c r="F12" s="1" t="n">
        <v>8</v>
      </c>
      <c r="I12" s="1" t="n">
        <v>8</v>
      </c>
    </row>
    <row r="13" customFormat="false" ht="15" hidden="false" customHeight="false" outlineLevel="0" collapsed="false">
      <c r="A13" s="1" t="n">
        <v>6</v>
      </c>
      <c r="B13" s="2" t="s">
        <v>125</v>
      </c>
      <c r="C13" s="1" t="s">
        <v>125</v>
      </c>
      <c r="D13" s="1" t="s">
        <v>174</v>
      </c>
      <c r="E13" s="1" t="s">
        <v>175</v>
      </c>
      <c r="F13" s="1" t="n">
        <v>10</v>
      </c>
      <c r="I13" s="1" t="n">
        <v>10</v>
      </c>
    </row>
    <row r="14" customFormat="false" ht="15" hidden="false" customHeight="false" outlineLevel="0" collapsed="false">
      <c r="A14" s="1" t="n">
        <v>7</v>
      </c>
      <c r="B14" s="2" t="s">
        <v>126</v>
      </c>
      <c r="F14" s="1" t="n">
        <v>1</v>
      </c>
      <c r="I14" s="1" t="n">
        <v>1</v>
      </c>
    </row>
    <row r="15" customFormat="false" ht="15" hidden="false" customHeight="false" outlineLevel="0" collapsed="false">
      <c r="A15" s="1" t="n">
        <v>8</v>
      </c>
      <c r="B15" s="13" t="s">
        <v>127</v>
      </c>
      <c r="C15" s="1" t="s">
        <v>127</v>
      </c>
      <c r="D15" s="1" t="s">
        <v>176</v>
      </c>
      <c r="E15" s="1" t="s">
        <v>177</v>
      </c>
      <c r="F15" s="1" t="n">
        <v>2</v>
      </c>
      <c r="G15" s="1" t="n">
        <f aca="false">AVERAGE(F15:F25)</f>
        <v>7.63636363636364</v>
      </c>
      <c r="H15" s="1" t="n">
        <v>9</v>
      </c>
      <c r="I15" s="1" t="n">
        <f aca="false">MAX(H15,G15)</f>
        <v>9</v>
      </c>
    </row>
    <row r="16" customFormat="false" ht="15" hidden="false" customHeight="false" outlineLevel="0" collapsed="false">
      <c r="C16" s="1" t="s">
        <v>127</v>
      </c>
      <c r="D16" s="1" t="s">
        <v>176</v>
      </c>
      <c r="E16" s="1" t="s">
        <v>178</v>
      </c>
      <c r="F16" s="1" t="n">
        <v>5</v>
      </c>
    </row>
    <row r="17" customFormat="false" ht="15" hidden="false" customHeight="false" outlineLevel="0" collapsed="false">
      <c r="C17" s="1" t="s">
        <v>127</v>
      </c>
      <c r="D17" s="1" t="s">
        <v>176</v>
      </c>
      <c r="E17" s="1" t="s">
        <v>179</v>
      </c>
      <c r="F17" s="1" t="n">
        <v>7</v>
      </c>
    </row>
    <row r="18" customFormat="false" ht="15" hidden="false" customHeight="false" outlineLevel="0" collapsed="false">
      <c r="C18" s="1" t="s">
        <v>127</v>
      </c>
      <c r="D18" s="1" t="s">
        <v>176</v>
      </c>
      <c r="E18" s="1" t="s">
        <v>180</v>
      </c>
      <c r="F18" s="1" t="n">
        <v>8</v>
      </c>
    </row>
    <row r="19" customFormat="false" ht="15" hidden="false" customHeight="false" outlineLevel="0" collapsed="false">
      <c r="C19" s="1" t="s">
        <v>127</v>
      </c>
      <c r="D19" s="1" t="s">
        <v>176</v>
      </c>
      <c r="E19" s="1" t="s">
        <v>180</v>
      </c>
      <c r="F19" s="1" t="n">
        <v>8</v>
      </c>
    </row>
    <row r="20" customFormat="false" ht="15" hidden="false" customHeight="false" outlineLevel="0" collapsed="false">
      <c r="C20" s="1" t="s">
        <v>127</v>
      </c>
      <c r="D20" s="1" t="s">
        <v>176</v>
      </c>
      <c r="E20" s="1" t="s">
        <v>181</v>
      </c>
      <c r="F20" s="1" t="n">
        <v>8</v>
      </c>
    </row>
    <row r="21" customFormat="false" ht="15" hidden="false" customHeight="false" outlineLevel="0" collapsed="false">
      <c r="C21" s="1" t="s">
        <v>127</v>
      </c>
      <c r="D21" s="1" t="s">
        <v>176</v>
      </c>
      <c r="E21" s="1" t="s">
        <v>182</v>
      </c>
      <c r="F21" s="1" t="n">
        <v>9</v>
      </c>
    </row>
    <row r="22" customFormat="false" ht="15" hidden="false" customHeight="false" outlineLevel="0" collapsed="false">
      <c r="C22" s="1" t="s">
        <v>127</v>
      </c>
      <c r="D22" s="1" t="s">
        <v>176</v>
      </c>
      <c r="E22" s="1" t="s">
        <v>183</v>
      </c>
      <c r="F22" s="1" t="n">
        <v>9</v>
      </c>
    </row>
    <row r="23" customFormat="false" ht="15" hidden="false" customHeight="false" outlineLevel="0" collapsed="false">
      <c r="C23" s="1" t="s">
        <v>127</v>
      </c>
      <c r="D23" s="1" t="s">
        <v>176</v>
      </c>
      <c r="E23" s="1" t="s">
        <v>184</v>
      </c>
      <c r="F23" s="1" t="n">
        <v>9</v>
      </c>
    </row>
    <row r="24" customFormat="false" ht="15" hidden="false" customHeight="false" outlineLevel="0" collapsed="false">
      <c r="C24" s="1" t="s">
        <v>127</v>
      </c>
      <c r="D24" s="1" t="s">
        <v>176</v>
      </c>
      <c r="E24" s="1" t="s">
        <v>185</v>
      </c>
      <c r="F24" s="1" t="n">
        <v>9</v>
      </c>
    </row>
    <row r="25" customFormat="false" ht="15" hidden="false" customHeight="false" outlineLevel="0" collapsed="false">
      <c r="C25" s="1" t="s">
        <v>127</v>
      </c>
      <c r="D25" s="1" t="s">
        <v>176</v>
      </c>
      <c r="E25" s="1" t="s">
        <v>166</v>
      </c>
      <c r="F25" s="1" t="n">
        <v>10</v>
      </c>
    </row>
    <row r="26" customFormat="false" ht="15" hidden="false" customHeight="false" outlineLevel="0" collapsed="false">
      <c r="A26" s="1" t="n">
        <v>9</v>
      </c>
      <c r="B26" s="2" t="s">
        <v>128</v>
      </c>
      <c r="C26" s="1" t="s">
        <v>128</v>
      </c>
      <c r="D26" s="1" t="s">
        <v>186</v>
      </c>
      <c r="E26" s="1" t="s">
        <v>147</v>
      </c>
      <c r="F26" s="1" t="n">
        <v>3</v>
      </c>
      <c r="G26" s="1" t="n">
        <f aca="false">AVERAGE(F26:F28)</f>
        <v>3.33333333333333</v>
      </c>
      <c r="H26" s="1" t="n">
        <v>3</v>
      </c>
      <c r="I26" s="1" t="n">
        <f aca="false">ROUND(MAX(H26,G26),0)</f>
        <v>3</v>
      </c>
    </row>
    <row r="27" customFormat="false" ht="15" hidden="false" customHeight="false" outlineLevel="0" collapsed="false">
      <c r="C27" s="1" t="s">
        <v>128</v>
      </c>
      <c r="D27" s="1" t="s">
        <v>186</v>
      </c>
      <c r="E27" s="1" t="s">
        <v>187</v>
      </c>
      <c r="F27" s="1" t="n">
        <v>3</v>
      </c>
    </row>
    <row r="28" customFormat="false" ht="15" hidden="false" customHeight="false" outlineLevel="0" collapsed="false">
      <c r="C28" s="1" t="s">
        <v>128</v>
      </c>
      <c r="D28" s="1" t="s">
        <v>186</v>
      </c>
      <c r="E28" s="1" t="s">
        <v>188</v>
      </c>
      <c r="F28" s="1" t="n">
        <v>4</v>
      </c>
    </row>
    <row r="29" customFormat="false" ht="15" hidden="false" customHeight="false" outlineLevel="0" collapsed="false">
      <c r="A29" s="1" t="n">
        <v>10</v>
      </c>
      <c r="B29" s="2" t="s">
        <v>129</v>
      </c>
      <c r="C29" s="1" t="s">
        <v>129</v>
      </c>
      <c r="D29" s="1" t="s">
        <v>189</v>
      </c>
      <c r="E29" s="1" t="s">
        <v>190</v>
      </c>
      <c r="F29" s="1" t="n">
        <v>6</v>
      </c>
      <c r="G29" s="1" t="n">
        <f aca="false">AVERAGE(F29:F37)</f>
        <v>9.22222222222222</v>
      </c>
      <c r="H29" s="1" t="n">
        <v>9</v>
      </c>
      <c r="I29" s="1" t="n">
        <f aca="false">ROUND(MAX(H29,G29),0)</f>
        <v>9</v>
      </c>
    </row>
    <row r="30" customFormat="false" ht="15" hidden="false" customHeight="false" outlineLevel="0" collapsed="false">
      <c r="C30" s="1" t="s">
        <v>129</v>
      </c>
      <c r="D30" s="1" t="s">
        <v>189</v>
      </c>
      <c r="E30" s="1" t="s">
        <v>191</v>
      </c>
      <c r="F30" s="1" t="n">
        <v>9</v>
      </c>
    </row>
    <row r="31" customFormat="false" ht="15" hidden="false" customHeight="false" outlineLevel="0" collapsed="false">
      <c r="C31" s="1" t="s">
        <v>129</v>
      </c>
      <c r="D31" s="1" t="s">
        <v>189</v>
      </c>
      <c r="E31" s="1" t="s">
        <v>192</v>
      </c>
      <c r="F31" s="1" t="n">
        <v>9</v>
      </c>
    </row>
    <row r="32" customFormat="false" ht="15" hidden="false" customHeight="false" outlineLevel="0" collapsed="false">
      <c r="C32" s="1" t="s">
        <v>129</v>
      </c>
      <c r="D32" s="1" t="s">
        <v>189</v>
      </c>
      <c r="E32" s="1" t="s">
        <v>193</v>
      </c>
      <c r="F32" s="1" t="n">
        <v>9</v>
      </c>
    </row>
    <row r="33" customFormat="false" ht="15" hidden="false" customHeight="false" outlineLevel="0" collapsed="false">
      <c r="C33" s="1" t="s">
        <v>129</v>
      </c>
      <c r="D33" s="1" t="s">
        <v>189</v>
      </c>
      <c r="E33" s="1" t="s">
        <v>194</v>
      </c>
      <c r="F33" s="1" t="n">
        <v>10</v>
      </c>
    </row>
    <row r="34" customFormat="false" ht="15" hidden="false" customHeight="false" outlineLevel="0" collapsed="false">
      <c r="C34" s="1" t="s">
        <v>129</v>
      </c>
      <c r="D34" s="1" t="s">
        <v>189</v>
      </c>
      <c r="E34" s="1" t="s">
        <v>195</v>
      </c>
      <c r="F34" s="1" t="n">
        <v>10</v>
      </c>
    </row>
    <row r="35" customFormat="false" ht="15" hidden="false" customHeight="false" outlineLevel="0" collapsed="false">
      <c r="C35" s="1" t="s">
        <v>129</v>
      </c>
      <c r="D35" s="1" t="s">
        <v>189</v>
      </c>
      <c r="E35" s="1" t="s">
        <v>196</v>
      </c>
      <c r="F35" s="1" t="n">
        <v>10</v>
      </c>
    </row>
    <row r="36" customFormat="false" ht="15" hidden="false" customHeight="false" outlineLevel="0" collapsed="false">
      <c r="C36" s="1" t="s">
        <v>129</v>
      </c>
      <c r="D36" s="1" t="s">
        <v>189</v>
      </c>
      <c r="E36" s="1" t="s">
        <v>181</v>
      </c>
      <c r="F36" s="1" t="n">
        <v>10</v>
      </c>
    </row>
    <row r="37" customFormat="false" ht="15" hidden="false" customHeight="false" outlineLevel="0" collapsed="false">
      <c r="C37" s="1" t="s">
        <v>129</v>
      </c>
      <c r="D37" s="1" t="s">
        <v>189</v>
      </c>
      <c r="E37" s="1" t="s">
        <v>197</v>
      </c>
      <c r="F37" s="1" t="n">
        <v>10</v>
      </c>
    </row>
    <row r="38" customFormat="false" ht="15" hidden="false" customHeight="false" outlineLevel="0" collapsed="false">
      <c r="A38" s="1" t="n">
        <v>11</v>
      </c>
      <c r="B38" s="2" t="s">
        <v>130</v>
      </c>
      <c r="C38" s="1" t="s">
        <v>130</v>
      </c>
      <c r="D38" s="1" t="s">
        <v>198</v>
      </c>
      <c r="E38" s="1" t="s">
        <v>183</v>
      </c>
      <c r="F38" s="1" t="n">
        <v>7</v>
      </c>
      <c r="G38" s="1" t="n">
        <f aca="false">AVERAGE(F38:F39)</f>
        <v>7.5</v>
      </c>
      <c r="H38" s="1" t="n">
        <v>9</v>
      </c>
      <c r="I38" s="1" t="n">
        <f aca="false">MAX(H38,G38)</f>
        <v>9</v>
      </c>
    </row>
    <row r="39" customFormat="false" ht="15" hidden="false" customHeight="false" outlineLevel="0" collapsed="false">
      <c r="C39" s="1" t="s">
        <v>130</v>
      </c>
      <c r="D39" s="1" t="s">
        <v>198</v>
      </c>
      <c r="E39" s="1" t="s">
        <v>199</v>
      </c>
      <c r="F39" s="1" t="n">
        <v>8</v>
      </c>
    </row>
    <row r="40" customFormat="false" ht="15" hidden="false" customHeight="false" outlineLevel="0" collapsed="false">
      <c r="A40" s="1" t="n">
        <v>12</v>
      </c>
      <c r="B40" s="13" t="s">
        <v>131</v>
      </c>
      <c r="C40" s="1" t="s">
        <v>131</v>
      </c>
      <c r="D40" s="1" t="s">
        <v>200</v>
      </c>
      <c r="E40" s="1" t="s">
        <v>201</v>
      </c>
      <c r="F40" s="1" t="n">
        <v>8</v>
      </c>
      <c r="I40" s="1" t="n">
        <v>8</v>
      </c>
    </row>
    <row r="41" customFormat="false" ht="15" hidden="false" customHeight="false" outlineLevel="0" collapsed="false">
      <c r="A41" s="1" t="n">
        <v>13</v>
      </c>
      <c r="B41" s="2" t="s">
        <v>132</v>
      </c>
      <c r="C41" s="1" t="s">
        <v>132</v>
      </c>
      <c r="D41" s="1" t="s">
        <v>47</v>
      </c>
      <c r="E41" s="1" t="s">
        <v>202</v>
      </c>
      <c r="F41" s="1" t="n">
        <v>7</v>
      </c>
      <c r="G41" s="1" t="n">
        <f aca="false">AVERAGE(F41:F44)</f>
        <v>8</v>
      </c>
      <c r="H41" s="1" t="n">
        <v>8</v>
      </c>
      <c r="I41" s="1" t="n">
        <f aca="false">MAX(H41,G41)</f>
        <v>8</v>
      </c>
    </row>
    <row r="42" customFormat="false" ht="15" hidden="false" customHeight="false" outlineLevel="0" collapsed="false">
      <c r="C42" s="1" t="s">
        <v>132</v>
      </c>
      <c r="D42" s="1" t="s">
        <v>47</v>
      </c>
      <c r="E42" s="1" t="s">
        <v>203</v>
      </c>
      <c r="F42" s="1" t="n">
        <v>7</v>
      </c>
    </row>
    <row r="43" customFormat="false" ht="15" hidden="false" customHeight="false" outlineLevel="0" collapsed="false">
      <c r="C43" s="1" t="s">
        <v>132</v>
      </c>
      <c r="D43" s="1" t="s">
        <v>47</v>
      </c>
      <c r="E43" s="1" t="s">
        <v>151</v>
      </c>
      <c r="F43" s="1" t="n">
        <v>8</v>
      </c>
    </row>
    <row r="44" customFormat="false" ht="15" hidden="false" customHeight="false" outlineLevel="0" collapsed="false">
      <c r="C44" s="1" t="s">
        <v>132</v>
      </c>
      <c r="D44" s="1" t="s">
        <v>47</v>
      </c>
      <c r="E44" s="1" t="s">
        <v>204</v>
      </c>
      <c r="F44" s="1" t="n">
        <v>10</v>
      </c>
    </row>
    <row r="45" customFormat="false" ht="15" hidden="false" customHeight="false" outlineLevel="0" collapsed="false">
      <c r="A45" s="1" t="n">
        <v>14</v>
      </c>
      <c r="B45" s="14" t="s">
        <v>133</v>
      </c>
      <c r="C45" s="1" t="s">
        <v>133</v>
      </c>
      <c r="D45" s="1" t="s">
        <v>205</v>
      </c>
      <c r="E45" s="1" t="s">
        <v>206</v>
      </c>
      <c r="F45" s="1" t="n">
        <v>10</v>
      </c>
      <c r="I45" s="1" t="n">
        <v>10</v>
      </c>
    </row>
    <row r="46" customFormat="false" ht="15" hidden="false" customHeight="false" outlineLevel="0" collapsed="false">
      <c r="A46" s="1" t="n">
        <v>15</v>
      </c>
      <c r="B46" s="2" t="s">
        <v>134</v>
      </c>
      <c r="C46" s="1" t="s">
        <v>134</v>
      </c>
      <c r="D46" s="1" t="s">
        <v>207</v>
      </c>
      <c r="E46" s="1" t="s">
        <v>208</v>
      </c>
      <c r="F46" s="1" t="n">
        <v>9</v>
      </c>
      <c r="I46" s="1" t="n">
        <v>9</v>
      </c>
    </row>
    <row r="47" customFormat="false" ht="15" hidden="false" customHeight="false" outlineLevel="0" collapsed="false">
      <c r="A47" s="1" t="n">
        <v>16</v>
      </c>
      <c r="B47" s="13" t="s">
        <v>135</v>
      </c>
      <c r="C47" s="1" t="s">
        <v>135</v>
      </c>
      <c r="D47" s="1" t="s">
        <v>209</v>
      </c>
      <c r="E47" s="1" t="s">
        <v>149</v>
      </c>
      <c r="F47" s="1" t="n">
        <v>8</v>
      </c>
      <c r="I47" s="1" t="n">
        <v>8</v>
      </c>
    </row>
    <row r="48" customFormat="false" ht="15" hidden="false" customHeight="false" outlineLevel="0" collapsed="false">
      <c r="A48" s="1" t="n">
        <v>17</v>
      </c>
      <c r="B48" s="2" t="s">
        <v>136</v>
      </c>
      <c r="C48" s="1" t="s">
        <v>136</v>
      </c>
      <c r="D48" s="1" t="s">
        <v>210</v>
      </c>
      <c r="E48" s="1" t="s">
        <v>159</v>
      </c>
      <c r="F48" s="1" t="n">
        <v>6</v>
      </c>
      <c r="G48" s="1" t="n">
        <f aca="false">AVERAGE(F48:F52)</f>
        <v>7.4</v>
      </c>
      <c r="H48" s="1" t="n">
        <v>8</v>
      </c>
      <c r="I48" s="1" t="n">
        <f aca="false">MAX(H48,G48)</f>
        <v>8</v>
      </c>
    </row>
    <row r="49" customFormat="false" ht="15" hidden="false" customHeight="false" outlineLevel="0" collapsed="false">
      <c r="C49" s="1" t="s">
        <v>136</v>
      </c>
      <c r="D49" s="1" t="s">
        <v>210</v>
      </c>
      <c r="E49" s="1" t="s">
        <v>155</v>
      </c>
      <c r="F49" s="1" t="n">
        <v>7</v>
      </c>
    </row>
    <row r="50" customFormat="false" ht="15" hidden="false" customHeight="false" outlineLevel="0" collapsed="false">
      <c r="C50" s="1" t="s">
        <v>136</v>
      </c>
      <c r="D50" s="1" t="s">
        <v>210</v>
      </c>
      <c r="E50" s="1" t="s">
        <v>157</v>
      </c>
      <c r="F50" s="1" t="n">
        <v>7</v>
      </c>
    </row>
    <row r="51" customFormat="false" ht="15" hidden="false" customHeight="false" outlineLevel="0" collapsed="false">
      <c r="C51" s="1" t="s">
        <v>136</v>
      </c>
      <c r="D51" s="1" t="s">
        <v>210</v>
      </c>
      <c r="E51" s="1" t="s">
        <v>153</v>
      </c>
      <c r="F51" s="1" t="n">
        <v>8</v>
      </c>
    </row>
    <row r="52" customFormat="false" ht="15" hidden="false" customHeight="false" outlineLevel="0" collapsed="false">
      <c r="C52" s="1" t="s">
        <v>136</v>
      </c>
      <c r="D52" s="1" t="s">
        <v>210</v>
      </c>
      <c r="E52" s="1" t="s">
        <v>151</v>
      </c>
      <c r="F52" s="1" t="n">
        <v>9</v>
      </c>
    </row>
    <row r="53" customFormat="false" ht="15" hidden="false" customHeight="false" outlineLevel="0" collapsed="false">
      <c r="A53" s="1" t="n">
        <v>18</v>
      </c>
      <c r="B53" s="2" t="s">
        <v>137</v>
      </c>
      <c r="C53" s="1" t="s">
        <v>137</v>
      </c>
      <c r="D53" s="1" t="s">
        <v>211</v>
      </c>
      <c r="E53" s="1" t="s">
        <v>212</v>
      </c>
      <c r="F53" s="1" t="n">
        <v>10</v>
      </c>
      <c r="I53" s="1" t="n">
        <v>10</v>
      </c>
    </row>
    <row r="54" customFormat="false" ht="15" hidden="false" customHeight="false" outlineLevel="0" collapsed="false">
      <c r="A54" s="1" t="n">
        <v>19</v>
      </c>
      <c r="B54" s="2" t="s">
        <v>138</v>
      </c>
      <c r="C54" s="1" t="s">
        <v>138</v>
      </c>
      <c r="D54" s="1" t="s">
        <v>213</v>
      </c>
      <c r="E54" s="1" t="s">
        <v>214</v>
      </c>
      <c r="F54" s="1" t="n">
        <v>9</v>
      </c>
      <c r="I54" s="1" t="n">
        <v>9</v>
      </c>
    </row>
    <row r="55" customFormat="false" ht="15" hidden="false" customHeight="false" outlineLevel="0" collapsed="false">
      <c r="A55" s="1" t="n">
        <v>20</v>
      </c>
      <c r="B55" s="2" t="s">
        <v>139</v>
      </c>
      <c r="F55" s="1" t="n">
        <v>1</v>
      </c>
      <c r="I55" s="1" t="n">
        <v>1</v>
      </c>
    </row>
    <row r="56" customFormat="false" ht="15" hidden="false" customHeight="false" outlineLevel="0" collapsed="false">
      <c r="A56" s="1" t="n">
        <v>21</v>
      </c>
      <c r="B56" s="14" t="s">
        <v>140</v>
      </c>
      <c r="C56" s="1" t="s">
        <v>140</v>
      </c>
      <c r="D56" s="1" t="s">
        <v>169</v>
      </c>
      <c r="E56" s="1" t="s">
        <v>215</v>
      </c>
      <c r="F56" s="1" t="n">
        <v>3</v>
      </c>
      <c r="G56" s="1" t="n">
        <f aca="false">AVERAGE(F56:F61)</f>
        <v>6.66666666666667</v>
      </c>
      <c r="H56" s="1" t="n">
        <v>7</v>
      </c>
      <c r="I56" s="1" t="n">
        <f aca="false">MAX(H56,G56)</f>
        <v>7</v>
      </c>
    </row>
    <row r="57" customFormat="false" ht="15" hidden="false" customHeight="false" outlineLevel="0" collapsed="false">
      <c r="C57" s="1" t="s">
        <v>140</v>
      </c>
      <c r="D57" s="1" t="s">
        <v>169</v>
      </c>
      <c r="E57" s="1" t="s">
        <v>216</v>
      </c>
      <c r="F57" s="1" t="n">
        <v>6</v>
      </c>
    </row>
    <row r="58" customFormat="false" ht="15" hidden="false" customHeight="false" outlineLevel="0" collapsed="false">
      <c r="C58" s="1" t="s">
        <v>140</v>
      </c>
      <c r="D58" s="1" t="s">
        <v>169</v>
      </c>
      <c r="E58" s="1" t="s">
        <v>217</v>
      </c>
      <c r="F58" s="1" t="n">
        <v>6</v>
      </c>
    </row>
    <row r="59" customFormat="false" ht="15" hidden="false" customHeight="false" outlineLevel="0" collapsed="false">
      <c r="C59" s="1" t="s">
        <v>140</v>
      </c>
      <c r="D59" s="1" t="s">
        <v>169</v>
      </c>
      <c r="E59" s="1" t="s">
        <v>218</v>
      </c>
      <c r="F59" s="1" t="n">
        <v>7</v>
      </c>
    </row>
    <row r="60" customFormat="false" ht="15" hidden="false" customHeight="false" outlineLevel="0" collapsed="false">
      <c r="C60" s="1" t="s">
        <v>140</v>
      </c>
      <c r="D60" s="1" t="s">
        <v>169</v>
      </c>
      <c r="E60" s="1" t="s">
        <v>219</v>
      </c>
      <c r="F60" s="1" t="n">
        <v>9</v>
      </c>
    </row>
    <row r="61" customFormat="false" ht="15" hidden="false" customHeight="false" outlineLevel="0" collapsed="false">
      <c r="C61" s="1" t="s">
        <v>140</v>
      </c>
      <c r="D61" s="1" t="s">
        <v>169</v>
      </c>
      <c r="E61" s="1" t="s">
        <v>220</v>
      </c>
      <c r="F61" s="1" t="n">
        <v>9</v>
      </c>
    </row>
    <row r="62" customFormat="false" ht="15" hidden="false" customHeight="false" outlineLevel="0" collapsed="false">
      <c r="H62" s="1" t="s">
        <v>86</v>
      </c>
      <c r="I62" s="1" t="n">
        <f aca="false">COUNTIF(I2:I61,"&gt;0")</f>
        <v>21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7"/>
  <sheetViews>
    <sheetView showFormulas="false" showGridLines="true" showRowColHeaders="true" showZeros="true" rightToLeft="false" tabSelected="false" showOutlineSymbols="true" defaultGridColor="true" view="normal" topLeftCell="A16" colorId="64" zoomScale="95" zoomScaleNormal="95" zoomScalePageLayoutView="100" workbookViewId="0">
      <selection pane="topLeft" activeCell="H27" activeCellId="0" sqref="H27"/>
    </sheetView>
  </sheetViews>
  <sheetFormatPr defaultColWidth="9.58203125" defaultRowHeight="15" zeroHeight="false" outlineLevelRow="0" outlineLevelCol="0"/>
  <cols>
    <col collapsed="false" customWidth="true" hidden="false" outlineLevel="0" max="1" min="1" style="1" width="4.43"/>
    <col collapsed="false" customWidth="true" hidden="false" outlineLevel="0" max="2" min="2" style="1" width="13.43"/>
    <col collapsed="false" customWidth="true" hidden="false" outlineLevel="0" max="3" min="3" style="1" width="12.64"/>
    <col collapsed="false" customWidth="true" hidden="false" outlineLevel="0" max="4" min="4" style="1" width="21.64"/>
    <col collapsed="false" customWidth="true" hidden="false" outlineLevel="0" max="5" min="5" style="1" width="21.19"/>
    <col collapsed="false" customWidth="true" hidden="false" outlineLevel="0" max="6" min="6" style="1" width="16.12"/>
  </cols>
  <sheetData>
    <row r="1" customFormat="false" ht="15" hidden="false" customHeight="false" outlineLevel="0" collapsed="false">
      <c r="A1" s="1" t="s">
        <v>0</v>
      </c>
      <c r="B1" s="2" t="s">
        <v>2</v>
      </c>
      <c r="C1" s="1" t="s">
        <v>2</v>
      </c>
      <c r="D1" s="1" t="s">
        <v>141</v>
      </c>
      <c r="E1" s="1" t="s">
        <v>142</v>
      </c>
      <c r="F1" s="1" t="s">
        <v>143</v>
      </c>
      <c r="G1" s="1" t="s">
        <v>100</v>
      </c>
      <c r="H1" s="1" t="s">
        <v>144</v>
      </c>
      <c r="I1" s="1" t="s">
        <v>145</v>
      </c>
    </row>
    <row r="2" customFormat="false" ht="15" hidden="false" customHeight="false" outlineLevel="0" collapsed="false">
      <c r="A2" s="1" t="n">
        <v>1</v>
      </c>
      <c r="B2" s="2" t="s">
        <v>120</v>
      </c>
      <c r="F2" s="1" t="n">
        <v>1</v>
      </c>
      <c r="I2" s="1" t="n">
        <v>1</v>
      </c>
    </row>
    <row r="3" customFormat="false" ht="15" hidden="false" customHeight="false" outlineLevel="0" collapsed="false">
      <c r="A3" s="1" t="n">
        <v>2</v>
      </c>
      <c r="B3" s="2" t="s">
        <v>121</v>
      </c>
      <c r="F3" s="1" t="n">
        <v>1</v>
      </c>
      <c r="I3" s="1" t="n">
        <v>1</v>
      </c>
    </row>
    <row r="4" customFormat="false" ht="15" hidden="false" customHeight="false" outlineLevel="0" collapsed="false">
      <c r="A4" s="1" t="n">
        <v>3</v>
      </c>
      <c r="B4" s="2" t="s">
        <v>122</v>
      </c>
      <c r="F4" s="1" t="n">
        <v>1</v>
      </c>
      <c r="I4" s="1" t="n">
        <v>1</v>
      </c>
    </row>
    <row r="5" customFormat="false" ht="15" hidden="false" customHeight="false" outlineLevel="0" collapsed="false">
      <c r="A5" s="1" t="n">
        <v>4</v>
      </c>
      <c r="B5" s="2" t="s">
        <v>123</v>
      </c>
      <c r="F5" s="1" t="n">
        <v>1</v>
      </c>
      <c r="I5" s="1" t="n">
        <v>1</v>
      </c>
    </row>
    <row r="6" customFormat="false" ht="15" hidden="false" customHeight="false" outlineLevel="0" collapsed="false">
      <c r="A6" s="1" t="n">
        <v>5</v>
      </c>
      <c r="B6" s="2" t="s">
        <v>124</v>
      </c>
      <c r="F6" s="1" t="n">
        <v>1</v>
      </c>
      <c r="I6" s="1" t="n">
        <v>1</v>
      </c>
    </row>
    <row r="7" customFormat="false" ht="15" hidden="false" customHeight="false" outlineLevel="0" collapsed="false">
      <c r="A7" s="1" t="n">
        <v>6</v>
      </c>
      <c r="B7" s="2" t="s">
        <v>125</v>
      </c>
      <c r="F7" s="1" t="n">
        <v>1</v>
      </c>
      <c r="I7" s="1" t="n">
        <v>1</v>
      </c>
    </row>
    <row r="8" customFormat="false" ht="15" hidden="false" customHeight="false" outlineLevel="0" collapsed="false">
      <c r="A8" s="1" t="n">
        <v>7</v>
      </c>
      <c r="B8" s="2" t="s">
        <v>126</v>
      </c>
      <c r="F8" s="1" t="n">
        <v>1</v>
      </c>
      <c r="I8" s="1" t="n">
        <v>1</v>
      </c>
    </row>
    <row r="9" customFormat="false" ht="15" hidden="false" customHeight="false" outlineLevel="0" collapsed="false">
      <c r="A9" s="1" t="n">
        <v>8</v>
      </c>
      <c r="B9" s="2" t="s">
        <v>127</v>
      </c>
      <c r="F9" s="1" t="n">
        <v>1</v>
      </c>
      <c r="I9" s="1" t="n">
        <v>1</v>
      </c>
    </row>
    <row r="10" customFormat="false" ht="15" hidden="false" customHeight="false" outlineLevel="0" collapsed="false">
      <c r="A10" s="1" t="n">
        <v>9</v>
      </c>
      <c r="B10" s="2" t="s">
        <v>128</v>
      </c>
      <c r="F10" s="1" t="n">
        <v>1</v>
      </c>
      <c r="I10" s="1" t="n">
        <v>1</v>
      </c>
    </row>
    <row r="11" customFormat="false" ht="15" hidden="false" customHeight="false" outlineLevel="0" collapsed="false">
      <c r="A11" s="1" t="n">
        <v>10</v>
      </c>
      <c r="B11" s="2" t="s">
        <v>129</v>
      </c>
      <c r="F11" s="1" t="n">
        <v>1</v>
      </c>
      <c r="I11" s="1" t="n">
        <v>1</v>
      </c>
    </row>
    <row r="12" customFormat="false" ht="15" hidden="false" customHeight="false" outlineLevel="0" collapsed="false">
      <c r="A12" s="1" t="n">
        <v>11</v>
      </c>
      <c r="B12" s="2" t="s">
        <v>130</v>
      </c>
      <c r="F12" s="1" t="n">
        <v>1</v>
      </c>
      <c r="I12" s="1" t="n">
        <v>1</v>
      </c>
    </row>
    <row r="13" customFormat="false" ht="15" hidden="false" customHeight="false" outlineLevel="0" collapsed="false">
      <c r="A13" s="1" t="n">
        <v>12</v>
      </c>
      <c r="B13" s="2" t="s">
        <v>131</v>
      </c>
      <c r="F13" s="1" t="n">
        <v>1</v>
      </c>
      <c r="I13" s="1" t="n">
        <v>1</v>
      </c>
    </row>
    <row r="14" customFormat="false" ht="15" hidden="false" customHeight="false" outlineLevel="0" collapsed="false">
      <c r="A14" s="1" t="n">
        <v>13</v>
      </c>
      <c r="B14" s="2" t="s">
        <v>132</v>
      </c>
      <c r="F14" s="1" t="n">
        <v>1</v>
      </c>
      <c r="I14" s="1" t="n">
        <v>1</v>
      </c>
    </row>
    <row r="15" customFormat="false" ht="15" hidden="false" customHeight="false" outlineLevel="0" collapsed="false">
      <c r="A15" s="1" t="n">
        <v>14</v>
      </c>
      <c r="B15" s="2" t="s">
        <v>133</v>
      </c>
      <c r="F15" s="1" t="n">
        <v>1</v>
      </c>
      <c r="I15" s="1" t="n">
        <v>1</v>
      </c>
    </row>
    <row r="16" customFormat="false" ht="15" hidden="false" customHeight="false" outlineLevel="0" collapsed="false">
      <c r="A16" s="1" t="n">
        <v>15</v>
      </c>
      <c r="B16" s="2" t="s">
        <v>134</v>
      </c>
      <c r="F16" s="1" t="n">
        <v>1</v>
      </c>
      <c r="I16" s="1" t="n">
        <v>1</v>
      </c>
    </row>
    <row r="17" customFormat="false" ht="15" hidden="false" customHeight="false" outlineLevel="0" collapsed="false">
      <c r="A17" s="1" t="n">
        <v>16</v>
      </c>
      <c r="B17" s="2" t="s">
        <v>135</v>
      </c>
      <c r="C17" s="1" t="s">
        <v>135</v>
      </c>
      <c r="D17" s="1" t="s">
        <v>221</v>
      </c>
      <c r="E17" s="1" t="s">
        <v>222</v>
      </c>
      <c r="F17" s="1" t="n">
        <v>10</v>
      </c>
      <c r="I17" s="1" t="n">
        <v>10</v>
      </c>
    </row>
    <row r="18" customFormat="false" ht="15" hidden="false" customHeight="false" outlineLevel="0" collapsed="false">
      <c r="A18" s="1" t="n">
        <v>17</v>
      </c>
      <c r="B18" s="2" t="s">
        <v>136</v>
      </c>
      <c r="C18" s="1" t="s">
        <v>136</v>
      </c>
      <c r="D18" s="1" t="s">
        <v>223</v>
      </c>
      <c r="E18" s="1" t="s">
        <v>224</v>
      </c>
      <c r="F18" s="1" t="n">
        <v>10</v>
      </c>
      <c r="G18" s="1" t="n">
        <f aca="false">AVERAGE(F18:F21)</f>
        <v>8.5</v>
      </c>
      <c r="H18" s="1" t="n">
        <v>8</v>
      </c>
      <c r="I18" s="1" t="n">
        <f aca="false">ROUND(MAX(H18,G18),0)</f>
        <v>9</v>
      </c>
    </row>
    <row r="19" customFormat="false" ht="15" hidden="false" customHeight="false" outlineLevel="0" collapsed="false">
      <c r="C19" s="1" t="s">
        <v>136</v>
      </c>
      <c r="D19" s="1" t="s">
        <v>225</v>
      </c>
      <c r="E19" s="1" t="s">
        <v>188</v>
      </c>
      <c r="F19" s="1" t="n">
        <v>8</v>
      </c>
    </row>
    <row r="20" customFormat="false" ht="15" hidden="false" customHeight="false" outlineLevel="0" collapsed="false">
      <c r="C20" s="1" t="s">
        <v>136</v>
      </c>
      <c r="D20" s="1" t="s">
        <v>226</v>
      </c>
      <c r="E20" s="1" t="s">
        <v>227</v>
      </c>
      <c r="F20" s="1" t="n">
        <v>8</v>
      </c>
    </row>
    <row r="21" customFormat="false" ht="15" hidden="false" customHeight="false" outlineLevel="0" collapsed="false">
      <c r="C21" s="1" t="s">
        <v>136</v>
      </c>
      <c r="D21" s="1" t="s">
        <v>228</v>
      </c>
      <c r="E21" s="1" t="s">
        <v>229</v>
      </c>
      <c r="F21" s="1" t="n">
        <v>8</v>
      </c>
    </row>
    <row r="22" customFormat="false" ht="15" hidden="false" customHeight="false" outlineLevel="0" collapsed="false">
      <c r="A22" s="1" t="n">
        <v>18</v>
      </c>
      <c r="B22" s="2" t="s">
        <v>137</v>
      </c>
      <c r="F22" s="1" t="n">
        <v>1</v>
      </c>
      <c r="I22" s="1" t="n">
        <v>1</v>
      </c>
    </row>
    <row r="23" customFormat="false" ht="15" hidden="false" customHeight="false" outlineLevel="0" collapsed="false">
      <c r="A23" s="1" t="n">
        <v>19</v>
      </c>
      <c r="B23" s="2" t="s">
        <v>138</v>
      </c>
      <c r="F23" s="1" t="n">
        <v>1</v>
      </c>
      <c r="I23" s="1" t="n">
        <v>1</v>
      </c>
    </row>
    <row r="24" customFormat="false" ht="15" hidden="false" customHeight="false" outlineLevel="0" collapsed="false">
      <c r="A24" s="1" t="n">
        <v>20</v>
      </c>
      <c r="B24" s="2" t="s">
        <v>115</v>
      </c>
      <c r="F24" s="1" t="n">
        <v>1</v>
      </c>
      <c r="I24" s="1" t="n">
        <v>1</v>
      </c>
    </row>
    <row r="25" customFormat="false" ht="15" hidden="false" customHeight="false" outlineLevel="0" collapsed="false">
      <c r="A25" s="1" t="n">
        <v>21</v>
      </c>
      <c r="B25" s="2" t="s">
        <v>139</v>
      </c>
      <c r="F25" s="1" t="n">
        <v>1</v>
      </c>
      <c r="I25" s="1" t="n">
        <v>1</v>
      </c>
    </row>
    <row r="26" customFormat="false" ht="15" hidden="false" customHeight="false" outlineLevel="0" collapsed="false">
      <c r="A26" s="1" t="n">
        <v>22</v>
      </c>
      <c r="B26" s="2" t="s">
        <v>140</v>
      </c>
      <c r="F26" s="1" t="n">
        <v>1</v>
      </c>
      <c r="I26" s="1" t="n">
        <v>1</v>
      </c>
    </row>
    <row r="27" customFormat="false" ht="15" hidden="false" customHeight="false" outlineLevel="0" collapsed="false">
      <c r="H27" s="1" t="s">
        <v>86</v>
      </c>
      <c r="I27" s="1" t="n">
        <f aca="false">COUNTIF(I1:I26,"&gt;0")</f>
        <v>22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5"/>
  <sheetViews>
    <sheetView showFormulas="false" showGridLines="true" showRowColHeaders="true" showZeros="true" rightToLeft="false" tabSelected="false" showOutlineSymbols="true" defaultGridColor="true" view="normal" topLeftCell="C23" colorId="64" zoomScale="95" zoomScaleNormal="95" zoomScalePageLayoutView="100" workbookViewId="0">
      <selection pane="topLeft" activeCell="I46" activeCellId="0" sqref="I46"/>
    </sheetView>
  </sheetViews>
  <sheetFormatPr defaultColWidth="9.43359375" defaultRowHeight="12.8" zeroHeight="false" outlineLevelRow="0" outlineLevelCol="0"/>
  <cols>
    <col collapsed="false" customWidth="true" hidden="false" outlineLevel="0" max="2" min="2" style="1" width="13.43"/>
    <col collapsed="false" customWidth="true" hidden="false" outlineLevel="0" max="3" min="3" style="1" width="12.64"/>
    <col collapsed="false" customWidth="true" hidden="false" outlineLevel="0" max="4" min="4" style="1" width="17.14"/>
    <col collapsed="false" customWidth="true" hidden="false" outlineLevel="0" max="5" min="5" style="1" width="22.2"/>
  </cols>
  <sheetData>
    <row r="1" customFormat="false" ht="15" hidden="false" customHeight="false" outlineLevel="0" collapsed="false">
      <c r="C1" s="1" t="s">
        <v>2</v>
      </c>
      <c r="D1" s="1" t="s">
        <v>1</v>
      </c>
      <c r="E1" s="1" t="s">
        <v>142</v>
      </c>
      <c r="F1" s="1" t="s">
        <v>143</v>
      </c>
      <c r="G1" s="1" t="s">
        <v>100</v>
      </c>
      <c r="H1" s="1" t="s">
        <v>230</v>
      </c>
      <c r="I1" s="1" t="s">
        <v>145</v>
      </c>
    </row>
    <row r="2" customFormat="false" ht="15" hidden="false" customHeight="false" outlineLevel="0" collapsed="false">
      <c r="A2" s="1" t="n">
        <v>1</v>
      </c>
      <c r="B2" s="2" t="s">
        <v>120</v>
      </c>
      <c r="F2" s="1" t="n">
        <v>1</v>
      </c>
      <c r="I2" s="1" t="n">
        <v>1</v>
      </c>
    </row>
    <row r="3" customFormat="false" ht="15" hidden="false" customHeight="false" outlineLevel="0" collapsed="false">
      <c r="A3" s="1" t="n">
        <v>2</v>
      </c>
      <c r="B3" s="2" t="s">
        <v>121</v>
      </c>
      <c r="C3" s="1" t="s">
        <v>121</v>
      </c>
      <c r="D3" s="1" t="s">
        <v>160</v>
      </c>
      <c r="E3" s="1" t="s">
        <v>231</v>
      </c>
      <c r="F3" s="1" t="n">
        <v>10</v>
      </c>
      <c r="G3" s="1" t="n">
        <f aca="false">AVERAGE(F3:F5)</f>
        <v>6.33333333333333</v>
      </c>
      <c r="H3" s="1" t="n">
        <v>9</v>
      </c>
      <c r="I3" s="1" t="n">
        <f aca="false">ROUND(MAX(H3,G3),0)</f>
        <v>9</v>
      </c>
    </row>
    <row r="4" customFormat="false" ht="15" hidden="false" customHeight="false" outlineLevel="0" collapsed="false">
      <c r="C4" s="1" t="s">
        <v>121</v>
      </c>
      <c r="D4" s="1" t="s">
        <v>160</v>
      </c>
      <c r="E4" s="1" t="s">
        <v>232</v>
      </c>
      <c r="F4" s="1" t="n">
        <v>9</v>
      </c>
    </row>
    <row r="5" customFormat="false" ht="15" hidden="false" customHeight="false" outlineLevel="0" collapsed="false">
      <c r="C5" s="1" t="s">
        <v>121</v>
      </c>
      <c r="D5" s="1" t="s">
        <v>160</v>
      </c>
      <c r="E5" s="1" t="s">
        <v>233</v>
      </c>
      <c r="F5" s="1" t="n">
        <v>0</v>
      </c>
    </row>
    <row r="6" customFormat="false" ht="15" hidden="false" customHeight="false" outlineLevel="0" collapsed="false">
      <c r="A6" s="1" t="n">
        <v>3</v>
      </c>
      <c r="B6" s="13" t="s">
        <v>122</v>
      </c>
      <c r="C6" s="1" t="s">
        <v>122</v>
      </c>
      <c r="D6" s="1" t="s">
        <v>164</v>
      </c>
      <c r="E6" s="1" t="s">
        <v>234</v>
      </c>
      <c r="F6" s="1" t="n">
        <v>9</v>
      </c>
      <c r="G6" s="1" t="n">
        <f aca="false">AVERAGE(F6:F9)</f>
        <v>7</v>
      </c>
      <c r="H6" s="1" t="n">
        <v>7</v>
      </c>
      <c r="I6" s="1" t="n">
        <f aca="false">ROUND(MAX(H6,G6),0)</f>
        <v>7</v>
      </c>
    </row>
    <row r="7" customFormat="false" ht="15" hidden="false" customHeight="false" outlineLevel="0" collapsed="false">
      <c r="C7" s="1" t="s">
        <v>122</v>
      </c>
      <c r="D7" s="1" t="s">
        <v>164</v>
      </c>
      <c r="E7" s="1" t="s">
        <v>235</v>
      </c>
      <c r="F7" s="1" t="n">
        <v>7</v>
      </c>
    </row>
    <row r="8" customFormat="false" ht="15" hidden="false" customHeight="false" outlineLevel="0" collapsed="false">
      <c r="C8" s="1" t="s">
        <v>122</v>
      </c>
      <c r="D8" s="1" t="s">
        <v>164</v>
      </c>
      <c r="E8" s="1" t="s">
        <v>236</v>
      </c>
      <c r="F8" s="1" t="n">
        <v>6</v>
      </c>
    </row>
    <row r="9" customFormat="false" ht="15" hidden="false" customHeight="false" outlineLevel="0" collapsed="false">
      <c r="C9" s="1" t="s">
        <v>122</v>
      </c>
      <c r="D9" s="1" t="s">
        <v>164</v>
      </c>
      <c r="E9" s="1" t="s">
        <v>237</v>
      </c>
      <c r="F9" s="1" t="n">
        <v>6</v>
      </c>
    </row>
    <row r="10" customFormat="false" ht="15" hidden="false" customHeight="false" outlineLevel="0" collapsed="false">
      <c r="A10" s="1" t="n">
        <v>4</v>
      </c>
      <c r="B10" s="2" t="s">
        <v>123</v>
      </c>
      <c r="C10" s="1" t="s">
        <v>123</v>
      </c>
      <c r="D10" s="1" t="s">
        <v>169</v>
      </c>
      <c r="E10" s="1" t="s">
        <v>238</v>
      </c>
      <c r="F10" s="1" t="n">
        <v>7</v>
      </c>
      <c r="I10" s="1" t="n">
        <v>7</v>
      </c>
    </row>
    <row r="11" customFormat="false" ht="15" hidden="false" customHeight="false" outlineLevel="0" collapsed="false">
      <c r="A11" s="1" t="n">
        <v>5</v>
      </c>
      <c r="B11" s="2" t="s">
        <v>124</v>
      </c>
      <c r="C11" s="1" t="s">
        <v>124</v>
      </c>
      <c r="D11" s="1" t="s">
        <v>172</v>
      </c>
      <c r="E11" s="1" t="s">
        <v>239</v>
      </c>
      <c r="F11" s="1" t="n">
        <v>10</v>
      </c>
      <c r="G11" s="1" t="n">
        <f aca="false">AVERAGE(F11:F18)</f>
        <v>7.125</v>
      </c>
      <c r="H11" s="1" t="n">
        <v>9</v>
      </c>
      <c r="I11" s="1" t="n">
        <f aca="false">ROUND(MAX(H11,G11),0)</f>
        <v>9</v>
      </c>
    </row>
    <row r="12" customFormat="false" ht="15" hidden="false" customHeight="false" outlineLevel="0" collapsed="false">
      <c r="C12" s="1" t="s">
        <v>124</v>
      </c>
      <c r="D12" s="1" t="s">
        <v>172</v>
      </c>
      <c r="E12" s="1" t="s">
        <v>212</v>
      </c>
      <c r="F12" s="1" t="n">
        <v>10</v>
      </c>
    </row>
    <row r="13" customFormat="false" ht="15" hidden="false" customHeight="false" outlineLevel="0" collapsed="false">
      <c r="C13" s="1" t="s">
        <v>124</v>
      </c>
      <c r="D13" s="1" t="s">
        <v>172</v>
      </c>
      <c r="E13" s="1" t="s">
        <v>240</v>
      </c>
      <c r="F13" s="1" t="n">
        <v>9</v>
      </c>
    </row>
    <row r="14" customFormat="false" ht="15" hidden="false" customHeight="false" outlineLevel="0" collapsed="false">
      <c r="C14" s="1" t="s">
        <v>124</v>
      </c>
      <c r="D14" s="1" t="s">
        <v>172</v>
      </c>
      <c r="E14" s="1" t="s">
        <v>241</v>
      </c>
      <c r="F14" s="1" t="n">
        <v>7</v>
      </c>
    </row>
    <row r="15" customFormat="false" ht="15" hidden="false" customHeight="false" outlineLevel="0" collapsed="false">
      <c r="C15" s="1" t="s">
        <v>124</v>
      </c>
      <c r="D15" s="1" t="s">
        <v>172</v>
      </c>
      <c r="E15" s="1" t="s">
        <v>192</v>
      </c>
      <c r="F15" s="1" t="n">
        <v>6</v>
      </c>
    </row>
    <row r="16" customFormat="false" ht="15" hidden="false" customHeight="false" outlineLevel="0" collapsed="false">
      <c r="C16" s="1" t="s">
        <v>124</v>
      </c>
      <c r="D16" s="1" t="s">
        <v>172</v>
      </c>
      <c r="E16" s="1" t="s">
        <v>242</v>
      </c>
      <c r="F16" s="1" t="n">
        <v>5</v>
      </c>
    </row>
    <row r="17" customFormat="false" ht="15" hidden="false" customHeight="false" outlineLevel="0" collapsed="false">
      <c r="C17" s="1" t="s">
        <v>124</v>
      </c>
      <c r="D17" s="1" t="s">
        <v>172</v>
      </c>
      <c r="E17" s="1" t="s">
        <v>243</v>
      </c>
      <c r="F17" s="1" t="n">
        <v>5</v>
      </c>
    </row>
    <row r="18" customFormat="false" ht="15" hidden="false" customHeight="false" outlineLevel="0" collapsed="false">
      <c r="C18" s="1" t="s">
        <v>124</v>
      </c>
      <c r="D18" s="1" t="s">
        <v>172</v>
      </c>
      <c r="E18" s="1" t="s">
        <v>244</v>
      </c>
      <c r="F18" s="1" t="n">
        <v>5</v>
      </c>
    </row>
    <row r="19" customFormat="false" ht="15" hidden="false" customHeight="false" outlineLevel="0" collapsed="false">
      <c r="A19" s="1" t="n">
        <v>6</v>
      </c>
      <c r="B19" s="2" t="s">
        <v>125</v>
      </c>
      <c r="C19" s="1" t="s">
        <v>125</v>
      </c>
      <c r="D19" s="1" t="s">
        <v>174</v>
      </c>
      <c r="E19" s="1" t="s">
        <v>245</v>
      </c>
      <c r="F19" s="1" t="n">
        <v>10</v>
      </c>
      <c r="I19" s="1" t="n">
        <v>10</v>
      </c>
    </row>
    <row r="20" customFormat="false" ht="15" hidden="false" customHeight="false" outlineLevel="0" collapsed="false">
      <c r="A20" s="1" t="n">
        <v>7</v>
      </c>
      <c r="B20" s="2" t="s">
        <v>126</v>
      </c>
      <c r="F20" s="1" t="n">
        <v>1</v>
      </c>
      <c r="I20" s="1" t="n">
        <v>1</v>
      </c>
    </row>
    <row r="21" customFormat="false" ht="15" hidden="false" customHeight="false" outlineLevel="0" collapsed="false">
      <c r="A21" s="1" t="n">
        <v>8</v>
      </c>
      <c r="B21" s="13" t="s">
        <v>127</v>
      </c>
      <c r="C21" s="1" t="s">
        <v>127</v>
      </c>
      <c r="D21" s="1" t="s">
        <v>176</v>
      </c>
      <c r="E21" s="1" t="s">
        <v>246</v>
      </c>
      <c r="F21" s="1" t="n">
        <v>10</v>
      </c>
      <c r="I21" s="1" t="n">
        <v>10</v>
      </c>
    </row>
    <row r="22" customFormat="false" ht="15" hidden="false" customHeight="false" outlineLevel="0" collapsed="false">
      <c r="A22" s="1" t="n">
        <v>9</v>
      </c>
      <c r="B22" s="2" t="s">
        <v>128</v>
      </c>
      <c r="F22" s="1" t="n">
        <v>1</v>
      </c>
      <c r="I22" s="1" t="n">
        <v>1</v>
      </c>
    </row>
    <row r="23" customFormat="false" ht="15" hidden="false" customHeight="false" outlineLevel="0" collapsed="false">
      <c r="A23" s="1" t="n">
        <v>10</v>
      </c>
      <c r="B23" s="2" t="s">
        <v>129</v>
      </c>
      <c r="C23" s="1" t="s">
        <v>129</v>
      </c>
      <c r="D23" s="1" t="s">
        <v>189</v>
      </c>
      <c r="E23" s="1" t="s">
        <v>239</v>
      </c>
      <c r="F23" s="1" t="n">
        <v>10</v>
      </c>
      <c r="G23" s="1" t="n">
        <f aca="false">AVERAGE(F23:F37)</f>
        <v>9.53333333333333</v>
      </c>
      <c r="H23" s="1" t="n">
        <v>8</v>
      </c>
      <c r="I23" s="1" t="n">
        <f aca="false">ROUND(MAX(H23,G23),0)</f>
        <v>10</v>
      </c>
    </row>
    <row r="24" customFormat="false" ht="15" hidden="false" customHeight="false" outlineLevel="0" collapsed="false">
      <c r="C24" s="1" t="s">
        <v>129</v>
      </c>
      <c r="D24" s="1" t="s">
        <v>189</v>
      </c>
      <c r="E24" s="1" t="s">
        <v>247</v>
      </c>
      <c r="F24" s="1" t="n">
        <v>10</v>
      </c>
    </row>
    <row r="25" customFormat="false" ht="15" hidden="false" customHeight="false" outlineLevel="0" collapsed="false">
      <c r="C25" s="1" t="s">
        <v>129</v>
      </c>
      <c r="D25" s="1" t="s">
        <v>189</v>
      </c>
      <c r="E25" s="1" t="s">
        <v>248</v>
      </c>
      <c r="F25" s="1" t="n">
        <v>10</v>
      </c>
    </row>
    <row r="26" customFormat="false" ht="15" hidden="false" customHeight="false" outlineLevel="0" collapsed="false">
      <c r="C26" s="1" t="s">
        <v>129</v>
      </c>
      <c r="D26" s="1" t="s">
        <v>189</v>
      </c>
      <c r="E26" s="1" t="s">
        <v>249</v>
      </c>
      <c r="F26" s="1" t="n">
        <v>10</v>
      </c>
    </row>
    <row r="27" customFormat="false" ht="15" hidden="false" customHeight="false" outlineLevel="0" collapsed="false">
      <c r="C27" s="1" t="s">
        <v>129</v>
      </c>
      <c r="D27" s="1" t="s">
        <v>189</v>
      </c>
      <c r="E27" s="1" t="s">
        <v>250</v>
      </c>
      <c r="F27" s="1" t="n">
        <v>10</v>
      </c>
    </row>
    <row r="28" customFormat="false" ht="15" hidden="false" customHeight="false" outlineLevel="0" collapsed="false">
      <c r="C28" s="1" t="s">
        <v>129</v>
      </c>
      <c r="D28" s="1" t="s">
        <v>189</v>
      </c>
      <c r="E28" s="1" t="s">
        <v>251</v>
      </c>
      <c r="F28" s="1" t="n">
        <v>10</v>
      </c>
    </row>
    <row r="29" customFormat="false" ht="15" hidden="false" customHeight="false" outlineLevel="0" collapsed="false">
      <c r="C29" s="1" t="s">
        <v>129</v>
      </c>
      <c r="D29" s="1" t="s">
        <v>189</v>
      </c>
      <c r="E29" s="1" t="s">
        <v>252</v>
      </c>
      <c r="F29" s="1" t="n">
        <v>10</v>
      </c>
    </row>
    <row r="30" customFormat="false" ht="15" hidden="false" customHeight="false" outlineLevel="0" collapsed="false">
      <c r="C30" s="1" t="s">
        <v>129</v>
      </c>
      <c r="D30" s="1" t="s">
        <v>189</v>
      </c>
      <c r="E30" s="1" t="s">
        <v>197</v>
      </c>
      <c r="F30" s="1" t="n">
        <v>10</v>
      </c>
    </row>
    <row r="31" customFormat="false" ht="15" hidden="false" customHeight="false" outlineLevel="0" collapsed="false">
      <c r="C31" s="1" t="s">
        <v>129</v>
      </c>
      <c r="D31" s="1" t="s">
        <v>189</v>
      </c>
      <c r="E31" s="1" t="s">
        <v>161</v>
      </c>
      <c r="F31" s="1" t="n">
        <v>10</v>
      </c>
    </row>
    <row r="32" customFormat="false" ht="15" hidden="false" customHeight="false" outlineLevel="0" collapsed="false">
      <c r="C32" s="1" t="s">
        <v>129</v>
      </c>
      <c r="D32" s="1" t="s">
        <v>189</v>
      </c>
      <c r="E32" s="1" t="s">
        <v>227</v>
      </c>
      <c r="F32" s="1" t="n">
        <v>10</v>
      </c>
    </row>
    <row r="33" customFormat="false" ht="15" hidden="false" customHeight="false" outlineLevel="0" collapsed="false">
      <c r="C33" s="1" t="s">
        <v>129</v>
      </c>
      <c r="D33" s="1" t="s">
        <v>189</v>
      </c>
      <c r="E33" s="1" t="s">
        <v>253</v>
      </c>
      <c r="F33" s="1" t="n">
        <v>10</v>
      </c>
    </row>
    <row r="34" customFormat="false" ht="15" hidden="false" customHeight="false" outlineLevel="0" collapsed="false">
      <c r="C34" s="1" t="s">
        <v>129</v>
      </c>
      <c r="D34" s="1" t="s">
        <v>189</v>
      </c>
      <c r="E34" s="1" t="s">
        <v>183</v>
      </c>
      <c r="F34" s="1" t="n">
        <v>10</v>
      </c>
    </row>
    <row r="35" customFormat="false" ht="15" hidden="false" customHeight="false" outlineLevel="0" collapsed="false">
      <c r="C35" s="1" t="s">
        <v>129</v>
      </c>
      <c r="D35" s="1" t="s">
        <v>189</v>
      </c>
      <c r="E35" s="1" t="s">
        <v>254</v>
      </c>
      <c r="F35" s="1" t="n">
        <v>8</v>
      </c>
    </row>
    <row r="36" customFormat="false" ht="15" hidden="false" customHeight="false" outlineLevel="0" collapsed="false">
      <c r="C36" s="1" t="s">
        <v>129</v>
      </c>
      <c r="D36" s="1" t="s">
        <v>189</v>
      </c>
      <c r="E36" s="1" t="s">
        <v>255</v>
      </c>
      <c r="F36" s="1" t="n">
        <v>8</v>
      </c>
    </row>
    <row r="37" customFormat="false" ht="15" hidden="false" customHeight="false" outlineLevel="0" collapsed="false">
      <c r="C37" s="1" t="s">
        <v>129</v>
      </c>
      <c r="D37" s="1" t="s">
        <v>189</v>
      </c>
      <c r="E37" s="1" t="s">
        <v>256</v>
      </c>
      <c r="F37" s="1" t="n">
        <v>7</v>
      </c>
    </row>
    <row r="38" customFormat="false" ht="15" hidden="false" customHeight="false" outlineLevel="0" collapsed="false">
      <c r="A38" s="1" t="n">
        <v>11</v>
      </c>
      <c r="B38" s="2" t="s">
        <v>130</v>
      </c>
      <c r="C38" s="1" t="s">
        <v>130</v>
      </c>
      <c r="D38" s="1" t="s">
        <v>198</v>
      </c>
      <c r="E38" s="1" t="s">
        <v>257</v>
      </c>
      <c r="F38" s="1" t="n">
        <v>8</v>
      </c>
      <c r="I38" s="1" t="n">
        <v>8</v>
      </c>
    </row>
    <row r="39" customFormat="false" ht="15" hidden="false" customHeight="false" outlineLevel="0" collapsed="false">
      <c r="A39" s="1" t="n">
        <v>12</v>
      </c>
      <c r="B39" s="13" t="s">
        <v>131</v>
      </c>
      <c r="C39" s="1" t="s">
        <v>131</v>
      </c>
      <c r="D39" s="1" t="s">
        <v>200</v>
      </c>
      <c r="E39" s="1" t="s">
        <v>258</v>
      </c>
      <c r="F39" s="1" t="n">
        <v>8</v>
      </c>
      <c r="I39" s="1" t="n">
        <v>8</v>
      </c>
    </row>
    <row r="40" customFormat="false" ht="15" hidden="false" customHeight="false" outlineLevel="0" collapsed="false">
      <c r="A40" s="1" t="n">
        <v>13</v>
      </c>
      <c r="B40" s="2" t="s">
        <v>132</v>
      </c>
      <c r="C40" s="1" t="s">
        <v>132</v>
      </c>
      <c r="D40" s="1" t="s">
        <v>47</v>
      </c>
      <c r="E40" s="1" t="s">
        <v>259</v>
      </c>
      <c r="F40" s="1" t="n">
        <v>9</v>
      </c>
      <c r="G40" s="1" t="n">
        <f aca="false">AVERAGE(F40:F45)</f>
        <v>5.66666666666667</v>
      </c>
      <c r="H40" s="1" t="n">
        <v>7</v>
      </c>
      <c r="I40" s="1" t="n">
        <f aca="false">ROUND(MAX(H40,G40),0)</f>
        <v>7</v>
      </c>
    </row>
    <row r="41" customFormat="false" ht="15" hidden="false" customHeight="false" outlineLevel="0" collapsed="false">
      <c r="C41" s="1" t="s">
        <v>132</v>
      </c>
      <c r="D41" s="1" t="s">
        <v>47</v>
      </c>
      <c r="E41" s="1" t="s">
        <v>260</v>
      </c>
      <c r="F41" s="1" t="n">
        <v>7</v>
      </c>
    </row>
    <row r="42" customFormat="false" ht="15" hidden="false" customHeight="false" outlineLevel="0" collapsed="false">
      <c r="C42" s="1" t="s">
        <v>132</v>
      </c>
      <c r="D42" s="1" t="s">
        <v>47</v>
      </c>
      <c r="E42" s="1" t="s">
        <v>199</v>
      </c>
      <c r="F42" s="1" t="n">
        <v>6</v>
      </c>
    </row>
    <row r="43" customFormat="false" ht="15" hidden="false" customHeight="false" outlineLevel="0" collapsed="false">
      <c r="C43" s="1" t="s">
        <v>132</v>
      </c>
      <c r="D43" s="1" t="s">
        <v>47</v>
      </c>
      <c r="E43" s="1" t="s">
        <v>261</v>
      </c>
      <c r="F43" s="1" t="n">
        <v>5</v>
      </c>
    </row>
    <row r="44" customFormat="false" ht="15" hidden="false" customHeight="false" outlineLevel="0" collapsed="false">
      <c r="C44" s="1" t="s">
        <v>132</v>
      </c>
      <c r="D44" s="1" t="s">
        <v>47</v>
      </c>
      <c r="E44" s="1" t="s">
        <v>262</v>
      </c>
      <c r="F44" s="1" t="n">
        <v>4</v>
      </c>
    </row>
    <row r="45" customFormat="false" ht="15" hidden="false" customHeight="false" outlineLevel="0" collapsed="false">
      <c r="C45" s="1" t="s">
        <v>132</v>
      </c>
      <c r="D45" s="1" t="s">
        <v>47</v>
      </c>
      <c r="E45" s="1" t="s">
        <v>263</v>
      </c>
      <c r="F45" s="1" t="n">
        <v>3</v>
      </c>
    </row>
    <row r="46" customFormat="false" ht="15" hidden="false" customHeight="false" outlineLevel="0" collapsed="false">
      <c r="A46" s="1" t="n">
        <v>14</v>
      </c>
      <c r="B46" s="14" t="s">
        <v>133</v>
      </c>
      <c r="C46" s="1" t="s">
        <v>133</v>
      </c>
      <c r="D46" s="1" t="s">
        <v>205</v>
      </c>
      <c r="E46" s="1" t="s">
        <v>264</v>
      </c>
      <c r="F46" s="1" t="n">
        <v>10</v>
      </c>
      <c r="I46" s="1" t="n">
        <v>10</v>
      </c>
    </row>
    <row r="47" customFormat="false" ht="15" hidden="false" customHeight="false" outlineLevel="0" collapsed="false">
      <c r="A47" s="1" t="n">
        <v>15</v>
      </c>
      <c r="B47" s="2" t="s">
        <v>134</v>
      </c>
      <c r="C47" s="1" t="s">
        <v>134</v>
      </c>
      <c r="D47" s="1" t="s">
        <v>207</v>
      </c>
      <c r="E47" s="1" t="s">
        <v>265</v>
      </c>
      <c r="F47" s="1" t="n">
        <v>7</v>
      </c>
      <c r="I47" s="1" t="n">
        <v>7</v>
      </c>
    </row>
    <row r="48" customFormat="false" ht="15" hidden="false" customHeight="false" outlineLevel="0" collapsed="false">
      <c r="A48" s="1" t="n">
        <v>16</v>
      </c>
      <c r="B48" s="13" t="s">
        <v>135</v>
      </c>
      <c r="C48" s="1" t="s">
        <v>135</v>
      </c>
      <c r="D48" s="1" t="s">
        <v>209</v>
      </c>
      <c r="E48" s="1" t="s">
        <v>222</v>
      </c>
      <c r="F48" s="1" t="n">
        <v>10</v>
      </c>
      <c r="I48" s="1" t="n">
        <v>10</v>
      </c>
    </row>
    <row r="49" customFormat="false" ht="15" hidden="false" customHeight="false" outlineLevel="0" collapsed="false">
      <c r="A49" s="1" t="n">
        <v>17</v>
      </c>
      <c r="B49" s="2" t="s">
        <v>136</v>
      </c>
      <c r="C49" s="1" t="s">
        <v>136</v>
      </c>
      <c r="D49" s="1" t="s">
        <v>210</v>
      </c>
      <c r="E49" s="1" t="s">
        <v>224</v>
      </c>
      <c r="F49" s="1" t="n">
        <v>10</v>
      </c>
      <c r="G49" s="1" t="n">
        <f aca="false">AVERAGE(F49:F52)</f>
        <v>8.5</v>
      </c>
      <c r="H49" s="1" t="n">
        <v>8</v>
      </c>
      <c r="I49" s="1" t="n">
        <f aca="false">ROUND(MAX(H49,G49),0)</f>
        <v>9</v>
      </c>
    </row>
    <row r="50" customFormat="false" ht="15" hidden="false" customHeight="false" outlineLevel="0" collapsed="false">
      <c r="C50" s="1" t="s">
        <v>136</v>
      </c>
      <c r="D50" s="1" t="s">
        <v>210</v>
      </c>
      <c r="E50" s="1" t="s">
        <v>188</v>
      </c>
      <c r="F50" s="1" t="n">
        <v>8</v>
      </c>
    </row>
    <row r="51" customFormat="false" ht="15" hidden="false" customHeight="false" outlineLevel="0" collapsed="false">
      <c r="C51" s="1" t="s">
        <v>136</v>
      </c>
      <c r="D51" s="1" t="s">
        <v>210</v>
      </c>
      <c r="E51" s="1" t="s">
        <v>227</v>
      </c>
      <c r="F51" s="1" t="n">
        <v>8</v>
      </c>
    </row>
    <row r="52" customFormat="false" ht="15" hidden="false" customHeight="false" outlineLevel="0" collapsed="false">
      <c r="C52" s="1" t="s">
        <v>136</v>
      </c>
      <c r="D52" s="1" t="s">
        <v>210</v>
      </c>
      <c r="E52" s="1" t="s">
        <v>229</v>
      </c>
      <c r="F52" s="1" t="n">
        <v>8</v>
      </c>
    </row>
    <row r="53" customFormat="false" ht="15" hidden="false" customHeight="false" outlineLevel="0" collapsed="false">
      <c r="A53" s="1" t="n">
        <v>18</v>
      </c>
      <c r="B53" s="2" t="s">
        <v>137</v>
      </c>
      <c r="C53" s="1" t="s">
        <v>137</v>
      </c>
      <c r="D53" s="1" t="s">
        <v>211</v>
      </c>
      <c r="E53" s="1" t="s">
        <v>151</v>
      </c>
      <c r="F53" s="1" t="n">
        <v>10</v>
      </c>
      <c r="I53" s="1" t="n">
        <v>10</v>
      </c>
    </row>
    <row r="54" customFormat="false" ht="15" hidden="false" customHeight="false" outlineLevel="0" collapsed="false">
      <c r="A54" s="1" t="n">
        <v>19</v>
      </c>
      <c r="B54" s="2" t="s">
        <v>138</v>
      </c>
      <c r="C54" s="1" t="s">
        <v>138</v>
      </c>
      <c r="D54" s="1" t="s">
        <v>213</v>
      </c>
      <c r="E54" s="1" t="s">
        <v>266</v>
      </c>
      <c r="F54" s="1" t="n">
        <v>10</v>
      </c>
      <c r="G54" s="1" t="n">
        <f aca="false">AVERAGE(F54:F57)</f>
        <v>6.25</v>
      </c>
      <c r="H54" s="1" t="n">
        <v>8</v>
      </c>
      <c r="I54" s="1" t="n">
        <f aca="false">ROUND(MAX(H54,G54),0)</f>
        <v>8</v>
      </c>
    </row>
    <row r="55" customFormat="false" ht="15" hidden="false" customHeight="false" outlineLevel="0" collapsed="false">
      <c r="C55" s="1" t="s">
        <v>138</v>
      </c>
      <c r="D55" s="1" t="s">
        <v>213</v>
      </c>
      <c r="E55" s="1" t="s">
        <v>267</v>
      </c>
      <c r="F55" s="1" t="n">
        <v>8</v>
      </c>
    </row>
    <row r="56" customFormat="false" ht="15" hidden="false" customHeight="false" outlineLevel="0" collapsed="false">
      <c r="C56" s="1" t="s">
        <v>138</v>
      </c>
      <c r="D56" s="1" t="s">
        <v>213</v>
      </c>
      <c r="E56" s="1" t="s">
        <v>197</v>
      </c>
      <c r="F56" s="1" t="n">
        <v>6</v>
      </c>
    </row>
    <row r="57" customFormat="false" ht="15" hidden="false" customHeight="false" outlineLevel="0" collapsed="false">
      <c r="C57" s="1" t="s">
        <v>138</v>
      </c>
      <c r="D57" s="1" t="s">
        <v>213</v>
      </c>
      <c r="E57" s="1" t="s">
        <v>268</v>
      </c>
      <c r="F57" s="1" t="n">
        <v>1</v>
      </c>
    </row>
    <row r="58" customFormat="false" ht="15" hidden="false" customHeight="false" outlineLevel="0" collapsed="false">
      <c r="A58" s="1" t="n">
        <v>20</v>
      </c>
      <c r="B58" s="2" t="s">
        <v>139</v>
      </c>
      <c r="F58" s="1" t="n">
        <v>1</v>
      </c>
      <c r="I58" s="1" t="n">
        <v>1</v>
      </c>
    </row>
    <row r="59" customFormat="false" ht="15" hidden="false" customHeight="false" outlineLevel="0" collapsed="false">
      <c r="A59" s="1" t="n">
        <v>21</v>
      </c>
      <c r="B59" s="14" t="s">
        <v>140</v>
      </c>
      <c r="C59" s="1" t="s">
        <v>140</v>
      </c>
      <c r="D59" s="1" t="s">
        <v>169</v>
      </c>
      <c r="E59" s="1" t="s">
        <v>269</v>
      </c>
      <c r="F59" s="1" t="n">
        <v>10</v>
      </c>
      <c r="G59" s="1" t="n">
        <f aca="false">AVERAGE(F59:F64)</f>
        <v>7.66666666666667</v>
      </c>
      <c r="H59" s="1" t="n">
        <v>9</v>
      </c>
      <c r="I59" s="1" t="n">
        <f aca="false">ROUND(MAX(H59,G59),0)</f>
        <v>9</v>
      </c>
    </row>
    <row r="60" customFormat="false" ht="15" hidden="false" customHeight="false" outlineLevel="0" collapsed="false">
      <c r="C60" s="1" t="s">
        <v>140</v>
      </c>
      <c r="D60" s="1" t="s">
        <v>169</v>
      </c>
      <c r="E60" s="1" t="s">
        <v>177</v>
      </c>
      <c r="F60" s="1" t="n">
        <v>10</v>
      </c>
    </row>
    <row r="61" customFormat="false" ht="15" hidden="false" customHeight="false" outlineLevel="0" collapsed="false">
      <c r="C61" s="1" t="s">
        <v>140</v>
      </c>
      <c r="D61" s="1" t="s">
        <v>169</v>
      </c>
      <c r="E61" s="1" t="s">
        <v>162</v>
      </c>
      <c r="F61" s="1" t="n">
        <v>9</v>
      </c>
    </row>
    <row r="62" customFormat="false" ht="15" hidden="false" customHeight="false" outlineLevel="0" collapsed="false">
      <c r="C62" s="1" t="s">
        <v>140</v>
      </c>
      <c r="D62" s="1" t="s">
        <v>169</v>
      </c>
      <c r="E62" s="1" t="s">
        <v>270</v>
      </c>
      <c r="F62" s="1" t="n">
        <v>7</v>
      </c>
    </row>
    <row r="63" customFormat="false" ht="15" hidden="false" customHeight="false" outlineLevel="0" collapsed="false">
      <c r="C63" s="1" t="s">
        <v>140</v>
      </c>
      <c r="D63" s="1" t="s">
        <v>169</v>
      </c>
      <c r="E63" s="1" t="s">
        <v>271</v>
      </c>
      <c r="F63" s="1" t="n">
        <v>5</v>
      </c>
    </row>
    <row r="64" customFormat="false" ht="15" hidden="false" customHeight="false" outlineLevel="0" collapsed="false">
      <c r="C64" s="1" t="s">
        <v>140</v>
      </c>
      <c r="D64" s="1" t="s">
        <v>169</v>
      </c>
      <c r="E64" s="1" t="s">
        <v>253</v>
      </c>
      <c r="F64" s="1" t="n">
        <v>5</v>
      </c>
    </row>
    <row r="65" customFormat="false" ht="15" hidden="false" customHeight="false" outlineLevel="0" collapsed="false">
      <c r="H65" s="1" t="s">
        <v>86</v>
      </c>
      <c r="I65" s="1" t="n">
        <f aca="false">COUNTIF(I2:I64,"&gt;0")</f>
        <v>21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0"/>
  <sheetViews>
    <sheetView showFormulas="false" showGridLines="true" showRowColHeaders="true" showZeros="true" rightToLeft="false" tabSelected="false" showOutlineSymbols="true" defaultGridColor="true" view="normal" topLeftCell="A79" colorId="64" zoomScale="95" zoomScaleNormal="95" zoomScalePageLayoutView="100" workbookViewId="0">
      <selection pane="topLeft" activeCell="J90" activeCellId="0" sqref="J90"/>
    </sheetView>
  </sheetViews>
  <sheetFormatPr defaultColWidth="9.58203125" defaultRowHeight="15" zeroHeight="false" outlineLevelRow="0" outlineLevelCol="0"/>
  <cols>
    <col collapsed="false" customWidth="true" hidden="false" outlineLevel="0" max="1" min="1" style="1" width="3.29"/>
    <col collapsed="false" customWidth="true" hidden="false" outlineLevel="0" max="3" min="2" style="1" width="13.43"/>
    <col collapsed="false" customWidth="true" hidden="false" outlineLevel="0" max="4" min="4" style="1" width="22.63"/>
    <col collapsed="false" customWidth="true" hidden="false" outlineLevel="0" max="5" min="5" style="1" width="22.2"/>
  </cols>
  <sheetData>
    <row r="1" customFormat="false" ht="15" hidden="false" customHeight="false" outlineLevel="0" collapsed="false">
      <c r="C1" s="1" t="s">
        <v>2</v>
      </c>
      <c r="D1" s="1" t="s">
        <v>141</v>
      </c>
      <c r="E1" s="1" t="s">
        <v>142</v>
      </c>
      <c r="F1" s="1" t="s">
        <v>143</v>
      </c>
      <c r="G1" s="1" t="s">
        <v>100</v>
      </c>
      <c r="H1" s="1" t="s">
        <v>144</v>
      </c>
      <c r="I1" s="1" t="s">
        <v>145</v>
      </c>
    </row>
    <row r="2" customFormat="false" ht="15" hidden="false" customHeight="false" outlineLevel="0" collapsed="false">
      <c r="A2" s="1" t="n">
        <v>1</v>
      </c>
      <c r="B2" s="2" t="s">
        <v>120</v>
      </c>
      <c r="C2" s="1" t="s">
        <v>120</v>
      </c>
      <c r="D2" s="1" t="s">
        <v>272</v>
      </c>
      <c r="E2" s="1" t="s">
        <v>273</v>
      </c>
      <c r="F2" s="1" t="n">
        <v>5</v>
      </c>
      <c r="G2" s="1" t="n">
        <f aca="false">AVERAGE(F2:F4)</f>
        <v>3.66666666666667</v>
      </c>
      <c r="H2" s="1" t="n">
        <v>3</v>
      </c>
      <c r="I2" s="1" t="n">
        <f aca="false">ROUND(MAX(H2,G2),0)</f>
        <v>4</v>
      </c>
    </row>
    <row r="3" customFormat="false" ht="15" hidden="false" customHeight="false" outlineLevel="0" collapsed="false">
      <c r="C3" s="1" t="s">
        <v>120</v>
      </c>
      <c r="D3" s="1" t="s">
        <v>274</v>
      </c>
      <c r="E3" s="1" t="s">
        <v>275</v>
      </c>
      <c r="F3" s="1" t="n">
        <v>3</v>
      </c>
    </row>
    <row r="4" customFormat="false" ht="15" hidden="false" customHeight="false" outlineLevel="0" collapsed="false">
      <c r="C4" s="1" t="s">
        <v>120</v>
      </c>
      <c r="D4" s="1" t="s">
        <v>276</v>
      </c>
      <c r="E4" s="1" t="s">
        <v>277</v>
      </c>
      <c r="F4" s="1" t="n">
        <v>3</v>
      </c>
    </row>
    <row r="5" customFormat="false" ht="15" hidden="false" customHeight="false" outlineLevel="0" collapsed="false">
      <c r="A5" s="1" t="n">
        <v>2</v>
      </c>
      <c r="B5" s="2" t="s">
        <v>121</v>
      </c>
      <c r="C5" s="1" t="s">
        <v>121</v>
      </c>
      <c r="D5" s="1" t="s">
        <v>278</v>
      </c>
      <c r="E5" s="1" t="s">
        <v>279</v>
      </c>
      <c r="F5" s="1" t="n">
        <v>7</v>
      </c>
      <c r="G5" s="1" t="n">
        <f aca="false">AVERAGE(F5:F6)</f>
        <v>5</v>
      </c>
      <c r="H5" s="1" t="n">
        <v>3</v>
      </c>
      <c r="I5" s="1" t="n">
        <f aca="false">ROUND(MAX(H5,G5),0)</f>
        <v>5</v>
      </c>
    </row>
    <row r="6" customFormat="false" ht="15" hidden="false" customHeight="false" outlineLevel="0" collapsed="false">
      <c r="C6" s="1" t="s">
        <v>121</v>
      </c>
      <c r="D6" s="1" t="s">
        <v>280</v>
      </c>
      <c r="E6" s="1" t="s">
        <v>281</v>
      </c>
      <c r="F6" s="1" t="n">
        <v>3</v>
      </c>
    </row>
    <row r="7" customFormat="false" ht="15" hidden="false" customHeight="false" outlineLevel="0" collapsed="false">
      <c r="A7" s="1" t="n">
        <v>3</v>
      </c>
      <c r="B7" s="2" t="s">
        <v>122</v>
      </c>
      <c r="C7" s="1" t="s">
        <v>122</v>
      </c>
      <c r="D7" s="1" t="s">
        <v>282</v>
      </c>
      <c r="E7" s="1" t="s">
        <v>283</v>
      </c>
      <c r="F7" s="1" t="n">
        <v>8</v>
      </c>
      <c r="G7" s="1" t="n">
        <f aca="false">AVERAGE(F7:F11)</f>
        <v>5.2</v>
      </c>
      <c r="H7" s="1" t="n">
        <v>7</v>
      </c>
      <c r="I7" s="1" t="n">
        <f aca="false">ROUND(MAX(H7,G7),0)</f>
        <v>7</v>
      </c>
    </row>
    <row r="8" customFormat="false" ht="15" hidden="false" customHeight="false" outlineLevel="0" collapsed="false">
      <c r="C8" s="1" t="s">
        <v>122</v>
      </c>
      <c r="D8" s="1" t="s">
        <v>284</v>
      </c>
      <c r="E8" s="1" t="s">
        <v>271</v>
      </c>
      <c r="F8" s="1" t="n">
        <v>7</v>
      </c>
    </row>
    <row r="9" customFormat="false" ht="15" hidden="false" customHeight="false" outlineLevel="0" collapsed="false">
      <c r="C9" s="1" t="s">
        <v>122</v>
      </c>
      <c r="D9" s="1" t="s">
        <v>285</v>
      </c>
      <c r="E9" s="1" t="s">
        <v>173</v>
      </c>
      <c r="F9" s="1" t="n">
        <v>6</v>
      </c>
    </row>
    <row r="10" customFormat="false" ht="15" hidden="false" customHeight="false" outlineLevel="0" collapsed="false">
      <c r="C10" s="1" t="s">
        <v>122</v>
      </c>
      <c r="D10" s="1" t="s">
        <v>286</v>
      </c>
      <c r="E10" s="1" t="s">
        <v>183</v>
      </c>
      <c r="F10" s="1" t="n">
        <v>3</v>
      </c>
    </row>
    <row r="11" customFormat="false" ht="15" hidden="false" customHeight="false" outlineLevel="0" collapsed="false">
      <c r="C11" s="1" t="s">
        <v>122</v>
      </c>
      <c r="D11" s="1" t="s">
        <v>276</v>
      </c>
      <c r="E11" s="1" t="s">
        <v>287</v>
      </c>
      <c r="F11" s="1" t="n">
        <v>2</v>
      </c>
    </row>
    <row r="12" customFormat="false" ht="15" hidden="false" customHeight="false" outlineLevel="0" collapsed="false">
      <c r="A12" s="1" t="n">
        <v>4</v>
      </c>
      <c r="B12" s="2" t="s">
        <v>123</v>
      </c>
      <c r="C12" s="1" t="s">
        <v>123</v>
      </c>
      <c r="D12" s="1" t="s">
        <v>288</v>
      </c>
      <c r="E12" s="1" t="s">
        <v>289</v>
      </c>
      <c r="F12" s="1" t="n">
        <v>8</v>
      </c>
      <c r="G12" s="1" t="n">
        <f aca="false">AVERAGE(F12:F15)</f>
        <v>6</v>
      </c>
      <c r="H12" s="1" t="n">
        <v>8</v>
      </c>
      <c r="I12" s="1" t="n">
        <f aca="false">ROUND(MAX(H12,G12),0)</f>
        <v>8</v>
      </c>
    </row>
    <row r="13" customFormat="false" ht="15" hidden="false" customHeight="false" outlineLevel="0" collapsed="false">
      <c r="C13" s="1" t="s">
        <v>123</v>
      </c>
      <c r="D13" s="1" t="s">
        <v>290</v>
      </c>
      <c r="E13" s="1" t="s">
        <v>291</v>
      </c>
      <c r="F13" s="1" t="n">
        <v>6</v>
      </c>
    </row>
    <row r="14" customFormat="false" ht="15" hidden="false" customHeight="false" outlineLevel="0" collapsed="false">
      <c r="C14" s="1" t="s">
        <v>123</v>
      </c>
      <c r="D14" s="1" t="s">
        <v>292</v>
      </c>
      <c r="E14" s="1" t="s">
        <v>277</v>
      </c>
      <c r="F14" s="1" t="n">
        <v>6</v>
      </c>
    </row>
    <row r="15" customFormat="false" ht="15" hidden="false" customHeight="false" outlineLevel="0" collapsed="false">
      <c r="C15" s="1" t="s">
        <v>123</v>
      </c>
      <c r="D15" s="1" t="s">
        <v>293</v>
      </c>
      <c r="E15" s="1" t="s">
        <v>294</v>
      </c>
      <c r="F15" s="1" t="n">
        <v>4</v>
      </c>
    </row>
    <row r="16" customFormat="false" ht="15" hidden="false" customHeight="false" outlineLevel="0" collapsed="false">
      <c r="C16" s="1" t="s">
        <v>123</v>
      </c>
      <c r="D16" s="1" t="s">
        <v>295</v>
      </c>
      <c r="E16" s="1" t="s">
        <v>296</v>
      </c>
      <c r="F16" s="1" t="n">
        <v>3</v>
      </c>
    </row>
    <row r="17" customFormat="false" ht="15" hidden="false" customHeight="false" outlineLevel="0" collapsed="false">
      <c r="A17" s="1" t="n">
        <v>5</v>
      </c>
      <c r="B17" s="2" t="s">
        <v>124</v>
      </c>
      <c r="C17" s="1" t="s">
        <v>124</v>
      </c>
      <c r="D17" s="1" t="s">
        <v>297</v>
      </c>
      <c r="E17" s="1" t="s">
        <v>298</v>
      </c>
      <c r="F17" s="1" t="n">
        <v>8</v>
      </c>
      <c r="G17" s="1" t="n">
        <f aca="false">AVERAGE(F17:F18)</f>
        <v>5.5</v>
      </c>
      <c r="H17" s="1" t="n">
        <v>3</v>
      </c>
      <c r="I17" s="1" t="n">
        <f aca="false">ROUND(MAX(H17,G17),0)</f>
        <v>6</v>
      </c>
    </row>
    <row r="18" customFormat="false" ht="15" hidden="false" customHeight="false" outlineLevel="0" collapsed="false">
      <c r="C18" s="1" t="s">
        <v>124</v>
      </c>
      <c r="D18" s="1" t="s">
        <v>299</v>
      </c>
      <c r="E18" s="1" t="s">
        <v>300</v>
      </c>
      <c r="F18" s="1" t="n">
        <v>3</v>
      </c>
    </row>
    <row r="19" customFormat="false" ht="15" hidden="false" customHeight="false" outlineLevel="0" collapsed="false">
      <c r="A19" s="1" t="n">
        <v>6</v>
      </c>
      <c r="B19" s="2" t="s">
        <v>125</v>
      </c>
      <c r="C19" s="1" t="s">
        <v>125</v>
      </c>
      <c r="D19" s="1" t="s">
        <v>301</v>
      </c>
      <c r="E19" s="1" t="s">
        <v>187</v>
      </c>
      <c r="F19" s="1" t="n">
        <v>5</v>
      </c>
      <c r="G19" s="1" t="n">
        <f aca="false">AVERAGE(F19:F22)</f>
        <v>2.75</v>
      </c>
      <c r="H19" s="1" t="n">
        <v>3</v>
      </c>
      <c r="I19" s="1" t="n">
        <f aca="false">ROUND(MAX(H19,G19),0)</f>
        <v>3</v>
      </c>
    </row>
    <row r="20" customFormat="false" ht="15" hidden="false" customHeight="false" outlineLevel="0" collapsed="false">
      <c r="C20" s="1" t="s">
        <v>125</v>
      </c>
      <c r="D20" s="1" t="s">
        <v>302</v>
      </c>
      <c r="E20" s="1" t="s">
        <v>303</v>
      </c>
      <c r="F20" s="1" t="n">
        <v>3</v>
      </c>
    </row>
    <row r="21" customFormat="false" ht="15" hidden="false" customHeight="false" outlineLevel="0" collapsed="false">
      <c r="C21" s="1" t="s">
        <v>125</v>
      </c>
      <c r="D21" s="1" t="s">
        <v>304</v>
      </c>
      <c r="E21" s="1" t="s">
        <v>305</v>
      </c>
      <c r="F21" s="1" t="n">
        <v>2</v>
      </c>
    </row>
    <row r="22" customFormat="false" ht="15" hidden="false" customHeight="false" outlineLevel="0" collapsed="false">
      <c r="C22" s="1" t="s">
        <v>125</v>
      </c>
      <c r="D22" s="1" t="s">
        <v>306</v>
      </c>
      <c r="E22" s="1" t="s">
        <v>307</v>
      </c>
      <c r="F22" s="1" t="n">
        <v>1</v>
      </c>
    </row>
    <row r="23" customFormat="false" ht="15" hidden="false" customHeight="false" outlineLevel="0" collapsed="false">
      <c r="A23" s="1" t="n">
        <v>7</v>
      </c>
      <c r="B23" s="2" t="s">
        <v>126</v>
      </c>
      <c r="C23" s="1" t="s">
        <v>126</v>
      </c>
      <c r="D23" s="1" t="s">
        <v>308</v>
      </c>
      <c r="E23" s="1" t="s">
        <v>309</v>
      </c>
      <c r="F23" s="1" t="n">
        <v>3</v>
      </c>
      <c r="I23" s="1" t="n">
        <v>3</v>
      </c>
    </row>
    <row r="24" customFormat="false" ht="15" hidden="false" customHeight="false" outlineLevel="0" collapsed="false">
      <c r="A24" s="1" t="n">
        <v>8</v>
      </c>
      <c r="B24" s="2" t="s">
        <v>127</v>
      </c>
      <c r="C24" s="1" t="s">
        <v>127</v>
      </c>
      <c r="D24" s="1" t="s">
        <v>310</v>
      </c>
      <c r="E24" s="1" t="s">
        <v>265</v>
      </c>
      <c r="F24" s="1" t="n">
        <v>10</v>
      </c>
      <c r="G24" s="1" t="n">
        <f aca="false">AVERAGE(F24:F32)</f>
        <v>5.33333333333333</v>
      </c>
      <c r="H24" s="1" t="n">
        <v>7</v>
      </c>
      <c r="I24" s="1" t="n">
        <f aca="false">ROUND(MAX(H24,G24),0)</f>
        <v>7</v>
      </c>
    </row>
    <row r="25" customFormat="false" ht="15" hidden="false" customHeight="false" outlineLevel="0" collapsed="false">
      <c r="C25" s="1" t="s">
        <v>127</v>
      </c>
      <c r="D25" s="1" t="s">
        <v>311</v>
      </c>
      <c r="E25" s="1" t="s">
        <v>261</v>
      </c>
      <c r="F25" s="1" t="n">
        <v>7</v>
      </c>
    </row>
    <row r="26" customFormat="false" ht="15" hidden="false" customHeight="false" outlineLevel="0" collapsed="false">
      <c r="C26" s="1" t="s">
        <v>127</v>
      </c>
      <c r="D26" s="1" t="s">
        <v>312</v>
      </c>
      <c r="E26" s="1" t="s">
        <v>313</v>
      </c>
      <c r="F26" s="1" t="n">
        <v>7</v>
      </c>
    </row>
    <row r="27" customFormat="false" ht="15" hidden="false" customHeight="false" outlineLevel="0" collapsed="false">
      <c r="C27" s="1" t="s">
        <v>127</v>
      </c>
      <c r="D27" s="1" t="s">
        <v>314</v>
      </c>
      <c r="E27" s="1" t="s">
        <v>315</v>
      </c>
      <c r="F27" s="1" t="n">
        <v>6</v>
      </c>
    </row>
    <row r="28" customFormat="false" ht="15" hidden="false" customHeight="false" outlineLevel="0" collapsed="false">
      <c r="C28" s="1" t="s">
        <v>127</v>
      </c>
      <c r="D28" s="1" t="s">
        <v>280</v>
      </c>
      <c r="E28" s="1" t="s">
        <v>316</v>
      </c>
      <c r="F28" s="1" t="n">
        <v>5</v>
      </c>
    </row>
    <row r="29" customFormat="false" ht="15" hidden="false" customHeight="false" outlineLevel="0" collapsed="false">
      <c r="C29" s="1" t="s">
        <v>127</v>
      </c>
      <c r="D29" s="1" t="s">
        <v>317</v>
      </c>
      <c r="E29" s="1" t="s">
        <v>318</v>
      </c>
      <c r="F29" s="1" t="n">
        <v>4</v>
      </c>
    </row>
    <row r="30" customFormat="false" ht="15" hidden="false" customHeight="false" outlineLevel="0" collapsed="false">
      <c r="C30" s="1" t="s">
        <v>127</v>
      </c>
      <c r="D30" s="1" t="s">
        <v>319</v>
      </c>
      <c r="E30" s="1" t="s">
        <v>320</v>
      </c>
      <c r="F30" s="1" t="n">
        <v>4</v>
      </c>
    </row>
    <row r="31" customFormat="false" ht="15" hidden="false" customHeight="false" outlineLevel="0" collapsed="false">
      <c r="C31" s="1" t="s">
        <v>127</v>
      </c>
      <c r="D31" s="1" t="s">
        <v>321</v>
      </c>
      <c r="E31" s="1" t="s">
        <v>322</v>
      </c>
      <c r="F31" s="1" t="n">
        <v>3</v>
      </c>
    </row>
    <row r="32" customFormat="false" ht="15" hidden="false" customHeight="false" outlineLevel="0" collapsed="false">
      <c r="C32" s="1" t="s">
        <v>127</v>
      </c>
      <c r="D32" s="1" t="s">
        <v>323</v>
      </c>
      <c r="E32" s="1" t="s">
        <v>324</v>
      </c>
      <c r="F32" s="1" t="n">
        <v>2</v>
      </c>
    </row>
    <row r="33" customFormat="false" ht="15" hidden="false" customHeight="false" outlineLevel="0" collapsed="false">
      <c r="A33" s="1" t="n">
        <v>9</v>
      </c>
      <c r="B33" s="2" t="s">
        <v>128</v>
      </c>
      <c r="C33" s="1" t="s">
        <v>128</v>
      </c>
      <c r="D33" s="1" t="s">
        <v>325</v>
      </c>
      <c r="E33" s="1" t="s">
        <v>326</v>
      </c>
      <c r="F33" s="1" t="n">
        <v>7</v>
      </c>
      <c r="G33" s="1" t="n">
        <f aca="false">AVERAGE(F33:F40)</f>
        <v>4.875</v>
      </c>
      <c r="H33" s="1" t="n">
        <v>6</v>
      </c>
      <c r="I33" s="1" t="n">
        <f aca="false">ROUND(MAX(H33,G33),0)</f>
        <v>6</v>
      </c>
    </row>
    <row r="34" customFormat="false" ht="15" hidden="false" customHeight="false" outlineLevel="0" collapsed="false">
      <c r="C34" s="1" t="s">
        <v>128</v>
      </c>
      <c r="D34" s="1" t="s">
        <v>327</v>
      </c>
      <c r="E34" s="1" t="s">
        <v>328</v>
      </c>
      <c r="F34" s="1" t="n">
        <v>6</v>
      </c>
    </row>
    <row r="35" customFormat="false" ht="15" hidden="false" customHeight="false" outlineLevel="0" collapsed="false">
      <c r="C35" s="1" t="s">
        <v>128</v>
      </c>
      <c r="D35" s="1" t="s">
        <v>329</v>
      </c>
      <c r="E35" s="1" t="s">
        <v>330</v>
      </c>
      <c r="F35" s="1" t="n">
        <v>5</v>
      </c>
    </row>
    <row r="36" customFormat="false" ht="15" hidden="false" customHeight="false" outlineLevel="0" collapsed="false">
      <c r="C36" s="1" t="s">
        <v>128</v>
      </c>
      <c r="D36" s="1" t="s">
        <v>331</v>
      </c>
      <c r="E36" s="1" t="s">
        <v>300</v>
      </c>
      <c r="F36" s="1" t="n">
        <v>5</v>
      </c>
    </row>
    <row r="37" customFormat="false" ht="15" hidden="false" customHeight="false" outlineLevel="0" collapsed="false">
      <c r="C37" s="1" t="s">
        <v>128</v>
      </c>
      <c r="D37" s="1" t="s">
        <v>332</v>
      </c>
      <c r="E37" s="1" t="s">
        <v>333</v>
      </c>
      <c r="F37" s="1" t="n">
        <v>5</v>
      </c>
    </row>
    <row r="38" customFormat="false" ht="15" hidden="false" customHeight="false" outlineLevel="0" collapsed="false">
      <c r="C38" s="1" t="s">
        <v>128</v>
      </c>
      <c r="D38" s="1" t="s">
        <v>334</v>
      </c>
      <c r="E38" s="1" t="s">
        <v>335</v>
      </c>
      <c r="F38" s="1" t="n">
        <v>5</v>
      </c>
    </row>
    <row r="39" customFormat="false" ht="15" hidden="false" customHeight="false" outlineLevel="0" collapsed="false">
      <c r="C39" s="1" t="s">
        <v>128</v>
      </c>
      <c r="D39" s="1" t="s">
        <v>336</v>
      </c>
      <c r="E39" s="1" t="s">
        <v>173</v>
      </c>
      <c r="F39" s="1" t="n">
        <v>4</v>
      </c>
    </row>
    <row r="40" customFormat="false" ht="15" hidden="false" customHeight="false" outlineLevel="0" collapsed="false">
      <c r="C40" s="1" t="s">
        <v>128</v>
      </c>
      <c r="D40" s="1" t="s">
        <v>337</v>
      </c>
      <c r="E40" s="1" t="s">
        <v>338</v>
      </c>
      <c r="F40" s="1" t="n">
        <v>2</v>
      </c>
    </row>
    <row r="41" customFormat="false" ht="15" hidden="false" customHeight="false" outlineLevel="0" collapsed="false">
      <c r="A41" s="1" t="n">
        <v>10</v>
      </c>
      <c r="B41" s="2" t="s">
        <v>129</v>
      </c>
      <c r="C41" s="1" t="s">
        <v>129</v>
      </c>
      <c r="D41" s="1" t="s">
        <v>339</v>
      </c>
      <c r="E41" s="1" t="s">
        <v>340</v>
      </c>
      <c r="F41" s="1" t="n">
        <v>10</v>
      </c>
      <c r="G41" s="1" t="n">
        <f aca="false">AVERAGE(F41:F45)</f>
        <v>5.2</v>
      </c>
      <c r="H41" s="1" t="n">
        <v>8</v>
      </c>
      <c r="I41" s="1" t="n">
        <f aca="false">ROUND(MAX(H41,G41),0)</f>
        <v>8</v>
      </c>
    </row>
    <row r="42" customFormat="false" ht="15" hidden="false" customHeight="false" outlineLevel="0" collapsed="false">
      <c r="C42" s="1" t="s">
        <v>129</v>
      </c>
      <c r="D42" s="1" t="s">
        <v>341</v>
      </c>
      <c r="E42" s="1" t="s">
        <v>342</v>
      </c>
      <c r="F42" s="1" t="n">
        <v>8</v>
      </c>
    </row>
    <row r="43" customFormat="false" ht="15" hidden="false" customHeight="false" outlineLevel="0" collapsed="false">
      <c r="C43" s="1" t="s">
        <v>129</v>
      </c>
      <c r="D43" s="1" t="s">
        <v>343</v>
      </c>
      <c r="E43" s="1" t="s">
        <v>289</v>
      </c>
      <c r="F43" s="1" t="n">
        <v>4</v>
      </c>
    </row>
    <row r="44" customFormat="false" ht="15" hidden="false" customHeight="false" outlineLevel="0" collapsed="false">
      <c r="C44" s="1" t="s">
        <v>129</v>
      </c>
      <c r="D44" s="1" t="s">
        <v>274</v>
      </c>
      <c r="E44" s="1" t="s">
        <v>194</v>
      </c>
      <c r="F44" s="1" t="n">
        <v>3</v>
      </c>
    </row>
    <row r="45" customFormat="false" ht="15" hidden="false" customHeight="false" outlineLevel="0" collapsed="false">
      <c r="C45" s="1" t="s">
        <v>129</v>
      </c>
      <c r="D45" s="1" t="s">
        <v>344</v>
      </c>
      <c r="E45" s="1" t="s">
        <v>345</v>
      </c>
      <c r="F45" s="1" t="n">
        <v>1</v>
      </c>
    </row>
    <row r="46" customFormat="false" ht="15" hidden="false" customHeight="false" outlineLevel="0" collapsed="false">
      <c r="A46" s="1" t="n">
        <v>11</v>
      </c>
      <c r="B46" s="2" t="s">
        <v>130</v>
      </c>
      <c r="F46" s="1" t="n">
        <v>1</v>
      </c>
      <c r="I46" s="1" t="n">
        <v>1</v>
      </c>
    </row>
    <row r="47" customFormat="false" ht="15" hidden="false" customHeight="false" outlineLevel="0" collapsed="false">
      <c r="A47" s="1" t="n">
        <v>12</v>
      </c>
      <c r="B47" s="2" t="s">
        <v>131</v>
      </c>
      <c r="C47" s="1" t="s">
        <v>131</v>
      </c>
      <c r="D47" s="1" t="s">
        <v>346</v>
      </c>
      <c r="E47" s="1" t="s">
        <v>232</v>
      </c>
      <c r="F47" s="1" t="n">
        <v>8</v>
      </c>
      <c r="G47" s="1" t="n">
        <f aca="false">AVERAGE(F47:F52)</f>
        <v>6.16666666666667</v>
      </c>
      <c r="H47" s="1" t="n">
        <v>7</v>
      </c>
      <c r="I47" s="1" t="n">
        <f aca="false">ROUND(MAX(H47,G47),0)</f>
        <v>7</v>
      </c>
    </row>
    <row r="48" customFormat="false" ht="15" hidden="false" customHeight="false" outlineLevel="0" collapsed="false">
      <c r="C48" s="1" t="s">
        <v>131</v>
      </c>
      <c r="D48" s="1" t="s">
        <v>347</v>
      </c>
      <c r="E48" s="1" t="s">
        <v>196</v>
      </c>
      <c r="F48" s="1" t="n">
        <v>7</v>
      </c>
    </row>
    <row r="49" customFormat="false" ht="15" hidden="false" customHeight="false" outlineLevel="0" collapsed="false">
      <c r="C49" s="1" t="s">
        <v>131</v>
      </c>
      <c r="D49" s="1" t="s">
        <v>348</v>
      </c>
      <c r="E49" s="1" t="s">
        <v>216</v>
      </c>
      <c r="F49" s="1" t="n">
        <v>7</v>
      </c>
    </row>
    <row r="50" customFormat="false" ht="15" hidden="false" customHeight="false" outlineLevel="0" collapsed="false">
      <c r="C50" s="1" t="s">
        <v>131</v>
      </c>
      <c r="D50" s="1" t="s">
        <v>349</v>
      </c>
      <c r="E50" s="1" t="s">
        <v>183</v>
      </c>
      <c r="F50" s="1" t="n">
        <v>7</v>
      </c>
    </row>
    <row r="51" customFormat="false" ht="15" hidden="false" customHeight="false" outlineLevel="0" collapsed="false">
      <c r="C51" s="1" t="s">
        <v>131</v>
      </c>
      <c r="D51" s="1" t="s">
        <v>350</v>
      </c>
      <c r="E51" s="1" t="s">
        <v>351</v>
      </c>
      <c r="F51" s="1" t="n">
        <v>5</v>
      </c>
    </row>
    <row r="52" customFormat="false" ht="15" hidden="false" customHeight="false" outlineLevel="0" collapsed="false">
      <c r="C52" s="1" t="s">
        <v>131</v>
      </c>
      <c r="D52" s="1" t="s">
        <v>317</v>
      </c>
      <c r="E52" s="1" t="s">
        <v>352</v>
      </c>
      <c r="F52" s="1" t="n">
        <v>3</v>
      </c>
    </row>
    <row r="53" customFormat="false" ht="15" hidden="false" customHeight="false" outlineLevel="0" collapsed="false">
      <c r="A53" s="1" t="n">
        <v>13</v>
      </c>
      <c r="B53" s="2" t="s">
        <v>132</v>
      </c>
      <c r="C53" s="1" t="s">
        <v>132</v>
      </c>
      <c r="D53" s="1" t="s">
        <v>353</v>
      </c>
      <c r="E53" s="1" t="s">
        <v>240</v>
      </c>
      <c r="F53" s="1" t="n">
        <v>7</v>
      </c>
      <c r="I53" s="1" t="n">
        <v>7</v>
      </c>
    </row>
    <row r="54" customFormat="false" ht="15" hidden="false" customHeight="false" outlineLevel="0" collapsed="false">
      <c r="A54" s="1" t="n">
        <v>14</v>
      </c>
      <c r="B54" s="2" t="s">
        <v>133</v>
      </c>
      <c r="C54" s="1" t="s">
        <v>133</v>
      </c>
      <c r="D54" s="1" t="s">
        <v>354</v>
      </c>
      <c r="E54" s="1" t="s">
        <v>355</v>
      </c>
      <c r="F54" s="1" t="n">
        <v>8</v>
      </c>
      <c r="G54" s="1" t="n">
        <f aca="false">AVERAGE(F54:F58)</f>
        <v>6</v>
      </c>
      <c r="H54" s="1" t="n">
        <v>6</v>
      </c>
      <c r="I54" s="1" t="n">
        <f aca="false">ROUND(MAX(H54,G54),0)</f>
        <v>6</v>
      </c>
    </row>
    <row r="55" customFormat="false" ht="15" hidden="false" customHeight="false" outlineLevel="0" collapsed="false">
      <c r="C55" s="1" t="s">
        <v>133</v>
      </c>
      <c r="D55" s="1" t="s">
        <v>356</v>
      </c>
      <c r="E55" s="1" t="s">
        <v>357</v>
      </c>
      <c r="F55" s="1" t="n">
        <v>6</v>
      </c>
    </row>
    <row r="56" customFormat="false" ht="15" hidden="false" customHeight="false" outlineLevel="0" collapsed="false">
      <c r="C56" s="1" t="s">
        <v>133</v>
      </c>
      <c r="D56" s="1" t="s">
        <v>358</v>
      </c>
      <c r="E56" s="1" t="s">
        <v>263</v>
      </c>
      <c r="F56" s="1" t="n">
        <v>6</v>
      </c>
    </row>
    <row r="57" customFormat="false" ht="15" hidden="false" customHeight="false" outlineLevel="0" collapsed="false">
      <c r="C57" s="1" t="s">
        <v>133</v>
      </c>
      <c r="D57" s="1" t="s">
        <v>359</v>
      </c>
      <c r="E57" s="1" t="s">
        <v>360</v>
      </c>
      <c r="F57" s="1" t="n">
        <v>5</v>
      </c>
    </row>
    <row r="58" customFormat="false" ht="15" hidden="false" customHeight="false" outlineLevel="0" collapsed="false">
      <c r="C58" s="1" t="s">
        <v>133</v>
      </c>
      <c r="D58" s="1" t="s">
        <v>361</v>
      </c>
      <c r="E58" s="1" t="s">
        <v>362</v>
      </c>
      <c r="F58" s="1" t="n">
        <v>5</v>
      </c>
    </row>
    <row r="59" customFormat="false" ht="15" hidden="false" customHeight="false" outlineLevel="0" collapsed="false">
      <c r="A59" s="1" t="n">
        <v>15</v>
      </c>
      <c r="B59" s="2" t="s">
        <v>134</v>
      </c>
      <c r="C59" s="1" t="s">
        <v>134</v>
      </c>
      <c r="D59" s="1" t="s">
        <v>363</v>
      </c>
      <c r="E59" s="1" t="s">
        <v>173</v>
      </c>
      <c r="F59" s="1" t="n">
        <v>6</v>
      </c>
      <c r="G59" s="1" t="n">
        <f aca="false">AVERAGE(F59:F65)</f>
        <v>5.14285714285714</v>
      </c>
      <c r="H59" s="1" t="n">
        <v>6</v>
      </c>
      <c r="I59" s="1" t="n">
        <f aca="false">ROUND(MAX(H59,G59),0)</f>
        <v>6</v>
      </c>
    </row>
    <row r="60" customFormat="false" ht="15" hidden="false" customHeight="false" outlineLevel="0" collapsed="false">
      <c r="C60" s="1" t="s">
        <v>134</v>
      </c>
      <c r="D60" s="1" t="s">
        <v>364</v>
      </c>
      <c r="E60" s="1" t="s">
        <v>283</v>
      </c>
      <c r="F60" s="1" t="n">
        <v>6</v>
      </c>
    </row>
    <row r="61" customFormat="false" ht="15" hidden="false" customHeight="false" outlineLevel="0" collapsed="false">
      <c r="C61" s="1" t="s">
        <v>134</v>
      </c>
      <c r="D61" s="1" t="s">
        <v>365</v>
      </c>
      <c r="E61" s="1" t="s">
        <v>193</v>
      </c>
      <c r="F61" s="1" t="n">
        <v>6</v>
      </c>
    </row>
    <row r="62" customFormat="false" ht="15" hidden="false" customHeight="false" outlineLevel="0" collapsed="false">
      <c r="C62" s="1" t="s">
        <v>134</v>
      </c>
      <c r="D62" s="1" t="s">
        <v>366</v>
      </c>
      <c r="E62" s="1" t="s">
        <v>367</v>
      </c>
      <c r="F62" s="1" t="n">
        <v>5</v>
      </c>
    </row>
    <row r="63" customFormat="false" ht="15" hidden="false" customHeight="false" outlineLevel="0" collapsed="false">
      <c r="C63" s="1" t="s">
        <v>134</v>
      </c>
      <c r="D63" s="1" t="s">
        <v>368</v>
      </c>
      <c r="E63" s="1" t="s">
        <v>369</v>
      </c>
      <c r="F63" s="1" t="n">
        <v>5</v>
      </c>
    </row>
    <row r="64" customFormat="false" ht="15" hidden="false" customHeight="false" outlineLevel="0" collapsed="false">
      <c r="C64" s="1" t="s">
        <v>134</v>
      </c>
      <c r="D64" s="1" t="s">
        <v>370</v>
      </c>
      <c r="E64" s="1" t="s">
        <v>362</v>
      </c>
      <c r="F64" s="1" t="n">
        <v>4</v>
      </c>
    </row>
    <row r="65" customFormat="false" ht="15" hidden="false" customHeight="false" outlineLevel="0" collapsed="false">
      <c r="C65" s="1" t="s">
        <v>134</v>
      </c>
      <c r="D65" s="1" t="s">
        <v>371</v>
      </c>
      <c r="E65" s="1" t="s">
        <v>258</v>
      </c>
      <c r="F65" s="1" t="n">
        <v>4</v>
      </c>
    </row>
    <row r="66" customFormat="false" ht="15" hidden="false" customHeight="false" outlineLevel="0" collapsed="false">
      <c r="A66" s="1" t="n">
        <v>16</v>
      </c>
      <c r="B66" s="2" t="s">
        <v>135</v>
      </c>
      <c r="F66" s="1" t="n">
        <v>1</v>
      </c>
      <c r="I66" s="1" t="n">
        <v>1</v>
      </c>
    </row>
    <row r="67" customFormat="false" ht="15" hidden="false" customHeight="false" outlineLevel="0" collapsed="false">
      <c r="A67" s="1" t="n">
        <v>17</v>
      </c>
      <c r="B67" s="2" t="s">
        <v>136</v>
      </c>
      <c r="C67" s="1" t="s">
        <v>136</v>
      </c>
      <c r="D67" s="1" t="s">
        <v>372</v>
      </c>
      <c r="E67" s="1" t="s">
        <v>260</v>
      </c>
      <c r="F67" s="1" t="n">
        <v>10</v>
      </c>
      <c r="G67" s="1" t="n">
        <f aca="false">AVERAGE(F67:F72)</f>
        <v>5.5</v>
      </c>
      <c r="H67" s="1" t="n">
        <v>6</v>
      </c>
      <c r="I67" s="1" t="n">
        <f aca="false">ROUND(MAX(H67,G67),0)</f>
        <v>6</v>
      </c>
    </row>
    <row r="68" customFormat="false" ht="15" hidden="false" customHeight="false" outlineLevel="0" collapsed="false">
      <c r="C68" s="1" t="s">
        <v>136</v>
      </c>
      <c r="D68" s="1" t="s">
        <v>373</v>
      </c>
      <c r="E68" s="1" t="s">
        <v>374</v>
      </c>
      <c r="F68" s="1" t="n">
        <v>6</v>
      </c>
    </row>
    <row r="69" customFormat="false" ht="15" hidden="false" customHeight="false" outlineLevel="0" collapsed="false">
      <c r="C69" s="1" t="s">
        <v>136</v>
      </c>
      <c r="D69" s="1" t="s">
        <v>375</v>
      </c>
      <c r="E69" s="1" t="s">
        <v>149</v>
      </c>
      <c r="F69" s="1" t="n">
        <v>5</v>
      </c>
    </row>
    <row r="70" customFormat="false" ht="15" hidden="false" customHeight="false" outlineLevel="0" collapsed="false">
      <c r="C70" s="1" t="s">
        <v>136</v>
      </c>
      <c r="D70" s="1" t="s">
        <v>376</v>
      </c>
      <c r="E70" s="1" t="s">
        <v>377</v>
      </c>
      <c r="F70" s="1" t="n">
        <v>4</v>
      </c>
    </row>
    <row r="71" customFormat="false" ht="15" hidden="false" customHeight="false" outlineLevel="0" collapsed="false">
      <c r="C71" s="1" t="s">
        <v>136</v>
      </c>
      <c r="D71" s="1" t="s">
        <v>378</v>
      </c>
      <c r="E71" s="1" t="s">
        <v>379</v>
      </c>
      <c r="F71" s="1" t="n">
        <v>4</v>
      </c>
    </row>
    <row r="72" customFormat="false" ht="15" hidden="false" customHeight="false" outlineLevel="0" collapsed="false">
      <c r="C72" s="1" t="s">
        <v>136</v>
      </c>
      <c r="D72" s="1" t="s">
        <v>306</v>
      </c>
      <c r="E72" s="1" t="s">
        <v>231</v>
      </c>
      <c r="F72" s="1" t="n">
        <v>4</v>
      </c>
    </row>
    <row r="73" customFormat="false" ht="15" hidden="false" customHeight="false" outlineLevel="0" collapsed="false">
      <c r="A73" s="1" t="n">
        <v>18</v>
      </c>
      <c r="B73" s="2" t="s">
        <v>137</v>
      </c>
      <c r="C73" s="1" t="s">
        <v>137</v>
      </c>
      <c r="D73" s="1" t="s">
        <v>380</v>
      </c>
      <c r="E73" s="1" t="s">
        <v>381</v>
      </c>
      <c r="F73" s="1" t="n">
        <v>10</v>
      </c>
      <c r="G73" s="1" t="n">
        <f aca="false">AVERAGE(F73:F75)</f>
        <v>5.66666666666667</v>
      </c>
      <c r="H73" s="1" t="n">
        <v>6</v>
      </c>
      <c r="I73" s="1" t="n">
        <f aca="false">ROUND(MAX(H73,G73),0)</f>
        <v>6</v>
      </c>
    </row>
    <row r="74" customFormat="false" ht="15" hidden="false" customHeight="false" outlineLevel="0" collapsed="false">
      <c r="C74" s="1" t="s">
        <v>137</v>
      </c>
      <c r="D74" s="1" t="s">
        <v>382</v>
      </c>
      <c r="E74" s="1" t="s">
        <v>383</v>
      </c>
      <c r="F74" s="1" t="n">
        <v>6</v>
      </c>
    </row>
    <row r="75" customFormat="false" ht="15" hidden="false" customHeight="false" outlineLevel="0" collapsed="false">
      <c r="C75" s="1" t="s">
        <v>137</v>
      </c>
      <c r="D75" s="1" t="s">
        <v>384</v>
      </c>
      <c r="E75" s="1" t="s">
        <v>385</v>
      </c>
      <c r="F75" s="1" t="n">
        <v>1</v>
      </c>
    </row>
    <row r="76" customFormat="false" ht="15" hidden="false" customHeight="false" outlineLevel="0" collapsed="false">
      <c r="A76" s="1" t="n">
        <v>19</v>
      </c>
      <c r="B76" s="2" t="s">
        <v>138</v>
      </c>
      <c r="C76" s="1" t="s">
        <v>138</v>
      </c>
      <c r="D76" s="1" t="s">
        <v>386</v>
      </c>
      <c r="E76" s="1" t="s">
        <v>305</v>
      </c>
      <c r="F76" s="1" t="n">
        <v>9</v>
      </c>
      <c r="G76" s="1" t="n">
        <f aca="false">AVERAGE(F76:F79)</f>
        <v>5</v>
      </c>
      <c r="H76" s="1" t="n">
        <v>5</v>
      </c>
      <c r="I76" s="1" t="n">
        <f aca="false">ROUND(MAX(H76,G76),0)</f>
        <v>5</v>
      </c>
    </row>
    <row r="77" customFormat="false" ht="15" hidden="false" customHeight="false" outlineLevel="0" collapsed="false">
      <c r="C77" s="1" t="s">
        <v>138</v>
      </c>
      <c r="D77" s="1" t="s">
        <v>387</v>
      </c>
      <c r="E77" s="1" t="s">
        <v>388</v>
      </c>
      <c r="F77" s="1" t="n">
        <v>5</v>
      </c>
    </row>
    <row r="78" customFormat="false" ht="15" hidden="false" customHeight="false" outlineLevel="0" collapsed="false">
      <c r="C78" s="1" t="s">
        <v>138</v>
      </c>
      <c r="D78" s="1" t="s">
        <v>389</v>
      </c>
      <c r="E78" s="1" t="s">
        <v>390</v>
      </c>
      <c r="F78" s="1" t="n">
        <v>3</v>
      </c>
    </row>
    <row r="79" customFormat="false" ht="15" hidden="false" customHeight="false" outlineLevel="0" collapsed="false">
      <c r="C79" s="1" t="s">
        <v>138</v>
      </c>
      <c r="D79" s="1" t="s">
        <v>391</v>
      </c>
      <c r="E79" s="1" t="s">
        <v>300</v>
      </c>
      <c r="F79" s="1" t="n">
        <v>3</v>
      </c>
    </row>
    <row r="80" customFormat="false" ht="15" hidden="false" customHeight="false" outlineLevel="0" collapsed="false">
      <c r="A80" s="1" t="n">
        <v>20</v>
      </c>
      <c r="B80" s="2" t="s">
        <v>115</v>
      </c>
      <c r="F80" s="1" t="n">
        <v>1</v>
      </c>
      <c r="I80" s="1" t="n">
        <v>1</v>
      </c>
    </row>
    <row r="81" customFormat="false" ht="15" hidden="false" customHeight="false" outlineLevel="0" collapsed="false">
      <c r="A81" s="1" t="n">
        <v>21</v>
      </c>
      <c r="B81" s="2" t="s">
        <v>139</v>
      </c>
      <c r="C81" s="1" t="s">
        <v>139</v>
      </c>
      <c r="D81" s="1" t="s">
        <v>378</v>
      </c>
      <c r="E81" s="1" t="s">
        <v>392</v>
      </c>
      <c r="F81" s="1" t="n">
        <v>2</v>
      </c>
      <c r="I81" s="1" t="n">
        <v>2</v>
      </c>
    </row>
    <row r="82" customFormat="false" ht="15" hidden="false" customHeight="false" outlineLevel="0" collapsed="false">
      <c r="A82" s="1" t="n">
        <v>22</v>
      </c>
      <c r="B82" s="2" t="s">
        <v>140</v>
      </c>
      <c r="C82" s="1" t="s">
        <v>140</v>
      </c>
      <c r="D82" s="1" t="s">
        <v>393</v>
      </c>
      <c r="E82" s="1" t="s">
        <v>392</v>
      </c>
      <c r="F82" s="1" t="n">
        <v>10</v>
      </c>
      <c r="G82" s="1" t="n">
        <f aca="false">AVERAGE(F82:F89)</f>
        <v>5.75</v>
      </c>
      <c r="H82" s="1" t="n">
        <v>9</v>
      </c>
      <c r="I82" s="1" t="n">
        <f aca="false">ROUND(MAX(H82,G82),0)</f>
        <v>9</v>
      </c>
    </row>
    <row r="83" customFormat="false" ht="15" hidden="false" customHeight="false" outlineLevel="0" collapsed="false">
      <c r="C83" s="1" t="s">
        <v>140</v>
      </c>
      <c r="D83" s="1" t="s">
        <v>363</v>
      </c>
      <c r="E83" s="1" t="s">
        <v>394</v>
      </c>
      <c r="F83" s="1" t="n">
        <v>9</v>
      </c>
    </row>
    <row r="84" customFormat="false" ht="15" hidden="false" customHeight="false" outlineLevel="0" collapsed="false">
      <c r="C84" s="1" t="s">
        <v>140</v>
      </c>
      <c r="D84" s="1" t="s">
        <v>395</v>
      </c>
      <c r="E84" s="1" t="s">
        <v>396</v>
      </c>
      <c r="F84" s="1" t="n">
        <v>8</v>
      </c>
    </row>
    <row r="85" customFormat="false" ht="15" hidden="false" customHeight="false" outlineLevel="0" collapsed="false">
      <c r="C85" s="1" t="s">
        <v>140</v>
      </c>
      <c r="D85" s="1" t="s">
        <v>397</v>
      </c>
      <c r="E85" s="1" t="s">
        <v>398</v>
      </c>
      <c r="F85" s="1" t="n">
        <v>6</v>
      </c>
    </row>
    <row r="86" customFormat="false" ht="15" hidden="false" customHeight="false" outlineLevel="0" collapsed="false">
      <c r="C86" s="1" t="s">
        <v>140</v>
      </c>
      <c r="D86" s="1" t="s">
        <v>370</v>
      </c>
      <c r="E86" s="1" t="s">
        <v>399</v>
      </c>
      <c r="F86" s="1" t="n">
        <v>6</v>
      </c>
    </row>
    <row r="87" customFormat="false" ht="15" hidden="false" customHeight="false" outlineLevel="0" collapsed="false">
      <c r="C87" s="1" t="s">
        <v>140</v>
      </c>
      <c r="D87" s="1" t="s">
        <v>400</v>
      </c>
      <c r="E87" s="1" t="s">
        <v>289</v>
      </c>
      <c r="F87" s="1" t="n">
        <v>4</v>
      </c>
    </row>
    <row r="88" customFormat="false" ht="15" hidden="false" customHeight="false" outlineLevel="0" collapsed="false">
      <c r="C88" s="1" t="s">
        <v>140</v>
      </c>
      <c r="D88" s="1" t="s">
        <v>401</v>
      </c>
      <c r="E88" s="1" t="s">
        <v>300</v>
      </c>
      <c r="F88" s="1" t="n">
        <v>2</v>
      </c>
    </row>
    <row r="89" customFormat="false" ht="15" hidden="false" customHeight="false" outlineLevel="0" collapsed="false">
      <c r="C89" s="1" t="s">
        <v>140</v>
      </c>
      <c r="D89" s="1" t="s">
        <v>286</v>
      </c>
      <c r="E89" s="1" t="s">
        <v>402</v>
      </c>
      <c r="F89" s="1" t="n">
        <v>1</v>
      </c>
    </row>
    <row r="90" customFormat="false" ht="15" hidden="false" customHeight="false" outlineLevel="0" collapsed="false">
      <c r="H90" s="1" t="s">
        <v>86</v>
      </c>
      <c r="I90" s="1" t="n">
        <f aca="false">COUNTIF(I2:I89,"&gt;0")</f>
        <v>22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33"/>
  <sheetViews>
    <sheetView showFormulas="false" showGridLines="true" showRowColHeaders="true" showZeros="true" rightToLeft="false" tabSelected="false" showOutlineSymbols="true" defaultGridColor="true" view="normal" topLeftCell="C81" colorId="64" zoomScale="95" zoomScaleNormal="95" zoomScalePageLayoutView="100" workbookViewId="0">
      <selection pane="topLeft" activeCell="F95" activeCellId="0" sqref="F95"/>
    </sheetView>
  </sheetViews>
  <sheetFormatPr defaultColWidth="9.43359375" defaultRowHeight="12.8" zeroHeight="false" outlineLevelRow="0" outlineLevelCol="0"/>
  <cols>
    <col collapsed="false" customWidth="true" hidden="false" outlineLevel="0" max="1" min="1" style="1" width="3.29"/>
    <col collapsed="false" customWidth="true" hidden="false" outlineLevel="0" max="3" min="2" style="1" width="13.43"/>
    <col collapsed="false" customWidth="true" hidden="false" outlineLevel="0" max="4" min="4" style="1" width="17.7"/>
    <col collapsed="false" customWidth="true" hidden="false" outlineLevel="0" max="5" min="5" style="1" width="22.2"/>
  </cols>
  <sheetData>
    <row r="1" customFormat="false" ht="15" hidden="false" customHeight="false" outlineLevel="0" collapsed="false">
      <c r="C1" s="1" t="s">
        <v>2</v>
      </c>
      <c r="D1" s="1" t="s">
        <v>1</v>
      </c>
      <c r="E1" s="1" t="s">
        <v>142</v>
      </c>
      <c r="F1" s="1" t="s">
        <v>143</v>
      </c>
      <c r="G1" s="1" t="s">
        <v>100</v>
      </c>
      <c r="H1" s="1" t="s">
        <v>144</v>
      </c>
      <c r="I1" s="1" t="s">
        <v>145</v>
      </c>
    </row>
    <row r="2" customFormat="false" ht="15" hidden="false" customHeight="false" outlineLevel="0" collapsed="false">
      <c r="A2" s="1" t="n">
        <v>1</v>
      </c>
      <c r="B2" s="2" t="s">
        <v>120</v>
      </c>
      <c r="C2" s="1" t="s">
        <v>120</v>
      </c>
      <c r="D2" s="1" t="s">
        <v>403</v>
      </c>
      <c r="E2" s="1" t="s">
        <v>273</v>
      </c>
      <c r="F2" s="1" t="n">
        <v>5</v>
      </c>
      <c r="G2" s="1" t="n">
        <f aca="false">AVERAGE(F2:F4)</f>
        <v>3.66666666666667</v>
      </c>
      <c r="H2" s="1" t="n">
        <v>3</v>
      </c>
      <c r="I2" s="1" t="n">
        <f aca="false">ROUND(MAX(H2,G2),0)</f>
        <v>4</v>
      </c>
    </row>
    <row r="3" customFormat="false" ht="15" hidden="false" customHeight="false" outlineLevel="0" collapsed="false">
      <c r="C3" s="1" t="s">
        <v>120</v>
      </c>
      <c r="D3" s="1" t="s">
        <v>403</v>
      </c>
      <c r="E3" s="1" t="s">
        <v>275</v>
      </c>
      <c r="F3" s="1" t="n">
        <v>3</v>
      </c>
    </row>
    <row r="4" customFormat="false" ht="15" hidden="false" customHeight="false" outlineLevel="0" collapsed="false">
      <c r="C4" s="1" t="s">
        <v>120</v>
      </c>
      <c r="D4" s="1" t="s">
        <v>403</v>
      </c>
      <c r="E4" s="1" t="s">
        <v>277</v>
      </c>
      <c r="F4" s="1" t="n">
        <v>3</v>
      </c>
    </row>
    <row r="5" customFormat="false" ht="15" hidden="false" customHeight="false" outlineLevel="0" collapsed="false">
      <c r="A5" s="1" t="n">
        <v>2</v>
      </c>
      <c r="B5" s="2" t="s">
        <v>121</v>
      </c>
      <c r="C5" s="1" t="s">
        <v>121</v>
      </c>
      <c r="D5" s="1" t="s">
        <v>160</v>
      </c>
      <c r="E5" s="1" t="s">
        <v>269</v>
      </c>
      <c r="F5" s="1" t="n">
        <v>10</v>
      </c>
      <c r="G5" s="1" t="n">
        <f aca="false">AVERAGE(F5:F8)</f>
        <v>7.25</v>
      </c>
      <c r="H5" s="1" t="n">
        <v>9</v>
      </c>
      <c r="I5" s="1" t="n">
        <f aca="false">ROUND(MAX(H5,G5),0)</f>
        <v>9</v>
      </c>
    </row>
    <row r="6" customFormat="false" ht="15" hidden="false" customHeight="false" outlineLevel="0" collapsed="false">
      <c r="C6" s="1" t="s">
        <v>121</v>
      </c>
      <c r="D6" s="1" t="s">
        <v>160</v>
      </c>
      <c r="E6" s="1" t="s">
        <v>404</v>
      </c>
      <c r="F6" s="1" t="n">
        <v>9</v>
      </c>
    </row>
    <row r="7" customFormat="false" ht="15" hidden="false" customHeight="false" outlineLevel="0" collapsed="false">
      <c r="C7" s="1" t="s">
        <v>121</v>
      </c>
      <c r="D7" s="1" t="s">
        <v>160</v>
      </c>
      <c r="E7" s="1" t="s">
        <v>279</v>
      </c>
      <c r="F7" s="1" t="n">
        <v>7</v>
      </c>
    </row>
    <row r="8" customFormat="false" ht="15" hidden="false" customHeight="false" outlineLevel="0" collapsed="false">
      <c r="C8" s="1" t="s">
        <v>121</v>
      </c>
      <c r="D8" s="1" t="s">
        <v>160</v>
      </c>
      <c r="E8" s="1" t="s">
        <v>281</v>
      </c>
      <c r="F8" s="1" t="n">
        <v>3</v>
      </c>
    </row>
    <row r="9" customFormat="false" ht="15" hidden="false" customHeight="false" outlineLevel="0" collapsed="false">
      <c r="A9" s="1" t="n">
        <v>3</v>
      </c>
      <c r="B9" s="13" t="s">
        <v>122</v>
      </c>
      <c r="C9" s="1" t="s">
        <v>122</v>
      </c>
      <c r="D9" s="1" t="s">
        <v>164</v>
      </c>
      <c r="E9" s="1" t="s">
        <v>283</v>
      </c>
      <c r="F9" s="1" t="n">
        <v>8</v>
      </c>
      <c r="G9" s="1" t="n">
        <f aca="false">AVERAGE(F9:F13)</f>
        <v>5.2</v>
      </c>
      <c r="H9" s="1" t="n">
        <v>7</v>
      </c>
      <c r="I9" s="1" t="n">
        <f aca="false">ROUND(MAX(H9,G9),0)</f>
        <v>7</v>
      </c>
    </row>
    <row r="10" customFormat="false" ht="15" hidden="false" customHeight="false" outlineLevel="0" collapsed="false">
      <c r="C10" s="1" t="s">
        <v>122</v>
      </c>
      <c r="D10" s="1" t="s">
        <v>164</v>
      </c>
      <c r="E10" s="1" t="s">
        <v>271</v>
      </c>
      <c r="F10" s="1" t="n">
        <v>7</v>
      </c>
    </row>
    <row r="11" customFormat="false" ht="15" hidden="false" customHeight="false" outlineLevel="0" collapsed="false">
      <c r="C11" s="1" t="s">
        <v>122</v>
      </c>
      <c r="D11" s="1" t="s">
        <v>164</v>
      </c>
      <c r="E11" s="1" t="s">
        <v>173</v>
      </c>
      <c r="F11" s="1" t="n">
        <v>6</v>
      </c>
    </row>
    <row r="12" customFormat="false" ht="15" hidden="false" customHeight="false" outlineLevel="0" collapsed="false">
      <c r="C12" s="1" t="s">
        <v>122</v>
      </c>
      <c r="D12" s="1" t="s">
        <v>164</v>
      </c>
      <c r="E12" s="1" t="s">
        <v>183</v>
      </c>
      <c r="F12" s="1" t="n">
        <v>3</v>
      </c>
    </row>
    <row r="13" customFormat="false" ht="15" hidden="false" customHeight="false" outlineLevel="0" collapsed="false">
      <c r="C13" s="1" t="s">
        <v>122</v>
      </c>
      <c r="D13" s="1" t="s">
        <v>164</v>
      </c>
      <c r="E13" s="1" t="s">
        <v>287</v>
      </c>
      <c r="F13" s="1" t="n">
        <v>2</v>
      </c>
    </row>
    <row r="14" customFormat="false" ht="15" hidden="false" customHeight="false" outlineLevel="0" collapsed="false">
      <c r="A14" s="1" t="n">
        <v>4</v>
      </c>
      <c r="B14" s="2" t="s">
        <v>123</v>
      </c>
      <c r="C14" s="1" t="s">
        <v>123</v>
      </c>
      <c r="D14" s="1" t="s">
        <v>169</v>
      </c>
      <c r="E14" s="1" t="s">
        <v>289</v>
      </c>
      <c r="F14" s="1" t="n">
        <v>8</v>
      </c>
      <c r="G14" s="1" t="n">
        <f aca="false">AVERAGE(F14:F18)</f>
        <v>5.4</v>
      </c>
      <c r="H14" s="1" t="n">
        <v>6</v>
      </c>
      <c r="I14" s="1" t="n">
        <f aca="false">ROUND(MAX(H14,G14),0)</f>
        <v>6</v>
      </c>
    </row>
    <row r="15" customFormat="false" ht="15" hidden="false" customHeight="false" outlineLevel="0" collapsed="false">
      <c r="C15" s="1" t="s">
        <v>123</v>
      </c>
      <c r="D15" s="1" t="s">
        <v>169</v>
      </c>
      <c r="E15" s="1" t="s">
        <v>291</v>
      </c>
      <c r="F15" s="1" t="n">
        <v>6</v>
      </c>
    </row>
    <row r="16" customFormat="false" ht="15" hidden="false" customHeight="false" outlineLevel="0" collapsed="false">
      <c r="C16" s="1" t="s">
        <v>123</v>
      </c>
      <c r="D16" s="1" t="s">
        <v>169</v>
      </c>
      <c r="E16" s="1" t="s">
        <v>277</v>
      </c>
      <c r="F16" s="1" t="n">
        <v>6</v>
      </c>
    </row>
    <row r="17" customFormat="false" ht="15" hidden="false" customHeight="false" outlineLevel="0" collapsed="false">
      <c r="C17" s="1" t="s">
        <v>123</v>
      </c>
      <c r="D17" s="1" t="s">
        <v>169</v>
      </c>
      <c r="E17" s="1" t="s">
        <v>294</v>
      </c>
      <c r="F17" s="1" t="n">
        <v>4</v>
      </c>
    </row>
    <row r="18" customFormat="false" ht="15" hidden="false" customHeight="false" outlineLevel="0" collapsed="false">
      <c r="C18" s="1" t="s">
        <v>123</v>
      </c>
      <c r="D18" s="1" t="s">
        <v>169</v>
      </c>
      <c r="E18" s="1" t="s">
        <v>296</v>
      </c>
      <c r="F18" s="1" t="n">
        <v>3</v>
      </c>
    </row>
    <row r="19" customFormat="false" ht="15" hidden="false" customHeight="false" outlineLevel="0" collapsed="false">
      <c r="C19" s="1" t="s">
        <v>124</v>
      </c>
      <c r="D19" s="1" t="s">
        <v>172</v>
      </c>
      <c r="E19" s="1" t="s">
        <v>405</v>
      </c>
      <c r="F19" s="1" t="n">
        <v>10</v>
      </c>
    </row>
    <row r="20" customFormat="false" ht="15" hidden="false" customHeight="false" outlineLevel="0" collapsed="false">
      <c r="A20" s="1" t="n">
        <v>5</v>
      </c>
      <c r="B20" s="2" t="s">
        <v>124</v>
      </c>
      <c r="C20" s="1" t="s">
        <v>124</v>
      </c>
      <c r="D20" s="1" t="s">
        <v>172</v>
      </c>
      <c r="E20" s="1" t="s">
        <v>406</v>
      </c>
      <c r="F20" s="1" t="n">
        <v>10</v>
      </c>
      <c r="G20" s="1" t="n">
        <f aca="false">AVERAGE(F20:F35)</f>
        <v>6.5625</v>
      </c>
      <c r="H20" s="1" t="n">
        <v>9</v>
      </c>
      <c r="I20" s="1" t="n">
        <f aca="false">ROUND(MAX(H20,G20),0)</f>
        <v>9</v>
      </c>
    </row>
    <row r="21" customFormat="false" ht="15" hidden="false" customHeight="false" outlineLevel="0" collapsed="false">
      <c r="C21" s="1" t="s">
        <v>124</v>
      </c>
      <c r="D21" s="1" t="s">
        <v>172</v>
      </c>
      <c r="E21" s="1" t="s">
        <v>235</v>
      </c>
      <c r="F21" s="1" t="n">
        <v>9</v>
      </c>
    </row>
    <row r="22" customFormat="false" ht="15" hidden="false" customHeight="false" outlineLevel="0" collapsed="false">
      <c r="C22" s="1" t="s">
        <v>124</v>
      </c>
      <c r="D22" s="1" t="s">
        <v>172</v>
      </c>
      <c r="E22" s="1" t="s">
        <v>261</v>
      </c>
      <c r="F22" s="1" t="n">
        <v>9</v>
      </c>
    </row>
    <row r="23" customFormat="false" ht="15" hidden="false" customHeight="false" outlineLevel="0" collapsed="false">
      <c r="C23" s="1" t="s">
        <v>124</v>
      </c>
      <c r="D23" s="1" t="s">
        <v>172</v>
      </c>
      <c r="E23" s="1" t="s">
        <v>298</v>
      </c>
      <c r="F23" s="1" t="n">
        <v>8</v>
      </c>
    </row>
    <row r="24" customFormat="false" ht="15" hidden="false" customHeight="false" outlineLevel="0" collapsed="false">
      <c r="C24" s="1" t="s">
        <v>124</v>
      </c>
      <c r="D24" s="1" t="s">
        <v>172</v>
      </c>
      <c r="E24" s="1" t="s">
        <v>254</v>
      </c>
      <c r="F24" s="1" t="n">
        <v>8</v>
      </c>
    </row>
    <row r="25" customFormat="false" ht="15" hidden="false" customHeight="false" outlineLevel="0" collapsed="false">
      <c r="C25" s="1" t="s">
        <v>124</v>
      </c>
      <c r="D25" s="1" t="s">
        <v>172</v>
      </c>
      <c r="E25" s="1" t="s">
        <v>407</v>
      </c>
      <c r="F25" s="1" t="n">
        <v>7</v>
      </c>
    </row>
    <row r="26" customFormat="false" ht="15" hidden="false" customHeight="false" outlineLevel="0" collapsed="false">
      <c r="C26" s="1" t="s">
        <v>124</v>
      </c>
      <c r="D26" s="1" t="s">
        <v>172</v>
      </c>
      <c r="E26" s="1" t="s">
        <v>173</v>
      </c>
      <c r="F26" s="1" t="n">
        <v>7</v>
      </c>
    </row>
    <row r="27" customFormat="false" ht="15" hidden="false" customHeight="false" outlineLevel="0" collapsed="false">
      <c r="C27" s="1" t="s">
        <v>124</v>
      </c>
      <c r="D27" s="1" t="s">
        <v>172</v>
      </c>
      <c r="E27" s="1" t="s">
        <v>408</v>
      </c>
      <c r="F27" s="1" t="n">
        <v>7</v>
      </c>
    </row>
    <row r="28" customFormat="false" ht="15" hidden="false" customHeight="false" outlineLevel="0" collapsed="false">
      <c r="C28" s="1" t="s">
        <v>124</v>
      </c>
      <c r="D28" s="1" t="s">
        <v>172</v>
      </c>
      <c r="E28" s="1" t="s">
        <v>377</v>
      </c>
      <c r="F28" s="1" t="n">
        <v>6</v>
      </c>
    </row>
    <row r="29" customFormat="false" ht="15" hidden="false" customHeight="false" outlineLevel="0" collapsed="false">
      <c r="C29" s="1" t="s">
        <v>124</v>
      </c>
      <c r="D29" s="1" t="s">
        <v>172</v>
      </c>
      <c r="E29" s="1" t="s">
        <v>173</v>
      </c>
      <c r="F29" s="1" t="n">
        <v>6</v>
      </c>
    </row>
    <row r="30" customFormat="false" ht="15" hidden="false" customHeight="false" outlineLevel="0" collapsed="false">
      <c r="C30" s="1" t="s">
        <v>124</v>
      </c>
      <c r="D30" s="1" t="s">
        <v>172</v>
      </c>
      <c r="E30" s="1" t="s">
        <v>231</v>
      </c>
      <c r="F30" s="1" t="n">
        <v>6</v>
      </c>
    </row>
    <row r="31" customFormat="false" ht="15" hidden="false" customHeight="false" outlineLevel="0" collapsed="false">
      <c r="C31" s="1" t="s">
        <v>124</v>
      </c>
      <c r="D31" s="1" t="s">
        <v>172</v>
      </c>
      <c r="E31" s="1" t="s">
        <v>409</v>
      </c>
      <c r="F31" s="1" t="n">
        <v>5</v>
      </c>
    </row>
    <row r="32" customFormat="false" ht="15" hidden="false" customHeight="false" outlineLevel="0" collapsed="false">
      <c r="C32" s="1" t="s">
        <v>124</v>
      </c>
      <c r="D32" s="1" t="s">
        <v>172</v>
      </c>
      <c r="E32" s="1" t="s">
        <v>410</v>
      </c>
      <c r="F32" s="1" t="n">
        <v>5</v>
      </c>
    </row>
    <row r="33" customFormat="false" ht="15" hidden="false" customHeight="false" outlineLevel="0" collapsed="false">
      <c r="C33" s="1" t="s">
        <v>124</v>
      </c>
      <c r="D33" s="1" t="s">
        <v>172</v>
      </c>
      <c r="E33" s="1" t="s">
        <v>167</v>
      </c>
      <c r="F33" s="1" t="n">
        <v>5</v>
      </c>
    </row>
    <row r="34" customFormat="false" ht="15" hidden="false" customHeight="false" outlineLevel="0" collapsed="false">
      <c r="C34" s="1" t="s">
        <v>124</v>
      </c>
      <c r="D34" s="1" t="s">
        <v>172</v>
      </c>
      <c r="E34" s="1" t="s">
        <v>411</v>
      </c>
      <c r="F34" s="1" t="n">
        <v>4</v>
      </c>
    </row>
    <row r="35" customFormat="false" ht="15" hidden="false" customHeight="false" outlineLevel="0" collapsed="false">
      <c r="C35" s="1" t="s">
        <v>124</v>
      </c>
      <c r="D35" s="1" t="s">
        <v>172</v>
      </c>
      <c r="E35" s="1" t="s">
        <v>300</v>
      </c>
      <c r="F35" s="1" t="n">
        <v>3</v>
      </c>
    </row>
    <row r="36" customFormat="false" ht="15" hidden="false" customHeight="false" outlineLevel="0" collapsed="false">
      <c r="A36" s="1" t="n">
        <v>6</v>
      </c>
      <c r="B36" s="2" t="s">
        <v>125</v>
      </c>
      <c r="C36" s="1" t="s">
        <v>125</v>
      </c>
      <c r="D36" s="1" t="s">
        <v>174</v>
      </c>
      <c r="E36" s="1" t="s">
        <v>249</v>
      </c>
      <c r="F36" s="1" t="n">
        <v>10</v>
      </c>
      <c r="G36" s="1" t="n">
        <f aca="false">AVERAGE(F36:F41)</f>
        <v>5</v>
      </c>
      <c r="H36" s="1" t="n">
        <v>9</v>
      </c>
      <c r="I36" s="1" t="n">
        <f aca="false">ROUND(MAX(H36,G36),0)</f>
        <v>9</v>
      </c>
    </row>
    <row r="37" customFormat="false" ht="15" hidden="false" customHeight="false" outlineLevel="0" collapsed="false">
      <c r="C37" s="1" t="s">
        <v>125</v>
      </c>
      <c r="D37" s="1" t="s">
        <v>174</v>
      </c>
      <c r="E37" s="1" t="s">
        <v>412</v>
      </c>
      <c r="F37" s="1" t="n">
        <v>9</v>
      </c>
    </row>
    <row r="38" customFormat="false" ht="15" hidden="false" customHeight="false" outlineLevel="0" collapsed="false">
      <c r="C38" s="1" t="s">
        <v>125</v>
      </c>
      <c r="D38" s="1" t="s">
        <v>174</v>
      </c>
      <c r="E38" s="1" t="s">
        <v>187</v>
      </c>
      <c r="F38" s="1" t="n">
        <v>5</v>
      </c>
    </row>
    <row r="39" customFormat="false" ht="15" hidden="false" customHeight="false" outlineLevel="0" collapsed="false">
      <c r="C39" s="1" t="s">
        <v>125</v>
      </c>
      <c r="D39" s="1" t="s">
        <v>174</v>
      </c>
      <c r="E39" s="1" t="s">
        <v>303</v>
      </c>
      <c r="F39" s="1" t="n">
        <v>3</v>
      </c>
    </row>
    <row r="40" customFormat="false" ht="15" hidden="false" customHeight="false" outlineLevel="0" collapsed="false">
      <c r="C40" s="1" t="s">
        <v>125</v>
      </c>
      <c r="D40" s="1" t="s">
        <v>174</v>
      </c>
      <c r="E40" s="1" t="s">
        <v>305</v>
      </c>
      <c r="F40" s="1" t="n">
        <v>2</v>
      </c>
    </row>
    <row r="41" customFormat="false" ht="15" hidden="false" customHeight="false" outlineLevel="0" collapsed="false">
      <c r="C41" s="1" t="s">
        <v>125</v>
      </c>
      <c r="D41" s="1" t="s">
        <v>174</v>
      </c>
      <c r="E41" s="1" t="s">
        <v>307</v>
      </c>
      <c r="F41" s="1" t="n">
        <v>1</v>
      </c>
    </row>
    <row r="42" customFormat="false" ht="15" hidden="false" customHeight="false" outlineLevel="0" collapsed="false">
      <c r="A42" s="1" t="n">
        <v>7</v>
      </c>
      <c r="B42" s="2" t="s">
        <v>126</v>
      </c>
      <c r="C42" s="1" t="s">
        <v>126</v>
      </c>
      <c r="D42" s="1" t="s">
        <v>413</v>
      </c>
      <c r="E42" s="1" t="s">
        <v>309</v>
      </c>
      <c r="F42" s="1" t="n">
        <v>3</v>
      </c>
      <c r="I42" s="1" t="n">
        <v>3</v>
      </c>
    </row>
    <row r="43" customFormat="false" ht="15" hidden="false" customHeight="false" outlineLevel="0" collapsed="false">
      <c r="A43" s="1" t="n">
        <v>8</v>
      </c>
      <c r="B43" s="13" t="s">
        <v>127</v>
      </c>
      <c r="C43" s="1" t="s">
        <v>127</v>
      </c>
      <c r="D43" s="1" t="s">
        <v>176</v>
      </c>
      <c r="E43" s="1" t="s">
        <v>265</v>
      </c>
      <c r="F43" s="1" t="n">
        <v>10</v>
      </c>
      <c r="G43" s="1" t="n">
        <f aca="false">AVERAGE(F43:F53)</f>
        <v>5.72727272727273</v>
      </c>
      <c r="H43" s="1" t="n">
        <v>9</v>
      </c>
      <c r="I43" s="1" t="n">
        <f aca="false">ROUND(MAX(H43,G43),0)</f>
        <v>9</v>
      </c>
    </row>
    <row r="44" customFormat="false" ht="15" hidden="false" customHeight="false" outlineLevel="0" collapsed="false">
      <c r="C44" s="1" t="s">
        <v>127</v>
      </c>
      <c r="D44" s="1" t="s">
        <v>176</v>
      </c>
      <c r="E44" s="1" t="s">
        <v>414</v>
      </c>
      <c r="F44" s="1" t="n">
        <v>9</v>
      </c>
    </row>
    <row r="45" customFormat="false" ht="15" hidden="false" customHeight="false" outlineLevel="0" collapsed="false">
      <c r="C45" s="1" t="s">
        <v>127</v>
      </c>
      <c r="D45" s="1" t="s">
        <v>176</v>
      </c>
      <c r="E45" s="1" t="s">
        <v>261</v>
      </c>
      <c r="F45" s="1" t="n">
        <v>7</v>
      </c>
    </row>
    <row r="46" customFormat="false" ht="15" hidden="false" customHeight="false" outlineLevel="0" collapsed="false">
      <c r="C46" s="1" t="s">
        <v>127</v>
      </c>
      <c r="D46" s="1" t="s">
        <v>176</v>
      </c>
      <c r="E46" s="1" t="s">
        <v>313</v>
      </c>
      <c r="F46" s="1" t="n">
        <v>7</v>
      </c>
    </row>
    <row r="47" customFormat="false" ht="15" hidden="false" customHeight="false" outlineLevel="0" collapsed="false">
      <c r="C47" s="1" t="s">
        <v>127</v>
      </c>
      <c r="D47" s="1" t="s">
        <v>176</v>
      </c>
      <c r="E47" s="1" t="s">
        <v>315</v>
      </c>
      <c r="F47" s="1" t="n">
        <v>6</v>
      </c>
    </row>
    <row r="48" customFormat="false" ht="15" hidden="false" customHeight="false" outlineLevel="0" collapsed="false">
      <c r="C48" s="1" t="s">
        <v>127</v>
      </c>
      <c r="D48" s="1" t="s">
        <v>176</v>
      </c>
      <c r="E48" s="1" t="s">
        <v>163</v>
      </c>
      <c r="F48" s="1" t="n">
        <v>6</v>
      </c>
    </row>
    <row r="49" customFormat="false" ht="15" hidden="false" customHeight="false" outlineLevel="0" collapsed="false">
      <c r="C49" s="1" t="s">
        <v>127</v>
      </c>
      <c r="D49" s="1" t="s">
        <v>176</v>
      </c>
      <c r="E49" s="1" t="s">
        <v>316</v>
      </c>
      <c r="F49" s="1" t="n">
        <v>5</v>
      </c>
    </row>
    <row r="50" customFormat="false" ht="15" hidden="false" customHeight="false" outlineLevel="0" collapsed="false">
      <c r="C50" s="1" t="s">
        <v>127</v>
      </c>
      <c r="D50" s="1" t="s">
        <v>176</v>
      </c>
      <c r="E50" s="1" t="s">
        <v>318</v>
      </c>
      <c r="F50" s="1" t="n">
        <v>4</v>
      </c>
    </row>
    <row r="51" customFormat="false" ht="15" hidden="false" customHeight="false" outlineLevel="0" collapsed="false">
      <c r="C51" s="1" t="s">
        <v>127</v>
      </c>
      <c r="D51" s="1" t="s">
        <v>176</v>
      </c>
      <c r="E51" s="1" t="s">
        <v>320</v>
      </c>
      <c r="F51" s="1" t="n">
        <v>4</v>
      </c>
    </row>
    <row r="52" customFormat="false" ht="15" hidden="false" customHeight="false" outlineLevel="0" collapsed="false">
      <c r="C52" s="1" t="s">
        <v>127</v>
      </c>
      <c r="D52" s="1" t="s">
        <v>176</v>
      </c>
      <c r="E52" s="1" t="s">
        <v>322</v>
      </c>
      <c r="F52" s="1" t="n">
        <v>3</v>
      </c>
    </row>
    <row r="53" customFormat="false" ht="15" hidden="false" customHeight="false" outlineLevel="0" collapsed="false">
      <c r="C53" s="1" t="s">
        <v>127</v>
      </c>
      <c r="D53" s="1" t="s">
        <v>176</v>
      </c>
      <c r="E53" s="1" t="s">
        <v>324</v>
      </c>
      <c r="F53" s="1" t="n">
        <v>2</v>
      </c>
    </row>
    <row r="54" customFormat="false" ht="15" hidden="false" customHeight="false" outlineLevel="0" collapsed="false">
      <c r="A54" s="1" t="n">
        <v>9</v>
      </c>
      <c r="B54" s="2" t="s">
        <v>128</v>
      </c>
      <c r="C54" s="1" t="s">
        <v>128</v>
      </c>
      <c r="D54" s="1" t="s">
        <v>186</v>
      </c>
      <c r="E54" s="1" t="s">
        <v>326</v>
      </c>
      <c r="F54" s="1" t="n">
        <v>7</v>
      </c>
      <c r="G54" s="1" t="n">
        <f aca="false">AVERAGE(F54:F61)</f>
        <v>4.875</v>
      </c>
      <c r="H54" s="1" t="n">
        <v>6</v>
      </c>
      <c r="I54" s="1" t="n">
        <f aca="false">ROUND(MAX(H54,G54),0)</f>
        <v>6</v>
      </c>
    </row>
    <row r="55" customFormat="false" ht="15" hidden="false" customHeight="false" outlineLevel="0" collapsed="false">
      <c r="C55" s="1" t="s">
        <v>128</v>
      </c>
      <c r="D55" s="1" t="s">
        <v>186</v>
      </c>
      <c r="E55" s="1" t="s">
        <v>328</v>
      </c>
      <c r="F55" s="1" t="n">
        <v>6</v>
      </c>
    </row>
    <row r="56" customFormat="false" ht="15" hidden="false" customHeight="false" outlineLevel="0" collapsed="false">
      <c r="C56" s="1" t="s">
        <v>128</v>
      </c>
      <c r="D56" s="1" t="s">
        <v>186</v>
      </c>
      <c r="E56" s="1" t="s">
        <v>330</v>
      </c>
      <c r="F56" s="1" t="n">
        <v>5</v>
      </c>
    </row>
    <row r="57" customFormat="false" ht="15" hidden="false" customHeight="false" outlineLevel="0" collapsed="false">
      <c r="C57" s="1" t="s">
        <v>128</v>
      </c>
      <c r="D57" s="1" t="s">
        <v>186</v>
      </c>
      <c r="E57" s="1" t="s">
        <v>300</v>
      </c>
      <c r="F57" s="1" t="n">
        <v>5</v>
      </c>
    </row>
    <row r="58" customFormat="false" ht="15" hidden="false" customHeight="false" outlineLevel="0" collapsed="false">
      <c r="C58" s="1" t="s">
        <v>128</v>
      </c>
      <c r="D58" s="1" t="s">
        <v>186</v>
      </c>
      <c r="E58" s="1" t="s">
        <v>333</v>
      </c>
      <c r="F58" s="1" t="n">
        <v>5</v>
      </c>
    </row>
    <row r="59" customFormat="false" ht="15" hidden="false" customHeight="false" outlineLevel="0" collapsed="false">
      <c r="C59" s="1" t="s">
        <v>128</v>
      </c>
      <c r="D59" s="1" t="s">
        <v>186</v>
      </c>
      <c r="E59" s="1" t="s">
        <v>335</v>
      </c>
      <c r="F59" s="1" t="n">
        <v>5</v>
      </c>
    </row>
    <row r="60" customFormat="false" ht="15" hidden="false" customHeight="false" outlineLevel="0" collapsed="false">
      <c r="C60" s="1" t="s">
        <v>128</v>
      </c>
      <c r="D60" s="1" t="s">
        <v>186</v>
      </c>
      <c r="E60" s="1" t="s">
        <v>173</v>
      </c>
      <c r="F60" s="1" t="n">
        <v>4</v>
      </c>
    </row>
    <row r="61" customFormat="false" ht="15" hidden="false" customHeight="false" outlineLevel="0" collapsed="false">
      <c r="C61" s="1" t="s">
        <v>128</v>
      </c>
      <c r="D61" s="1" t="s">
        <v>186</v>
      </c>
      <c r="E61" s="1" t="s">
        <v>338</v>
      </c>
      <c r="F61" s="1" t="n">
        <v>2</v>
      </c>
    </row>
    <row r="62" customFormat="false" ht="15" hidden="false" customHeight="false" outlineLevel="0" collapsed="false">
      <c r="A62" s="1" t="n">
        <v>10</v>
      </c>
      <c r="B62" s="2" t="s">
        <v>129</v>
      </c>
      <c r="C62" s="1" t="s">
        <v>129</v>
      </c>
      <c r="D62" s="1" t="s">
        <v>189</v>
      </c>
      <c r="E62" s="1" t="s">
        <v>340</v>
      </c>
      <c r="F62" s="1" t="n">
        <v>10</v>
      </c>
      <c r="G62" s="1" t="n">
        <f aca="false">AVERAGE(F62:F69)</f>
        <v>6.875</v>
      </c>
      <c r="H62" s="1" t="n">
        <v>9</v>
      </c>
      <c r="I62" s="1" t="n">
        <f aca="false">ROUND(MAX(H62,G62),0)</f>
        <v>9</v>
      </c>
    </row>
    <row r="63" customFormat="false" ht="15" hidden="false" customHeight="false" outlineLevel="0" collapsed="false">
      <c r="C63" s="1" t="s">
        <v>129</v>
      </c>
      <c r="D63" s="1" t="s">
        <v>189</v>
      </c>
      <c r="E63" s="1" t="s">
        <v>161</v>
      </c>
      <c r="F63" s="1" t="n">
        <v>10</v>
      </c>
    </row>
    <row r="64" customFormat="false" ht="15" hidden="false" customHeight="false" outlineLevel="0" collapsed="false">
      <c r="C64" s="1" t="s">
        <v>129</v>
      </c>
      <c r="D64" s="1" t="s">
        <v>189</v>
      </c>
      <c r="E64" s="1" t="s">
        <v>168</v>
      </c>
      <c r="F64" s="1" t="n">
        <v>10</v>
      </c>
    </row>
    <row r="65" customFormat="false" ht="15" hidden="false" customHeight="false" outlineLevel="0" collapsed="false">
      <c r="C65" s="1" t="s">
        <v>129</v>
      </c>
      <c r="D65" s="1" t="s">
        <v>189</v>
      </c>
      <c r="E65" s="1" t="s">
        <v>415</v>
      </c>
      <c r="F65" s="1" t="n">
        <v>9</v>
      </c>
    </row>
    <row r="66" customFormat="false" ht="15" hidden="false" customHeight="false" outlineLevel="0" collapsed="false">
      <c r="C66" s="1" t="s">
        <v>129</v>
      </c>
      <c r="D66" s="1" t="s">
        <v>189</v>
      </c>
      <c r="E66" s="1" t="s">
        <v>342</v>
      </c>
      <c r="F66" s="1" t="n">
        <v>8</v>
      </c>
    </row>
    <row r="67" customFormat="false" ht="15" hidden="false" customHeight="false" outlineLevel="0" collapsed="false">
      <c r="C67" s="1" t="s">
        <v>129</v>
      </c>
      <c r="D67" s="1" t="s">
        <v>189</v>
      </c>
      <c r="E67" s="1" t="s">
        <v>289</v>
      </c>
      <c r="F67" s="1" t="n">
        <v>4</v>
      </c>
    </row>
    <row r="68" customFormat="false" ht="15" hidden="false" customHeight="false" outlineLevel="0" collapsed="false">
      <c r="C68" s="1" t="s">
        <v>129</v>
      </c>
      <c r="D68" s="1" t="s">
        <v>189</v>
      </c>
      <c r="E68" s="1" t="s">
        <v>194</v>
      </c>
      <c r="F68" s="1" t="n">
        <v>3</v>
      </c>
    </row>
    <row r="69" customFormat="false" ht="15" hidden="false" customHeight="false" outlineLevel="0" collapsed="false">
      <c r="C69" s="1" t="s">
        <v>129</v>
      </c>
      <c r="D69" s="1" t="s">
        <v>189</v>
      </c>
      <c r="E69" s="1" t="s">
        <v>345</v>
      </c>
      <c r="F69" s="1" t="n">
        <v>1</v>
      </c>
    </row>
    <row r="70" customFormat="false" ht="15" hidden="false" customHeight="false" outlineLevel="0" collapsed="false">
      <c r="A70" s="1" t="n">
        <v>11</v>
      </c>
      <c r="B70" s="2" t="s">
        <v>130</v>
      </c>
      <c r="C70" s="1" t="s">
        <v>130</v>
      </c>
      <c r="D70" s="1" t="s">
        <v>198</v>
      </c>
      <c r="E70" s="1" t="s">
        <v>416</v>
      </c>
      <c r="F70" s="1" t="n">
        <v>8</v>
      </c>
      <c r="G70" s="1" t="n">
        <f aca="false">AVERAGE(F70:F82)</f>
        <v>5.23076923076923</v>
      </c>
      <c r="H70" s="1" t="n">
        <v>7</v>
      </c>
      <c r="I70" s="1" t="n">
        <f aca="false">ROUND(MAX(H70,G70),0)</f>
        <v>7</v>
      </c>
    </row>
    <row r="71" customFormat="false" ht="15" hidden="false" customHeight="false" outlineLevel="0" collapsed="false">
      <c r="C71" s="1" t="s">
        <v>130</v>
      </c>
      <c r="D71" s="1" t="s">
        <v>198</v>
      </c>
      <c r="E71" s="1" t="s">
        <v>417</v>
      </c>
      <c r="F71" s="1" t="n">
        <v>7</v>
      </c>
    </row>
    <row r="72" customFormat="false" ht="15" hidden="false" customHeight="false" outlineLevel="0" collapsed="false">
      <c r="C72" s="1" t="s">
        <v>130</v>
      </c>
      <c r="D72" s="1" t="s">
        <v>198</v>
      </c>
      <c r="E72" s="1" t="s">
        <v>418</v>
      </c>
      <c r="F72" s="1" t="n">
        <v>7</v>
      </c>
    </row>
    <row r="73" customFormat="false" ht="15" hidden="false" customHeight="false" outlineLevel="0" collapsed="false">
      <c r="C73" s="1" t="s">
        <v>130</v>
      </c>
      <c r="D73" s="1" t="s">
        <v>198</v>
      </c>
      <c r="E73" s="1" t="s">
        <v>208</v>
      </c>
      <c r="F73" s="1" t="n">
        <v>6</v>
      </c>
    </row>
    <row r="74" customFormat="false" ht="15" hidden="false" customHeight="false" outlineLevel="0" collapsed="false">
      <c r="C74" s="1" t="s">
        <v>130</v>
      </c>
      <c r="D74" s="1" t="s">
        <v>198</v>
      </c>
      <c r="E74" s="1" t="s">
        <v>419</v>
      </c>
      <c r="F74" s="1" t="n">
        <v>6</v>
      </c>
    </row>
    <row r="75" customFormat="false" ht="15" hidden="false" customHeight="false" outlineLevel="0" collapsed="false">
      <c r="C75" s="1" t="s">
        <v>130</v>
      </c>
      <c r="D75" s="1" t="s">
        <v>198</v>
      </c>
      <c r="E75" s="1" t="s">
        <v>204</v>
      </c>
      <c r="F75" s="1" t="n">
        <v>6</v>
      </c>
    </row>
    <row r="76" customFormat="false" ht="15" hidden="false" customHeight="false" outlineLevel="0" collapsed="false">
      <c r="C76" s="1" t="s">
        <v>130</v>
      </c>
      <c r="D76" s="1" t="s">
        <v>198</v>
      </c>
      <c r="E76" s="1" t="s">
        <v>252</v>
      </c>
      <c r="F76" s="1" t="n">
        <v>5</v>
      </c>
    </row>
    <row r="77" customFormat="false" ht="15" hidden="false" customHeight="false" outlineLevel="0" collapsed="false">
      <c r="C77" s="1" t="s">
        <v>130</v>
      </c>
      <c r="D77" s="1" t="s">
        <v>198</v>
      </c>
      <c r="E77" s="1" t="s">
        <v>243</v>
      </c>
      <c r="F77" s="1" t="n">
        <v>5</v>
      </c>
    </row>
    <row r="78" customFormat="false" ht="15" hidden="false" customHeight="false" outlineLevel="0" collapsed="false">
      <c r="C78" s="1" t="s">
        <v>130</v>
      </c>
      <c r="D78" s="1" t="s">
        <v>198</v>
      </c>
      <c r="E78" s="1" t="s">
        <v>420</v>
      </c>
      <c r="F78" s="1" t="n">
        <v>4</v>
      </c>
    </row>
    <row r="79" customFormat="false" ht="15" hidden="false" customHeight="false" outlineLevel="0" collapsed="false">
      <c r="C79" s="1" t="s">
        <v>130</v>
      </c>
      <c r="D79" s="1" t="s">
        <v>198</v>
      </c>
      <c r="E79" s="1" t="s">
        <v>155</v>
      </c>
      <c r="F79" s="1" t="n">
        <v>4</v>
      </c>
    </row>
    <row r="80" customFormat="false" ht="15" hidden="false" customHeight="false" outlineLevel="0" collapsed="false">
      <c r="C80" s="1" t="s">
        <v>130</v>
      </c>
      <c r="D80" s="1" t="s">
        <v>198</v>
      </c>
      <c r="E80" s="1" t="s">
        <v>421</v>
      </c>
      <c r="F80" s="1" t="n">
        <v>4</v>
      </c>
    </row>
    <row r="81" customFormat="false" ht="15" hidden="false" customHeight="false" outlineLevel="0" collapsed="false">
      <c r="C81" s="1" t="s">
        <v>130</v>
      </c>
      <c r="D81" s="1" t="s">
        <v>198</v>
      </c>
      <c r="E81" s="1" t="s">
        <v>351</v>
      </c>
      <c r="F81" s="1" t="n">
        <v>3</v>
      </c>
    </row>
    <row r="82" customFormat="false" ht="15" hidden="false" customHeight="false" outlineLevel="0" collapsed="false">
      <c r="C82" s="1" t="s">
        <v>130</v>
      </c>
      <c r="D82" s="1" t="s">
        <v>198</v>
      </c>
      <c r="E82" s="1" t="s">
        <v>422</v>
      </c>
      <c r="F82" s="1" t="n">
        <v>3</v>
      </c>
    </row>
    <row r="83" customFormat="false" ht="15" hidden="false" customHeight="false" outlineLevel="0" collapsed="false">
      <c r="A83" s="1" t="n">
        <v>12</v>
      </c>
      <c r="B83" s="13" t="s">
        <v>131</v>
      </c>
      <c r="C83" s="1" t="s">
        <v>131</v>
      </c>
      <c r="D83" s="1" t="s">
        <v>200</v>
      </c>
      <c r="E83" s="1" t="s">
        <v>232</v>
      </c>
      <c r="F83" s="1" t="n">
        <v>8</v>
      </c>
      <c r="G83" s="1" t="n">
        <f aca="false">AVERAGE(F83:F89)</f>
        <v>6</v>
      </c>
      <c r="H83" s="1" t="n">
        <v>7</v>
      </c>
      <c r="I83" s="1" t="n">
        <f aca="false">ROUND(MAX(H83,G83),0)</f>
        <v>7</v>
      </c>
    </row>
    <row r="84" customFormat="false" ht="15" hidden="false" customHeight="false" outlineLevel="0" collapsed="false">
      <c r="C84" s="1" t="s">
        <v>131</v>
      </c>
      <c r="D84" s="1" t="s">
        <v>200</v>
      </c>
      <c r="E84" s="1" t="s">
        <v>196</v>
      </c>
      <c r="F84" s="1" t="n">
        <v>7</v>
      </c>
    </row>
    <row r="85" customFormat="false" ht="15" hidden="false" customHeight="false" outlineLevel="0" collapsed="false">
      <c r="C85" s="1" t="s">
        <v>131</v>
      </c>
      <c r="D85" s="1" t="s">
        <v>200</v>
      </c>
      <c r="E85" s="1" t="s">
        <v>216</v>
      </c>
      <c r="F85" s="1" t="n">
        <v>7</v>
      </c>
    </row>
    <row r="86" customFormat="false" ht="15" hidden="false" customHeight="false" outlineLevel="0" collapsed="false">
      <c r="C86" s="1" t="s">
        <v>131</v>
      </c>
      <c r="D86" s="1" t="s">
        <v>200</v>
      </c>
      <c r="E86" s="1" t="s">
        <v>183</v>
      </c>
      <c r="F86" s="1" t="n">
        <v>7</v>
      </c>
    </row>
    <row r="87" customFormat="false" ht="15" hidden="false" customHeight="false" outlineLevel="0" collapsed="false">
      <c r="C87" s="1" t="s">
        <v>131</v>
      </c>
      <c r="D87" s="1" t="s">
        <v>200</v>
      </c>
      <c r="E87" s="1" t="s">
        <v>351</v>
      </c>
      <c r="F87" s="1" t="n">
        <v>5</v>
      </c>
    </row>
    <row r="88" customFormat="false" ht="15" hidden="false" customHeight="false" outlineLevel="0" collapsed="false">
      <c r="C88" s="1" t="s">
        <v>131</v>
      </c>
      <c r="D88" s="1" t="s">
        <v>200</v>
      </c>
      <c r="E88" s="1" t="s">
        <v>423</v>
      </c>
      <c r="F88" s="1" t="n">
        <v>5</v>
      </c>
    </row>
    <row r="89" customFormat="false" ht="15" hidden="false" customHeight="false" outlineLevel="0" collapsed="false">
      <c r="C89" s="1" t="s">
        <v>131</v>
      </c>
      <c r="D89" s="1" t="s">
        <v>200</v>
      </c>
      <c r="E89" s="1" t="s">
        <v>352</v>
      </c>
      <c r="F89" s="1" t="n">
        <v>3</v>
      </c>
    </row>
    <row r="90" customFormat="false" ht="15" hidden="false" customHeight="false" outlineLevel="0" collapsed="false">
      <c r="A90" s="1" t="n">
        <v>13</v>
      </c>
      <c r="B90" s="2" t="s">
        <v>132</v>
      </c>
      <c r="C90" s="1" t="s">
        <v>132</v>
      </c>
      <c r="D90" s="1" t="s">
        <v>47</v>
      </c>
      <c r="E90" s="1" t="s">
        <v>240</v>
      </c>
      <c r="F90" s="1" t="n">
        <v>7</v>
      </c>
      <c r="I90" s="1" t="n">
        <v>7</v>
      </c>
    </row>
    <row r="91" customFormat="false" ht="15" hidden="false" customHeight="false" outlineLevel="0" collapsed="false">
      <c r="A91" s="1" t="n">
        <v>14</v>
      </c>
      <c r="B91" s="14" t="s">
        <v>133</v>
      </c>
      <c r="C91" s="1" t="s">
        <v>133</v>
      </c>
      <c r="D91" s="1" t="s">
        <v>205</v>
      </c>
      <c r="E91" s="1" t="s">
        <v>355</v>
      </c>
      <c r="F91" s="1" t="n">
        <v>8</v>
      </c>
      <c r="G91" s="1" t="n">
        <f aca="false">AVERAGE(F91:F95)</f>
        <v>6</v>
      </c>
      <c r="H91" s="1" t="n">
        <v>6</v>
      </c>
      <c r="I91" s="1" t="n">
        <f aca="false">ROUND(MAX(H91,G91),0)</f>
        <v>6</v>
      </c>
    </row>
    <row r="92" customFormat="false" ht="15" hidden="false" customHeight="false" outlineLevel="0" collapsed="false">
      <c r="C92" s="1" t="s">
        <v>133</v>
      </c>
      <c r="D92" s="1" t="s">
        <v>205</v>
      </c>
      <c r="E92" s="1" t="s">
        <v>357</v>
      </c>
      <c r="F92" s="1" t="n">
        <v>6</v>
      </c>
    </row>
    <row r="93" customFormat="false" ht="15" hidden="false" customHeight="false" outlineLevel="0" collapsed="false">
      <c r="C93" s="1" t="s">
        <v>133</v>
      </c>
      <c r="D93" s="1" t="s">
        <v>205</v>
      </c>
      <c r="E93" s="1" t="s">
        <v>263</v>
      </c>
      <c r="F93" s="1" t="n">
        <v>6</v>
      </c>
    </row>
    <row r="94" customFormat="false" ht="15" hidden="false" customHeight="false" outlineLevel="0" collapsed="false">
      <c r="C94" s="1" t="s">
        <v>133</v>
      </c>
      <c r="D94" s="1" t="s">
        <v>205</v>
      </c>
      <c r="E94" s="1" t="s">
        <v>360</v>
      </c>
      <c r="F94" s="1" t="n">
        <v>5</v>
      </c>
    </row>
    <row r="95" customFormat="false" ht="15" hidden="false" customHeight="false" outlineLevel="0" collapsed="false">
      <c r="C95" s="1" t="s">
        <v>133</v>
      </c>
      <c r="D95" s="1" t="s">
        <v>205</v>
      </c>
      <c r="E95" s="1" t="s">
        <v>362</v>
      </c>
      <c r="F95" s="1" t="n">
        <v>5</v>
      </c>
    </row>
    <row r="96" customFormat="false" ht="15" hidden="false" customHeight="false" outlineLevel="0" collapsed="false">
      <c r="A96" s="1" t="n">
        <v>15</v>
      </c>
      <c r="B96" s="2" t="s">
        <v>134</v>
      </c>
      <c r="C96" s="1" t="s">
        <v>134</v>
      </c>
      <c r="D96" s="1" t="s">
        <v>207</v>
      </c>
      <c r="E96" s="1" t="s">
        <v>173</v>
      </c>
      <c r="F96" s="1" t="n">
        <v>6</v>
      </c>
      <c r="G96" s="1" t="n">
        <f aca="false">AVERAGE(F96:F102)</f>
        <v>5.14285714285714</v>
      </c>
      <c r="H96" s="1" t="n">
        <v>5</v>
      </c>
      <c r="I96" s="1" t="n">
        <f aca="false">ROUND(MAX(H96,G96),0)</f>
        <v>5</v>
      </c>
    </row>
    <row r="97" customFormat="false" ht="15" hidden="false" customHeight="false" outlineLevel="0" collapsed="false">
      <c r="C97" s="1" t="s">
        <v>134</v>
      </c>
      <c r="D97" s="1" t="s">
        <v>207</v>
      </c>
      <c r="E97" s="1" t="s">
        <v>283</v>
      </c>
      <c r="F97" s="1" t="n">
        <v>6</v>
      </c>
    </row>
    <row r="98" customFormat="false" ht="15" hidden="false" customHeight="false" outlineLevel="0" collapsed="false">
      <c r="C98" s="1" t="s">
        <v>134</v>
      </c>
      <c r="D98" s="1" t="s">
        <v>207</v>
      </c>
      <c r="E98" s="1" t="s">
        <v>193</v>
      </c>
      <c r="F98" s="1" t="n">
        <v>6</v>
      </c>
    </row>
    <row r="99" customFormat="false" ht="15" hidden="false" customHeight="false" outlineLevel="0" collapsed="false">
      <c r="C99" s="1" t="s">
        <v>134</v>
      </c>
      <c r="D99" s="1" t="s">
        <v>207</v>
      </c>
      <c r="E99" s="1" t="s">
        <v>367</v>
      </c>
      <c r="F99" s="1" t="n">
        <v>5</v>
      </c>
    </row>
    <row r="100" customFormat="false" ht="15" hidden="false" customHeight="false" outlineLevel="0" collapsed="false">
      <c r="C100" s="1" t="s">
        <v>134</v>
      </c>
      <c r="D100" s="1" t="s">
        <v>207</v>
      </c>
      <c r="E100" s="1" t="s">
        <v>369</v>
      </c>
      <c r="F100" s="1" t="n">
        <v>5</v>
      </c>
    </row>
    <row r="101" customFormat="false" ht="15" hidden="false" customHeight="false" outlineLevel="0" collapsed="false">
      <c r="C101" s="1" t="s">
        <v>134</v>
      </c>
      <c r="D101" s="1" t="s">
        <v>207</v>
      </c>
      <c r="E101" s="1" t="s">
        <v>362</v>
      </c>
      <c r="F101" s="1" t="n">
        <v>4</v>
      </c>
    </row>
    <row r="102" customFormat="false" ht="15" hidden="false" customHeight="false" outlineLevel="0" collapsed="false">
      <c r="C102" s="1" t="s">
        <v>134</v>
      </c>
      <c r="D102" s="1" t="s">
        <v>207</v>
      </c>
      <c r="E102" s="1" t="s">
        <v>258</v>
      </c>
      <c r="F102" s="1" t="n">
        <v>4</v>
      </c>
    </row>
    <row r="103" customFormat="false" ht="15" hidden="false" customHeight="false" outlineLevel="0" collapsed="false">
      <c r="A103" s="1" t="n">
        <v>16</v>
      </c>
      <c r="B103" s="13" t="s">
        <v>135</v>
      </c>
      <c r="C103" s="1" t="s">
        <v>135</v>
      </c>
      <c r="D103" s="1" t="s">
        <v>209</v>
      </c>
      <c r="E103" s="1" t="s">
        <v>424</v>
      </c>
      <c r="F103" s="1" t="n">
        <v>8</v>
      </c>
      <c r="I103" s="1" t="n">
        <v>8</v>
      </c>
    </row>
    <row r="104" customFormat="false" ht="15" hidden="false" customHeight="false" outlineLevel="0" collapsed="false">
      <c r="A104" s="1" t="n">
        <v>17</v>
      </c>
      <c r="B104" s="2" t="s">
        <v>136</v>
      </c>
      <c r="C104" s="1" t="s">
        <v>136</v>
      </c>
      <c r="D104" s="1" t="s">
        <v>210</v>
      </c>
      <c r="E104" s="1" t="s">
        <v>260</v>
      </c>
      <c r="F104" s="1" t="n">
        <v>10</v>
      </c>
      <c r="G104" s="1" t="n">
        <f aca="false">AVERAGE(F104:F109)</f>
        <v>5.5</v>
      </c>
      <c r="H104" s="1" t="n">
        <v>6</v>
      </c>
      <c r="I104" s="1" t="n">
        <f aca="false">ROUND(MAX(H104,G104),0)</f>
        <v>6</v>
      </c>
    </row>
    <row r="105" customFormat="false" ht="15" hidden="false" customHeight="false" outlineLevel="0" collapsed="false">
      <c r="C105" s="1" t="s">
        <v>136</v>
      </c>
      <c r="D105" s="1" t="s">
        <v>210</v>
      </c>
      <c r="E105" s="1" t="s">
        <v>374</v>
      </c>
      <c r="F105" s="1" t="n">
        <v>6</v>
      </c>
    </row>
    <row r="106" customFormat="false" ht="15" hidden="false" customHeight="false" outlineLevel="0" collapsed="false">
      <c r="C106" s="1" t="s">
        <v>136</v>
      </c>
      <c r="D106" s="1" t="s">
        <v>210</v>
      </c>
      <c r="E106" s="1" t="s">
        <v>149</v>
      </c>
      <c r="F106" s="1" t="n">
        <v>5</v>
      </c>
    </row>
    <row r="107" customFormat="false" ht="15" hidden="false" customHeight="false" outlineLevel="0" collapsed="false">
      <c r="C107" s="1" t="s">
        <v>136</v>
      </c>
      <c r="D107" s="1" t="s">
        <v>210</v>
      </c>
      <c r="E107" s="1" t="s">
        <v>377</v>
      </c>
      <c r="F107" s="1" t="n">
        <v>4</v>
      </c>
    </row>
    <row r="108" customFormat="false" ht="15" hidden="false" customHeight="false" outlineLevel="0" collapsed="false">
      <c r="C108" s="1" t="s">
        <v>136</v>
      </c>
      <c r="D108" s="1" t="s">
        <v>210</v>
      </c>
      <c r="E108" s="1" t="s">
        <v>379</v>
      </c>
      <c r="F108" s="1" t="n">
        <v>4</v>
      </c>
    </row>
    <row r="109" customFormat="false" ht="15" hidden="false" customHeight="false" outlineLevel="0" collapsed="false">
      <c r="C109" s="1" t="s">
        <v>136</v>
      </c>
      <c r="D109" s="1" t="s">
        <v>210</v>
      </c>
      <c r="E109" s="1" t="s">
        <v>231</v>
      </c>
      <c r="F109" s="1" t="n">
        <v>4</v>
      </c>
    </row>
    <row r="110" customFormat="false" ht="15" hidden="false" customHeight="false" outlineLevel="0" collapsed="false">
      <c r="A110" s="1" t="n">
        <v>18</v>
      </c>
      <c r="B110" s="2" t="s">
        <v>137</v>
      </c>
      <c r="C110" s="1" t="s">
        <v>137</v>
      </c>
      <c r="D110" s="1" t="s">
        <v>211</v>
      </c>
      <c r="E110" s="1" t="s">
        <v>381</v>
      </c>
      <c r="F110" s="1" t="n">
        <v>10</v>
      </c>
      <c r="G110" s="1" t="n">
        <f aca="false">AVERAGE(F110:F114)</f>
        <v>7.2</v>
      </c>
      <c r="H110" s="1" t="n">
        <v>9</v>
      </c>
      <c r="I110" s="1" t="n">
        <f aca="false">ROUND(MAX(H110,G110),0)</f>
        <v>9</v>
      </c>
    </row>
    <row r="111" customFormat="false" ht="15" hidden="false" customHeight="false" outlineLevel="0" collapsed="false">
      <c r="C111" s="1" t="s">
        <v>137</v>
      </c>
      <c r="D111" s="1" t="s">
        <v>211</v>
      </c>
      <c r="E111" s="1" t="s">
        <v>315</v>
      </c>
      <c r="F111" s="1" t="n">
        <v>10</v>
      </c>
    </row>
    <row r="112" customFormat="false" ht="15" hidden="false" customHeight="false" outlineLevel="0" collapsed="false">
      <c r="C112" s="1" t="s">
        <v>137</v>
      </c>
      <c r="D112" s="1" t="s">
        <v>211</v>
      </c>
      <c r="E112" s="1" t="s">
        <v>193</v>
      </c>
      <c r="F112" s="1" t="n">
        <v>9</v>
      </c>
    </row>
    <row r="113" customFormat="false" ht="15" hidden="false" customHeight="false" outlineLevel="0" collapsed="false">
      <c r="C113" s="1" t="s">
        <v>137</v>
      </c>
      <c r="D113" s="1" t="s">
        <v>211</v>
      </c>
      <c r="E113" s="1" t="s">
        <v>383</v>
      </c>
      <c r="F113" s="1" t="n">
        <v>6</v>
      </c>
    </row>
    <row r="114" customFormat="false" ht="15" hidden="false" customHeight="false" outlineLevel="0" collapsed="false">
      <c r="C114" s="1" t="s">
        <v>137</v>
      </c>
      <c r="D114" s="1" t="s">
        <v>211</v>
      </c>
      <c r="E114" s="1" t="s">
        <v>385</v>
      </c>
      <c r="F114" s="1" t="n">
        <v>1</v>
      </c>
    </row>
    <row r="115" customFormat="false" ht="15" hidden="false" customHeight="false" outlineLevel="0" collapsed="false">
      <c r="A115" s="1" t="n">
        <v>19</v>
      </c>
      <c r="B115" s="2" t="s">
        <v>138</v>
      </c>
      <c r="C115" s="1" t="s">
        <v>138</v>
      </c>
      <c r="D115" s="1" t="s">
        <v>213</v>
      </c>
      <c r="E115" s="1" t="s">
        <v>305</v>
      </c>
      <c r="F115" s="1" t="n">
        <v>9</v>
      </c>
      <c r="G115" s="1" t="n">
        <f aca="false">AVERAGE(F115:F123)</f>
        <v>5</v>
      </c>
      <c r="H115" s="1" t="n">
        <v>7</v>
      </c>
      <c r="I115" s="1" t="n">
        <f aca="false">ROUND(MAX(H115,G115),0)</f>
        <v>7</v>
      </c>
    </row>
    <row r="116" customFormat="false" ht="15" hidden="false" customHeight="false" outlineLevel="0" collapsed="false">
      <c r="C116" s="1" t="s">
        <v>138</v>
      </c>
      <c r="D116" s="1" t="s">
        <v>213</v>
      </c>
      <c r="E116" s="1" t="s">
        <v>425</v>
      </c>
      <c r="F116" s="1" t="n">
        <v>7</v>
      </c>
    </row>
    <row r="117" customFormat="false" ht="15" hidden="false" customHeight="false" outlineLevel="0" collapsed="false">
      <c r="C117" s="1" t="s">
        <v>138</v>
      </c>
      <c r="D117" s="1" t="s">
        <v>213</v>
      </c>
      <c r="E117" s="1" t="s">
        <v>255</v>
      </c>
      <c r="F117" s="1" t="n">
        <v>6</v>
      </c>
    </row>
    <row r="118" customFormat="false" ht="15" hidden="false" customHeight="false" outlineLevel="0" collapsed="false">
      <c r="C118" s="1" t="s">
        <v>138</v>
      </c>
      <c r="D118" s="1" t="s">
        <v>213</v>
      </c>
      <c r="E118" s="1" t="s">
        <v>388</v>
      </c>
      <c r="F118" s="1" t="n">
        <v>5</v>
      </c>
    </row>
    <row r="119" customFormat="false" ht="15" hidden="false" customHeight="false" outlineLevel="0" collapsed="false">
      <c r="C119" s="1" t="s">
        <v>138</v>
      </c>
      <c r="D119" s="1" t="s">
        <v>213</v>
      </c>
      <c r="E119" s="1" t="s">
        <v>426</v>
      </c>
      <c r="F119" s="1" t="n">
        <v>5</v>
      </c>
    </row>
    <row r="120" customFormat="false" ht="15" hidden="false" customHeight="false" outlineLevel="0" collapsed="false">
      <c r="C120" s="1" t="s">
        <v>138</v>
      </c>
      <c r="D120" s="1" t="s">
        <v>213</v>
      </c>
      <c r="E120" s="1" t="s">
        <v>427</v>
      </c>
      <c r="F120" s="1" t="n">
        <v>5</v>
      </c>
    </row>
    <row r="121" customFormat="false" ht="15" hidden="false" customHeight="false" outlineLevel="0" collapsed="false">
      <c r="C121" s="1" t="s">
        <v>138</v>
      </c>
      <c r="D121" s="1" t="s">
        <v>213</v>
      </c>
      <c r="E121" s="1" t="s">
        <v>390</v>
      </c>
      <c r="F121" s="1" t="n">
        <v>3</v>
      </c>
    </row>
    <row r="122" customFormat="false" ht="15" hidden="false" customHeight="false" outlineLevel="0" collapsed="false">
      <c r="C122" s="1" t="s">
        <v>138</v>
      </c>
      <c r="D122" s="1" t="s">
        <v>213</v>
      </c>
      <c r="E122" s="1" t="s">
        <v>300</v>
      </c>
      <c r="F122" s="1" t="n">
        <v>3</v>
      </c>
    </row>
    <row r="123" customFormat="false" ht="15" hidden="false" customHeight="false" outlineLevel="0" collapsed="false">
      <c r="C123" s="1" t="s">
        <v>138</v>
      </c>
      <c r="D123" s="1" t="s">
        <v>213</v>
      </c>
      <c r="E123" s="1" t="s">
        <v>298</v>
      </c>
      <c r="F123" s="1" t="n">
        <v>2</v>
      </c>
    </row>
    <row r="124" customFormat="false" ht="15" hidden="false" customHeight="false" outlineLevel="0" collapsed="false">
      <c r="A124" s="1" t="n">
        <v>20</v>
      </c>
      <c r="B124" s="2" t="s">
        <v>139</v>
      </c>
      <c r="C124" s="1" t="s">
        <v>139</v>
      </c>
      <c r="D124" s="1" t="s">
        <v>428</v>
      </c>
      <c r="E124" s="1" t="s">
        <v>392</v>
      </c>
      <c r="F124" s="1" t="n">
        <v>2</v>
      </c>
      <c r="I124" s="1" t="n">
        <v>2</v>
      </c>
    </row>
    <row r="125" customFormat="false" ht="15" hidden="false" customHeight="false" outlineLevel="0" collapsed="false">
      <c r="A125" s="1" t="n">
        <v>21</v>
      </c>
      <c r="B125" s="14" t="s">
        <v>140</v>
      </c>
      <c r="C125" s="1" t="s">
        <v>140</v>
      </c>
      <c r="D125" s="1" t="s">
        <v>169</v>
      </c>
      <c r="E125" s="1" t="s">
        <v>392</v>
      </c>
      <c r="F125" s="1" t="n">
        <v>10</v>
      </c>
      <c r="G125" s="1" t="n">
        <f aca="false">AVERAGE(F125:F132)</f>
        <v>5.75</v>
      </c>
      <c r="H125" s="1" t="n">
        <v>9</v>
      </c>
      <c r="I125" s="1" t="n">
        <f aca="false">ROUND(MAX(H125,G125),0)</f>
        <v>9</v>
      </c>
    </row>
    <row r="126" customFormat="false" ht="15" hidden="false" customHeight="false" outlineLevel="0" collapsed="false">
      <c r="C126" s="1" t="s">
        <v>140</v>
      </c>
      <c r="D126" s="1" t="s">
        <v>169</v>
      </c>
      <c r="E126" s="1" t="s">
        <v>394</v>
      </c>
      <c r="F126" s="1" t="n">
        <v>9</v>
      </c>
    </row>
    <row r="127" customFormat="false" ht="15" hidden="false" customHeight="false" outlineLevel="0" collapsed="false">
      <c r="C127" s="1" t="s">
        <v>140</v>
      </c>
      <c r="D127" s="1" t="s">
        <v>169</v>
      </c>
      <c r="E127" s="1" t="s">
        <v>396</v>
      </c>
      <c r="F127" s="1" t="n">
        <v>8</v>
      </c>
    </row>
    <row r="128" customFormat="false" ht="15" hidden="false" customHeight="false" outlineLevel="0" collapsed="false">
      <c r="C128" s="1" t="s">
        <v>140</v>
      </c>
      <c r="D128" s="1" t="s">
        <v>169</v>
      </c>
      <c r="E128" s="1" t="s">
        <v>398</v>
      </c>
      <c r="F128" s="1" t="n">
        <v>6</v>
      </c>
    </row>
    <row r="129" customFormat="false" ht="15" hidden="false" customHeight="false" outlineLevel="0" collapsed="false">
      <c r="C129" s="1" t="s">
        <v>140</v>
      </c>
      <c r="D129" s="1" t="s">
        <v>169</v>
      </c>
      <c r="E129" s="1" t="s">
        <v>399</v>
      </c>
      <c r="F129" s="1" t="n">
        <v>6</v>
      </c>
    </row>
    <row r="130" customFormat="false" ht="15" hidden="false" customHeight="false" outlineLevel="0" collapsed="false">
      <c r="C130" s="1" t="s">
        <v>140</v>
      </c>
      <c r="D130" s="1" t="s">
        <v>169</v>
      </c>
      <c r="E130" s="1" t="s">
        <v>289</v>
      </c>
      <c r="F130" s="1" t="n">
        <v>4</v>
      </c>
    </row>
    <row r="131" customFormat="false" ht="15" hidden="false" customHeight="false" outlineLevel="0" collapsed="false">
      <c r="C131" s="1" t="s">
        <v>140</v>
      </c>
      <c r="D131" s="1" t="s">
        <v>169</v>
      </c>
      <c r="E131" s="1" t="s">
        <v>300</v>
      </c>
      <c r="F131" s="1" t="n">
        <v>2</v>
      </c>
    </row>
    <row r="132" customFormat="false" ht="15" hidden="false" customHeight="false" outlineLevel="0" collapsed="false">
      <c r="C132" s="1" t="s">
        <v>140</v>
      </c>
      <c r="D132" s="1" t="s">
        <v>169</v>
      </c>
      <c r="E132" s="1" t="s">
        <v>402</v>
      </c>
      <c r="F132" s="1" t="n">
        <v>1</v>
      </c>
    </row>
    <row r="133" customFormat="false" ht="15" hidden="false" customHeight="false" outlineLevel="0" collapsed="false">
      <c r="H133" s="1" t="s">
        <v>86</v>
      </c>
      <c r="I133" s="1" t="n">
        <f aca="false">COUNTIF(I2:I132,"&gt;0")</f>
        <v>21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4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G1" activeCellId="0" sqref="G1"/>
    </sheetView>
  </sheetViews>
  <sheetFormatPr defaultColWidth="9.58203125" defaultRowHeight="15" zeroHeight="false" outlineLevelRow="0" outlineLevelCol="0"/>
  <cols>
    <col collapsed="false" customWidth="true" hidden="false" outlineLevel="0" max="1" min="1" style="1" width="3.29"/>
    <col collapsed="false" customWidth="true" hidden="false" outlineLevel="0" max="2" min="2" style="1" width="13.43"/>
    <col collapsed="false" customWidth="true" hidden="false" outlineLevel="0" max="3" min="3" style="1" width="12.64"/>
    <col collapsed="false" customWidth="true" hidden="false" outlineLevel="0" max="4" min="4" style="1" width="22.63"/>
    <col collapsed="false" customWidth="true" hidden="false" outlineLevel="0" max="5" min="5" style="1" width="21.19"/>
  </cols>
  <sheetData>
    <row r="1" customFormat="false" ht="15" hidden="false" customHeight="false" outlineLevel="0" collapsed="false">
      <c r="C1" s="1" t="s">
        <v>2</v>
      </c>
      <c r="D1" s="1" t="s">
        <v>141</v>
      </c>
      <c r="E1" s="1" t="s">
        <v>142</v>
      </c>
      <c r="F1" s="1" t="s">
        <v>143</v>
      </c>
      <c r="G1" s="1" t="s">
        <v>100</v>
      </c>
      <c r="H1" s="1" t="s">
        <v>144</v>
      </c>
      <c r="I1" s="1" t="s">
        <v>145</v>
      </c>
    </row>
    <row r="2" customFormat="false" ht="15" hidden="false" customHeight="false" outlineLevel="0" collapsed="false">
      <c r="A2" s="1" t="n">
        <v>1</v>
      </c>
      <c r="B2" s="2" t="s">
        <v>120</v>
      </c>
      <c r="F2" s="1" t="n">
        <v>1</v>
      </c>
      <c r="I2" s="1" t="n">
        <v>1</v>
      </c>
    </row>
    <row r="3" customFormat="false" ht="15" hidden="false" customHeight="false" outlineLevel="0" collapsed="false">
      <c r="A3" s="1" t="n">
        <v>2</v>
      </c>
      <c r="B3" s="2" t="s">
        <v>121</v>
      </c>
      <c r="F3" s="1" t="n">
        <v>1</v>
      </c>
      <c r="I3" s="1" t="n">
        <v>1</v>
      </c>
    </row>
    <row r="4" customFormat="false" ht="15" hidden="false" customHeight="false" outlineLevel="0" collapsed="false">
      <c r="A4" s="1" t="n">
        <v>3</v>
      </c>
      <c r="B4" s="2" t="s">
        <v>122</v>
      </c>
      <c r="C4" s="1" t="s">
        <v>122</v>
      </c>
      <c r="D4" s="1" t="s">
        <v>429</v>
      </c>
      <c r="E4" s="1" t="s">
        <v>430</v>
      </c>
      <c r="F4" s="1" t="n">
        <v>9</v>
      </c>
      <c r="G4" s="1" t="n">
        <f aca="false">AVERAGE(F4:F6)</f>
        <v>7</v>
      </c>
      <c r="H4" s="1" t="n">
        <v>7</v>
      </c>
      <c r="I4" s="1" t="n">
        <f aca="false">ROUND(MAX(H4,G4),0)</f>
        <v>7</v>
      </c>
    </row>
    <row r="5" customFormat="false" ht="15" hidden="false" customHeight="false" outlineLevel="0" collapsed="false">
      <c r="C5" s="1" t="s">
        <v>122</v>
      </c>
      <c r="D5" s="1" t="s">
        <v>431</v>
      </c>
      <c r="E5" s="1" t="s">
        <v>422</v>
      </c>
      <c r="F5" s="1" t="n">
        <v>7</v>
      </c>
    </row>
    <row r="6" customFormat="false" ht="15" hidden="false" customHeight="false" outlineLevel="0" collapsed="false">
      <c r="C6" s="1" t="s">
        <v>122</v>
      </c>
      <c r="D6" s="1" t="s">
        <v>432</v>
      </c>
      <c r="E6" s="1" t="s">
        <v>195</v>
      </c>
      <c r="F6" s="1" t="n">
        <v>5</v>
      </c>
    </row>
    <row r="7" customFormat="false" ht="15" hidden="false" customHeight="false" outlineLevel="0" collapsed="false">
      <c r="A7" s="1" t="n">
        <v>4</v>
      </c>
      <c r="B7" s="2" t="s">
        <v>123</v>
      </c>
      <c r="C7" s="1" t="s">
        <v>123</v>
      </c>
      <c r="D7" s="1" t="s">
        <v>433</v>
      </c>
      <c r="E7" s="1" t="s">
        <v>434</v>
      </c>
      <c r="F7" s="1" t="n">
        <v>9</v>
      </c>
      <c r="I7" s="1" t="n">
        <v>9</v>
      </c>
    </row>
    <row r="8" customFormat="false" ht="15" hidden="false" customHeight="false" outlineLevel="0" collapsed="false">
      <c r="A8" s="1" t="n">
        <v>5</v>
      </c>
      <c r="B8" s="2" t="s">
        <v>124</v>
      </c>
      <c r="C8" s="1" t="s">
        <v>124</v>
      </c>
      <c r="D8" s="1" t="s">
        <v>435</v>
      </c>
      <c r="E8" s="1" t="s">
        <v>436</v>
      </c>
      <c r="F8" s="1" t="n">
        <v>7</v>
      </c>
      <c r="I8" s="1" t="n">
        <v>7</v>
      </c>
    </row>
    <row r="9" customFormat="false" ht="15" hidden="false" customHeight="false" outlineLevel="0" collapsed="false">
      <c r="A9" s="1" t="n">
        <v>6</v>
      </c>
      <c r="B9" s="2" t="s">
        <v>125</v>
      </c>
      <c r="F9" s="1" t="n">
        <v>1</v>
      </c>
      <c r="I9" s="1" t="n">
        <v>1</v>
      </c>
    </row>
    <row r="10" customFormat="false" ht="15" hidden="false" customHeight="false" outlineLevel="0" collapsed="false">
      <c r="A10" s="1" t="n">
        <v>7</v>
      </c>
      <c r="B10" s="2" t="s">
        <v>126</v>
      </c>
      <c r="F10" s="1" t="n">
        <v>1</v>
      </c>
      <c r="I10" s="1" t="n">
        <v>1</v>
      </c>
    </row>
    <row r="11" customFormat="false" ht="15" hidden="false" customHeight="false" outlineLevel="0" collapsed="false">
      <c r="A11" s="1" t="n">
        <v>8</v>
      </c>
      <c r="B11" s="2" t="s">
        <v>127</v>
      </c>
      <c r="C11" s="1" t="s">
        <v>127</v>
      </c>
      <c r="D11" s="1" t="s">
        <v>437</v>
      </c>
      <c r="E11" s="1" t="s">
        <v>168</v>
      </c>
      <c r="F11" s="1" t="n">
        <v>10</v>
      </c>
      <c r="G11" s="1" t="n">
        <f aca="false">AVERAGE(F11:F14)</f>
        <v>6</v>
      </c>
      <c r="H11" s="1" t="n">
        <v>6</v>
      </c>
      <c r="I11" s="1" t="n">
        <f aca="false">ROUND(MAX(H11,G11),0)</f>
        <v>6</v>
      </c>
    </row>
    <row r="12" customFormat="false" ht="15" hidden="false" customHeight="false" outlineLevel="0" collapsed="false">
      <c r="C12" s="1" t="s">
        <v>127</v>
      </c>
      <c r="D12" s="1" t="s">
        <v>438</v>
      </c>
      <c r="E12" s="1" t="s">
        <v>237</v>
      </c>
      <c r="F12" s="1" t="n">
        <v>6</v>
      </c>
    </row>
    <row r="13" customFormat="false" ht="15" hidden="false" customHeight="false" outlineLevel="0" collapsed="false">
      <c r="C13" s="1" t="s">
        <v>127</v>
      </c>
      <c r="D13" s="1" t="s">
        <v>439</v>
      </c>
      <c r="E13" s="1" t="s">
        <v>440</v>
      </c>
      <c r="F13" s="1" t="n">
        <v>5</v>
      </c>
    </row>
    <row r="14" customFormat="false" ht="15" hidden="false" customHeight="false" outlineLevel="0" collapsed="false">
      <c r="C14" s="1" t="s">
        <v>127</v>
      </c>
      <c r="D14" s="1" t="s">
        <v>441</v>
      </c>
      <c r="E14" s="1" t="s">
        <v>177</v>
      </c>
      <c r="F14" s="1" t="n">
        <v>3</v>
      </c>
    </row>
    <row r="15" customFormat="false" ht="15" hidden="false" customHeight="false" outlineLevel="0" collapsed="false">
      <c r="A15" s="1" t="n">
        <v>9</v>
      </c>
      <c r="B15" s="2" t="s">
        <v>128</v>
      </c>
      <c r="F15" s="1" t="n">
        <v>1</v>
      </c>
      <c r="I15" s="1" t="n">
        <v>1</v>
      </c>
    </row>
    <row r="16" customFormat="false" ht="15" hidden="false" customHeight="false" outlineLevel="0" collapsed="false">
      <c r="A16" s="1" t="n">
        <v>10</v>
      </c>
      <c r="B16" s="2" t="s">
        <v>129</v>
      </c>
      <c r="C16" s="1" t="s">
        <v>129</v>
      </c>
      <c r="D16" s="1" t="s">
        <v>442</v>
      </c>
      <c r="E16" s="1" t="s">
        <v>443</v>
      </c>
      <c r="F16" s="1" t="n">
        <v>10</v>
      </c>
      <c r="G16" s="1" t="n">
        <f aca="false">AVERAGE(F16:F17)</f>
        <v>7.5</v>
      </c>
      <c r="H16" s="1" t="n">
        <v>5</v>
      </c>
      <c r="I16" s="1" t="n">
        <f aca="false">ROUND(MAX(H16,G16),0)</f>
        <v>8</v>
      </c>
    </row>
    <row r="17" customFormat="false" ht="15" hidden="false" customHeight="false" outlineLevel="0" collapsed="false">
      <c r="C17" s="1" t="s">
        <v>129</v>
      </c>
      <c r="D17" s="1" t="s">
        <v>444</v>
      </c>
      <c r="E17" s="1" t="s">
        <v>445</v>
      </c>
      <c r="F17" s="1" t="n">
        <v>5</v>
      </c>
    </row>
    <row r="18" customFormat="false" ht="15" hidden="false" customHeight="false" outlineLevel="0" collapsed="false">
      <c r="A18" s="1" t="n">
        <v>11</v>
      </c>
      <c r="B18" s="2" t="s">
        <v>130</v>
      </c>
      <c r="F18" s="1" t="n">
        <v>1</v>
      </c>
      <c r="I18" s="1" t="n">
        <v>1</v>
      </c>
    </row>
    <row r="19" customFormat="false" ht="15" hidden="false" customHeight="false" outlineLevel="0" collapsed="false">
      <c r="A19" s="1" t="n">
        <v>12</v>
      </c>
      <c r="B19" s="2" t="s">
        <v>131</v>
      </c>
      <c r="C19" s="1" t="s">
        <v>131</v>
      </c>
      <c r="D19" s="1" t="s">
        <v>446</v>
      </c>
      <c r="E19" s="1" t="s">
        <v>409</v>
      </c>
      <c r="F19" s="1" t="n">
        <v>7</v>
      </c>
      <c r="I19" s="1" t="n">
        <v>7</v>
      </c>
    </row>
    <row r="20" customFormat="false" ht="15" hidden="false" customHeight="false" outlineLevel="0" collapsed="false">
      <c r="A20" s="1" t="n">
        <v>13</v>
      </c>
      <c r="B20" s="2" t="s">
        <v>132</v>
      </c>
      <c r="C20" s="1" t="s">
        <v>132</v>
      </c>
      <c r="D20" s="1" t="s">
        <v>447</v>
      </c>
      <c r="E20" s="1" t="s">
        <v>448</v>
      </c>
      <c r="F20" s="1" t="n">
        <v>10</v>
      </c>
      <c r="I20" s="1" t="n">
        <v>10</v>
      </c>
    </row>
    <row r="21" customFormat="false" ht="15" hidden="false" customHeight="false" outlineLevel="0" collapsed="false">
      <c r="A21" s="1" t="n">
        <v>14</v>
      </c>
      <c r="B21" s="2" t="s">
        <v>133</v>
      </c>
      <c r="C21" s="1" t="s">
        <v>133</v>
      </c>
      <c r="D21" s="1" t="s">
        <v>327</v>
      </c>
      <c r="E21" s="1" t="s">
        <v>449</v>
      </c>
      <c r="F21" s="1" t="n">
        <v>10</v>
      </c>
      <c r="G21" s="1" t="n">
        <f aca="false">AVERAGE(F21:F22)</f>
        <v>8.5</v>
      </c>
      <c r="H21" s="1" t="n">
        <v>7</v>
      </c>
      <c r="I21" s="1" t="n">
        <f aca="false">ROUND(MAX(H21,G21),0)</f>
        <v>9</v>
      </c>
    </row>
    <row r="22" customFormat="false" ht="15" hidden="false" customHeight="false" outlineLevel="0" collapsed="false">
      <c r="C22" s="1" t="s">
        <v>133</v>
      </c>
      <c r="D22" s="1" t="s">
        <v>450</v>
      </c>
      <c r="E22" s="1" t="s">
        <v>305</v>
      </c>
      <c r="F22" s="1" t="n">
        <v>7</v>
      </c>
    </row>
    <row r="23" customFormat="false" ht="15" hidden="false" customHeight="false" outlineLevel="0" collapsed="false">
      <c r="A23" s="1" t="n">
        <v>15</v>
      </c>
      <c r="B23" s="2" t="s">
        <v>134</v>
      </c>
      <c r="C23" s="1" t="s">
        <v>134</v>
      </c>
      <c r="D23" s="1" t="s">
        <v>451</v>
      </c>
      <c r="E23" s="1" t="s">
        <v>452</v>
      </c>
      <c r="F23" s="1" t="n">
        <v>9</v>
      </c>
      <c r="I23" s="1" t="n">
        <v>9</v>
      </c>
    </row>
    <row r="24" customFormat="false" ht="15" hidden="false" customHeight="false" outlineLevel="0" collapsed="false">
      <c r="A24" s="1" t="n">
        <v>16</v>
      </c>
      <c r="B24" s="2" t="s">
        <v>135</v>
      </c>
      <c r="C24" s="1" t="s">
        <v>135</v>
      </c>
      <c r="D24" s="1" t="s">
        <v>453</v>
      </c>
      <c r="E24" s="1" t="s">
        <v>454</v>
      </c>
      <c r="F24" s="1" t="n">
        <v>10</v>
      </c>
      <c r="I24" s="1" t="n">
        <v>10</v>
      </c>
    </row>
    <row r="25" customFormat="false" ht="15" hidden="false" customHeight="false" outlineLevel="0" collapsed="false">
      <c r="A25" s="1" t="n">
        <v>17</v>
      </c>
      <c r="B25" s="2" t="s">
        <v>136</v>
      </c>
      <c r="C25" s="1" t="s">
        <v>136</v>
      </c>
      <c r="D25" s="1" t="s">
        <v>455</v>
      </c>
      <c r="E25" s="1" t="s">
        <v>406</v>
      </c>
      <c r="F25" s="1" t="n">
        <v>10</v>
      </c>
      <c r="I25" s="1" t="n">
        <v>10</v>
      </c>
    </row>
    <row r="26" customFormat="false" ht="15" hidden="false" customHeight="false" outlineLevel="0" collapsed="false">
      <c r="A26" s="1" t="n">
        <v>18</v>
      </c>
      <c r="B26" s="2" t="s">
        <v>137</v>
      </c>
      <c r="C26" s="1" t="s">
        <v>137</v>
      </c>
      <c r="D26" s="1" t="s">
        <v>456</v>
      </c>
      <c r="E26" s="1" t="s">
        <v>457</v>
      </c>
      <c r="F26" s="1" t="n">
        <v>10</v>
      </c>
      <c r="I26" s="1" t="n">
        <v>10</v>
      </c>
    </row>
    <row r="27" customFormat="false" ht="15" hidden="false" customHeight="false" outlineLevel="0" collapsed="false">
      <c r="A27" s="1" t="n">
        <v>19</v>
      </c>
      <c r="B27" s="2" t="s">
        <v>138</v>
      </c>
      <c r="C27" s="1" t="s">
        <v>138</v>
      </c>
      <c r="D27" s="1" t="s">
        <v>458</v>
      </c>
      <c r="E27" s="1" t="s">
        <v>459</v>
      </c>
      <c r="F27" s="1" t="n">
        <v>9</v>
      </c>
      <c r="G27" s="1" t="n">
        <f aca="false">AVERAGE(F27:F28)</f>
        <v>7</v>
      </c>
      <c r="H27" s="1" t="n">
        <v>5</v>
      </c>
      <c r="I27" s="1" t="n">
        <f aca="false">ROUND(MAX(H27,G27),0)</f>
        <v>7</v>
      </c>
    </row>
    <row r="28" customFormat="false" ht="15" hidden="false" customHeight="false" outlineLevel="0" collapsed="false">
      <c r="C28" s="1" t="s">
        <v>138</v>
      </c>
      <c r="D28" s="1" t="s">
        <v>460</v>
      </c>
      <c r="E28" s="1" t="s">
        <v>173</v>
      </c>
      <c r="F28" s="1" t="n">
        <v>5</v>
      </c>
    </row>
    <row r="29" customFormat="false" ht="15" hidden="false" customHeight="false" outlineLevel="0" collapsed="false">
      <c r="A29" s="1" t="n">
        <v>20</v>
      </c>
      <c r="B29" s="2" t="s">
        <v>115</v>
      </c>
      <c r="F29" s="1" t="n">
        <v>1</v>
      </c>
      <c r="I29" s="1" t="n">
        <v>1</v>
      </c>
    </row>
    <row r="30" customFormat="false" ht="15" hidden="false" customHeight="false" outlineLevel="0" collapsed="false">
      <c r="A30" s="1" t="n">
        <v>21</v>
      </c>
      <c r="B30" s="2" t="s">
        <v>139</v>
      </c>
      <c r="C30" s="1" t="s">
        <v>139</v>
      </c>
      <c r="D30" s="1" t="s">
        <v>461</v>
      </c>
      <c r="E30" s="1" t="s">
        <v>462</v>
      </c>
      <c r="F30" s="1" t="n">
        <v>8</v>
      </c>
      <c r="G30" s="1" t="n">
        <f aca="false">AVERAGE(F30:F31)</f>
        <v>7</v>
      </c>
      <c r="H30" s="1" t="n">
        <v>6</v>
      </c>
      <c r="I30" s="1" t="n">
        <f aca="false">ROUND(MAX(H30,G30),0)</f>
        <v>7</v>
      </c>
    </row>
    <row r="31" customFormat="false" ht="15" hidden="false" customHeight="false" outlineLevel="0" collapsed="false">
      <c r="C31" s="1" t="s">
        <v>139</v>
      </c>
      <c r="D31" s="1" t="s">
        <v>463</v>
      </c>
      <c r="E31" s="1" t="s">
        <v>173</v>
      </c>
      <c r="F31" s="1" t="n">
        <v>6</v>
      </c>
    </row>
    <row r="32" customFormat="false" ht="15" hidden="false" customHeight="false" outlineLevel="0" collapsed="false">
      <c r="A32" s="1" t="n">
        <v>22</v>
      </c>
      <c r="B32" s="2" t="s">
        <v>140</v>
      </c>
      <c r="C32" s="1" t="s">
        <v>140</v>
      </c>
      <c r="D32" s="1" t="s">
        <v>464</v>
      </c>
      <c r="E32" s="1" t="s">
        <v>248</v>
      </c>
      <c r="F32" s="1" t="n">
        <v>10</v>
      </c>
      <c r="G32" s="1" t="n">
        <f aca="false">AVERAGE(F32:F33)</f>
        <v>6.5</v>
      </c>
      <c r="H32" s="1" t="n">
        <v>3</v>
      </c>
      <c r="I32" s="1" t="n">
        <f aca="false">ROUND(MAX(H32,G32),0)</f>
        <v>7</v>
      </c>
    </row>
    <row r="33" customFormat="false" ht="15" hidden="false" customHeight="false" outlineLevel="0" collapsed="false">
      <c r="C33" s="1" t="s">
        <v>140</v>
      </c>
      <c r="D33" s="1" t="s">
        <v>465</v>
      </c>
      <c r="E33" s="1" t="s">
        <v>173</v>
      </c>
      <c r="F33" s="1" t="n">
        <v>3</v>
      </c>
    </row>
    <row r="34" customFormat="false" ht="15" hidden="false" customHeight="false" outlineLevel="0" collapsed="false">
      <c r="H34" s="1" t="s">
        <v>86</v>
      </c>
      <c r="I34" s="1" t="n">
        <f aca="false">COUNTIF(I2:I33,"&gt;0")</f>
        <v>22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3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I51" activeCellId="0" sqref="I51"/>
    </sheetView>
  </sheetViews>
  <sheetFormatPr defaultColWidth="9.43359375" defaultRowHeight="12.8" zeroHeight="false" outlineLevelRow="0" outlineLevelCol="0"/>
  <cols>
    <col collapsed="false" customWidth="true" hidden="false" outlineLevel="0" max="1" min="1" style="1" width="3.29"/>
    <col collapsed="false" customWidth="true" hidden="false" outlineLevel="0" max="2" min="2" style="1" width="13.43"/>
    <col collapsed="false" customWidth="true" hidden="false" outlineLevel="0" max="3" min="3" style="1" width="12.64"/>
    <col collapsed="false" customWidth="true" hidden="false" outlineLevel="0" max="4" min="4" style="1" width="17.14"/>
    <col collapsed="false" customWidth="true" hidden="false" outlineLevel="0" max="5" min="5" style="1" width="21.19"/>
  </cols>
  <sheetData>
    <row r="1" customFormat="false" ht="15" hidden="false" customHeight="false" outlineLevel="0" collapsed="false">
      <c r="C1" s="1" t="s">
        <v>2</v>
      </c>
      <c r="D1" s="1" t="s">
        <v>1</v>
      </c>
      <c r="E1" s="1" t="s">
        <v>142</v>
      </c>
      <c r="F1" s="1" t="s">
        <v>143</v>
      </c>
      <c r="G1" s="1" t="s">
        <v>100</v>
      </c>
      <c r="H1" s="1" t="s">
        <v>144</v>
      </c>
      <c r="I1" s="1" t="s">
        <v>145</v>
      </c>
    </row>
    <row r="2" customFormat="false" ht="15" hidden="false" customHeight="false" outlineLevel="0" collapsed="false">
      <c r="A2" s="1" t="n">
        <v>1</v>
      </c>
      <c r="B2" s="2" t="s">
        <v>120</v>
      </c>
      <c r="F2" s="1" t="n">
        <v>1</v>
      </c>
      <c r="I2" s="1" t="n">
        <v>1</v>
      </c>
    </row>
    <row r="3" customFormat="false" ht="15" hidden="false" customHeight="false" outlineLevel="0" collapsed="false">
      <c r="A3" s="1" t="n">
        <v>2</v>
      </c>
      <c r="B3" s="2" t="s">
        <v>121</v>
      </c>
      <c r="C3" s="1" t="s">
        <v>121</v>
      </c>
      <c r="D3" s="1" t="s">
        <v>160</v>
      </c>
      <c r="E3" s="1" t="s">
        <v>167</v>
      </c>
      <c r="F3" s="1" t="n">
        <v>9</v>
      </c>
      <c r="I3" s="1" t="n">
        <v>9</v>
      </c>
    </row>
    <row r="4" customFormat="false" ht="15" hidden="false" customHeight="false" outlineLevel="0" collapsed="false">
      <c r="A4" s="1" t="n">
        <v>3</v>
      </c>
      <c r="B4" s="13" t="s">
        <v>122</v>
      </c>
      <c r="C4" s="1" t="s">
        <v>122</v>
      </c>
      <c r="D4" s="1" t="s">
        <v>164</v>
      </c>
      <c r="E4" s="1" t="s">
        <v>430</v>
      </c>
      <c r="F4" s="1" t="n">
        <v>9</v>
      </c>
      <c r="G4" s="1" t="n">
        <f aca="false">AVERAGE(F4:F6)</f>
        <v>7</v>
      </c>
      <c r="H4" s="1" t="n">
        <v>7</v>
      </c>
      <c r="I4" s="1" t="n">
        <f aca="false">ROUND(MAX(H4,G4),0)</f>
        <v>7</v>
      </c>
    </row>
    <row r="5" customFormat="false" ht="15" hidden="false" customHeight="false" outlineLevel="0" collapsed="false">
      <c r="C5" s="1" t="s">
        <v>122</v>
      </c>
      <c r="D5" s="1" t="s">
        <v>164</v>
      </c>
      <c r="E5" s="1" t="s">
        <v>422</v>
      </c>
      <c r="F5" s="1" t="n">
        <v>7</v>
      </c>
    </row>
    <row r="6" customFormat="false" ht="15" hidden="false" customHeight="false" outlineLevel="0" collapsed="false">
      <c r="C6" s="1" t="s">
        <v>122</v>
      </c>
      <c r="D6" s="1" t="s">
        <v>164</v>
      </c>
      <c r="E6" s="1" t="s">
        <v>195</v>
      </c>
      <c r="F6" s="1" t="n">
        <v>5</v>
      </c>
    </row>
    <row r="7" customFormat="false" ht="15" hidden="false" customHeight="false" outlineLevel="0" collapsed="false">
      <c r="A7" s="1" t="n">
        <v>4</v>
      </c>
      <c r="B7" s="2" t="s">
        <v>123</v>
      </c>
      <c r="C7" s="1" t="s">
        <v>123</v>
      </c>
      <c r="D7" s="1" t="s">
        <v>169</v>
      </c>
      <c r="E7" s="1" t="s">
        <v>434</v>
      </c>
      <c r="F7" s="1" t="n">
        <v>9</v>
      </c>
      <c r="I7" s="1" t="n">
        <v>9</v>
      </c>
    </row>
    <row r="8" customFormat="false" ht="15" hidden="false" customHeight="false" outlineLevel="0" collapsed="false">
      <c r="A8" s="1" t="n">
        <v>5</v>
      </c>
      <c r="B8" s="2" t="s">
        <v>124</v>
      </c>
      <c r="C8" s="1" t="s">
        <v>124</v>
      </c>
      <c r="D8" s="1" t="s">
        <v>172</v>
      </c>
      <c r="E8" s="1" t="s">
        <v>436</v>
      </c>
      <c r="F8" s="1" t="n">
        <v>7</v>
      </c>
      <c r="I8" s="1" t="n">
        <v>7</v>
      </c>
    </row>
    <row r="9" customFormat="false" ht="15" hidden="false" customHeight="false" outlineLevel="0" collapsed="false">
      <c r="A9" s="1" t="n">
        <v>6</v>
      </c>
      <c r="B9" s="2" t="s">
        <v>125</v>
      </c>
      <c r="C9" s="1" t="s">
        <v>125</v>
      </c>
      <c r="D9" s="1" t="s">
        <v>174</v>
      </c>
      <c r="E9" s="1" t="s">
        <v>466</v>
      </c>
      <c r="F9" s="1" t="n">
        <v>10</v>
      </c>
      <c r="I9" s="1" t="n">
        <v>10</v>
      </c>
    </row>
    <row r="10" customFormat="false" ht="15" hidden="false" customHeight="false" outlineLevel="0" collapsed="false">
      <c r="A10" s="1" t="n">
        <v>7</v>
      </c>
      <c r="B10" s="2" t="s">
        <v>126</v>
      </c>
      <c r="F10" s="1" t="n">
        <v>1</v>
      </c>
      <c r="I10" s="1" t="n">
        <v>1</v>
      </c>
    </row>
    <row r="11" customFormat="false" ht="15" hidden="false" customHeight="false" outlineLevel="0" collapsed="false">
      <c r="A11" s="1" t="n">
        <v>8</v>
      </c>
      <c r="B11" s="13" t="s">
        <v>127</v>
      </c>
      <c r="C11" s="1" t="s">
        <v>127</v>
      </c>
      <c r="D11" s="1" t="s">
        <v>176</v>
      </c>
      <c r="E11" s="1" t="s">
        <v>168</v>
      </c>
      <c r="F11" s="1" t="n">
        <v>10</v>
      </c>
      <c r="G11" s="1" t="n">
        <f aca="false">AVERAGE(F11:F18)</f>
        <v>7.375</v>
      </c>
      <c r="H11" s="1" t="n">
        <v>9</v>
      </c>
      <c r="I11" s="1" t="n">
        <f aca="false">ROUND(MAX(H11,G11),0)</f>
        <v>9</v>
      </c>
    </row>
    <row r="12" customFormat="false" ht="15" hidden="false" customHeight="false" outlineLevel="0" collapsed="false">
      <c r="C12" s="1" t="s">
        <v>127</v>
      </c>
      <c r="D12" s="1" t="s">
        <v>176</v>
      </c>
      <c r="E12" s="1" t="s">
        <v>377</v>
      </c>
      <c r="F12" s="1" t="n">
        <v>10</v>
      </c>
    </row>
    <row r="13" customFormat="false" ht="15" hidden="false" customHeight="false" outlineLevel="0" collapsed="false">
      <c r="C13" s="1" t="s">
        <v>127</v>
      </c>
      <c r="D13" s="1" t="s">
        <v>176</v>
      </c>
      <c r="E13" s="1" t="s">
        <v>163</v>
      </c>
      <c r="F13" s="1" t="n">
        <v>9</v>
      </c>
    </row>
    <row r="14" customFormat="false" ht="15" hidden="false" customHeight="false" outlineLevel="0" collapsed="false">
      <c r="C14" s="1" t="s">
        <v>127</v>
      </c>
      <c r="D14" s="1" t="s">
        <v>176</v>
      </c>
      <c r="E14" s="1" t="s">
        <v>467</v>
      </c>
      <c r="F14" s="1" t="n">
        <v>8</v>
      </c>
    </row>
    <row r="15" customFormat="false" ht="15" hidden="false" customHeight="false" outlineLevel="0" collapsed="false">
      <c r="C15" s="1" t="s">
        <v>127</v>
      </c>
      <c r="D15" s="1" t="s">
        <v>176</v>
      </c>
      <c r="E15" s="1" t="s">
        <v>468</v>
      </c>
      <c r="F15" s="1" t="n">
        <v>8</v>
      </c>
    </row>
    <row r="16" customFormat="false" ht="15" hidden="false" customHeight="false" outlineLevel="0" collapsed="false">
      <c r="C16" s="1" t="s">
        <v>127</v>
      </c>
      <c r="D16" s="1" t="s">
        <v>176</v>
      </c>
      <c r="E16" s="1" t="s">
        <v>237</v>
      </c>
      <c r="F16" s="1" t="n">
        <v>6</v>
      </c>
    </row>
    <row r="17" customFormat="false" ht="15" hidden="false" customHeight="false" outlineLevel="0" collapsed="false">
      <c r="C17" s="1" t="s">
        <v>127</v>
      </c>
      <c r="D17" s="1" t="s">
        <v>176</v>
      </c>
      <c r="E17" s="1" t="s">
        <v>440</v>
      </c>
      <c r="F17" s="1" t="n">
        <v>5</v>
      </c>
    </row>
    <row r="18" customFormat="false" ht="15" hidden="false" customHeight="false" outlineLevel="0" collapsed="false">
      <c r="C18" s="1" t="s">
        <v>127</v>
      </c>
      <c r="D18" s="1" t="s">
        <v>176</v>
      </c>
      <c r="E18" s="1" t="s">
        <v>177</v>
      </c>
      <c r="F18" s="1" t="n">
        <v>3</v>
      </c>
    </row>
    <row r="19" customFormat="false" ht="15" hidden="false" customHeight="false" outlineLevel="0" collapsed="false">
      <c r="A19" s="1" t="n">
        <v>9</v>
      </c>
      <c r="B19" s="2" t="s">
        <v>128</v>
      </c>
      <c r="F19" s="1" t="n">
        <v>1</v>
      </c>
      <c r="I19" s="1" t="n">
        <v>1</v>
      </c>
    </row>
    <row r="20" customFormat="false" ht="15" hidden="false" customHeight="false" outlineLevel="0" collapsed="false">
      <c r="A20" s="1" t="n">
        <v>10</v>
      </c>
      <c r="B20" s="2" t="s">
        <v>129</v>
      </c>
      <c r="C20" s="1" t="s">
        <v>129</v>
      </c>
      <c r="D20" s="1" t="s">
        <v>189</v>
      </c>
      <c r="E20" s="1" t="s">
        <v>443</v>
      </c>
      <c r="F20" s="1" t="n">
        <v>10</v>
      </c>
      <c r="G20" s="1" t="n">
        <f aca="false">AVERAGE(F20:F30)</f>
        <v>9.54545454545455</v>
      </c>
      <c r="H20" s="1" t="n">
        <v>5</v>
      </c>
      <c r="I20" s="1" t="n">
        <f aca="false">ROUND(MAX(H20,G20),0)</f>
        <v>10</v>
      </c>
    </row>
    <row r="21" customFormat="false" ht="15" hidden="false" customHeight="false" outlineLevel="0" collapsed="false">
      <c r="C21" s="1" t="s">
        <v>129</v>
      </c>
      <c r="D21" s="1" t="s">
        <v>189</v>
      </c>
      <c r="E21" s="1" t="s">
        <v>162</v>
      </c>
      <c r="F21" s="1" t="n">
        <v>10</v>
      </c>
    </row>
    <row r="22" customFormat="false" ht="15" hidden="false" customHeight="false" outlineLevel="0" collapsed="false">
      <c r="C22" s="1" t="s">
        <v>129</v>
      </c>
      <c r="D22" s="1" t="s">
        <v>189</v>
      </c>
      <c r="E22" s="1" t="s">
        <v>251</v>
      </c>
      <c r="F22" s="1" t="n">
        <v>10</v>
      </c>
    </row>
    <row r="23" customFormat="false" ht="15" hidden="false" customHeight="false" outlineLevel="0" collapsed="false">
      <c r="C23" s="1" t="s">
        <v>129</v>
      </c>
      <c r="D23" s="1" t="s">
        <v>189</v>
      </c>
      <c r="E23" s="1" t="s">
        <v>469</v>
      </c>
      <c r="F23" s="1" t="n">
        <v>10</v>
      </c>
    </row>
    <row r="24" customFormat="false" ht="15" hidden="false" customHeight="false" outlineLevel="0" collapsed="false">
      <c r="C24" s="1" t="s">
        <v>129</v>
      </c>
      <c r="D24" s="1" t="s">
        <v>189</v>
      </c>
      <c r="E24" s="1" t="s">
        <v>237</v>
      </c>
      <c r="F24" s="1" t="n">
        <v>10</v>
      </c>
    </row>
    <row r="25" customFormat="false" ht="15" hidden="false" customHeight="false" outlineLevel="0" collapsed="false">
      <c r="C25" s="1" t="s">
        <v>129</v>
      </c>
      <c r="D25" s="1" t="s">
        <v>189</v>
      </c>
      <c r="E25" s="1" t="s">
        <v>422</v>
      </c>
      <c r="F25" s="1" t="n">
        <v>10</v>
      </c>
    </row>
    <row r="26" customFormat="false" ht="15" hidden="false" customHeight="false" outlineLevel="0" collapsed="false">
      <c r="C26" s="1" t="s">
        <v>129</v>
      </c>
      <c r="D26" s="1" t="s">
        <v>189</v>
      </c>
      <c r="E26" s="1" t="s">
        <v>179</v>
      </c>
      <c r="F26" s="1" t="n">
        <v>10</v>
      </c>
    </row>
    <row r="27" customFormat="false" ht="15" hidden="false" customHeight="false" outlineLevel="0" collapsed="false">
      <c r="C27" s="1" t="s">
        <v>129</v>
      </c>
      <c r="D27" s="1" t="s">
        <v>189</v>
      </c>
      <c r="E27" s="1" t="s">
        <v>220</v>
      </c>
      <c r="F27" s="1" t="n">
        <v>10</v>
      </c>
    </row>
    <row r="28" customFormat="false" ht="15" hidden="false" customHeight="false" outlineLevel="0" collapsed="false">
      <c r="C28" s="1" t="s">
        <v>129</v>
      </c>
      <c r="D28" s="1" t="s">
        <v>189</v>
      </c>
      <c r="E28" s="1" t="s">
        <v>218</v>
      </c>
      <c r="F28" s="1" t="n">
        <v>10</v>
      </c>
    </row>
    <row r="29" customFormat="false" ht="15" hidden="false" customHeight="false" outlineLevel="0" collapsed="false">
      <c r="C29" s="1" t="s">
        <v>129</v>
      </c>
      <c r="D29" s="1" t="s">
        <v>189</v>
      </c>
      <c r="E29" s="1" t="s">
        <v>415</v>
      </c>
      <c r="F29" s="1" t="n">
        <v>10</v>
      </c>
    </row>
    <row r="30" customFormat="false" ht="15" hidden="false" customHeight="false" outlineLevel="0" collapsed="false">
      <c r="C30" s="1" t="s">
        <v>129</v>
      </c>
      <c r="D30" s="1" t="s">
        <v>189</v>
      </c>
      <c r="E30" s="1" t="s">
        <v>445</v>
      </c>
      <c r="F30" s="1" t="n">
        <v>5</v>
      </c>
    </row>
    <row r="31" customFormat="false" ht="15" hidden="false" customHeight="false" outlineLevel="0" collapsed="false">
      <c r="A31" s="1" t="n">
        <v>11</v>
      </c>
      <c r="B31" s="2" t="s">
        <v>130</v>
      </c>
      <c r="C31" s="1" t="s">
        <v>130</v>
      </c>
      <c r="D31" s="1" t="s">
        <v>198</v>
      </c>
      <c r="E31" s="1" t="s">
        <v>470</v>
      </c>
      <c r="F31" s="1" t="n">
        <v>10</v>
      </c>
      <c r="I31" s="1" t="n">
        <v>10</v>
      </c>
    </row>
    <row r="32" customFormat="false" ht="15" hidden="false" customHeight="false" outlineLevel="0" collapsed="false">
      <c r="A32" s="1" t="n">
        <v>12</v>
      </c>
      <c r="B32" s="13" t="s">
        <v>131</v>
      </c>
      <c r="C32" s="1" t="s">
        <v>131</v>
      </c>
      <c r="D32" s="1" t="s">
        <v>200</v>
      </c>
      <c r="E32" s="1" t="s">
        <v>409</v>
      </c>
      <c r="F32" s="1" t="n">
        <v>7</v>
      </c>
      <c r="I32" s="1" t="n">
        <v>7</v>
      </c>
    </row>
    <row r="33" customFormat="false" ht="15" hidden="false" customHeight="false" outlineLevel="0" collapsed="false">
      <c r="A33" s="1" t="n">
        <v>13</v>
      </c>
      <c r="B33" s="2" t="s">
        <v>132</v>
      </c>
      <c r="C33" s="1" t="s">
        <v>132</v>
      </c>
      <c r="D33" s="1" t="s">
        <v>47</v>
      </c>
      <c r="E33" s="1" t="s">
        <v>448</v>
      </c>
      <c r="F33" s="1" t="n">
        <v>10</v>
      </c>
      <c r="I33" s="1" t="n">
        <v>10</v>
      </c>
    </row>
    <row r="34" customFormat="false" ht="15" hidden="false" customHeight="false" outlineLevel="0" collapsed="false">
      <c r="A34" s="1" t="n">
        <v>14</v>
      </c>
      <c r="B34" s="14" t="s">
        <v>133</v>
      </c>
      <c r="C34" s="1" t="s">
        <v>133</v>
      </c>
      <c r="D34" s="1" t="s">
        <v>205</v>
      </c>
      <c r="E34" s="1" t="s">
        <v>449</v>
      </c>
      <c r="F34" s="1" t="n">
        <v>10</v>
      </c>
      <c r="G34" s="1" t="n">
        <f aca="false">AVERAGE(F34:F40)</f>
        <v>9.57142857142857</v>
      </c>
      <c r="H34" s="1" t="n">
        <v>7</v>
      </c>
      <c r="I34" s="1" t="n">
        <f aca="false">ROUND(MAX(H34,G34),0)</f>
        <v>10</v>
      </c>
    </row>
    <row r="35" customFormat="false" ht="15" hidden="false" customHeight="false" outlineLevel="0" collapsed="false">
      <c r="C35" s="1" t="s">
        <v>133</v>
      </c>
      <c r="D35" s="1" t="s">
        <v>205</v>
      </c>
      <c r="E35" s="1" t="s">
        <v>193</v>
      </c>
      <c r="F35" s="1" t="n">
        <v>10</v>
      </c>
    </row>
    <row r="36" customFormat="false" ht="15" hidden="false" customHeight="false" outlineLevel="0" collapsed="false">
      <c r="C36" s="1" t="s">
        <v>133</v>
      </c>
      <c r="D36" s="1" t="s">
        <v>205</v>
      </c>
      <c r="E36" s="1" t="s">
        <v>231</v>
      </c>
      <c r="F36" s="1" t="n">
        <v>10</v>
      </c>
    </row>
    <row r="37" customFormat="false" ht="15" hidden="false" customHeight="false" outlineLevel="0" collapsed="false">
      <c r="C37" s="1" t="s">
        <v>133</v>
      </c>
      <c r="D37" s="1" t="s">
        <v>205</v>
      </c>
      <c r="E37" s="1" t="s">
        <v>199</v>
      </c>
      <c r="F37" s="1" t="n">
        <v>10</v>
      </c>
    </row>
    <row r="38" customFormat="false" ht="15" hidden="false" customHeight="false" outlineLevel="0" collapsed="false">
      <c r="C38" s="1" t="s">
        <v>133</v>
      </c>
      <c r="D38" s="1" t="s">
        <v>205</v>
      </c>
      <c r="E38" s="1" t="s">
        <v>471</v>
      </c>
      <c r="F38" s="1" t="n">
        <v>10</v>
      </c>
    </row>
    <row r="39" customFormat="false" ht="15" hidden="false" customHeight="false" outlineLevel="0" collapsed="false">
      <c r="C39" s="1" t="s">
        <v>133</v>
      </c>
      <c r="D39" s="1" t="s">
        <v>205</v>
      </c>
      <c r="E39" s="1" t="s">
        <v>472</v>
      </c>
      <c r="F39" s="1" t="n">
        <v>10</v>
      </c>
    </row>
    <row r="40" customFormat="false" ht="15" hidden="false" customHeight="false" outlineLevel="0" collapsed="false">
      <c r="C40" s="1" t="s">
        <v>133</v>
      </c>
      <c r="D40" s="1" t="s">
        <v>205</v>
      </c>
      <c r="E40" s="1" t="s">
        <v>305</v>
      </c>
      <c r="F40" s="1" t="n">
        <v>7</v>
      </c>
    </row>
    <row r="41" customFormat="false" ht="15" hidden="false" customHeight="false" outlineLevel="0" collapsed="false">
      <c r="A41" s="1" t="n">
        <v>15</v>
      </c>
      <c r="B41" s="2" t="s">
        <v>134</v>
      </c>
      <c r="C41" s="1" t="s">
        <v>134</v>
      </c>
      <c r="D41" s="1" t="s">
        <v>207</v>
      </c>
      <c r="E41" s="1" t="s">
        <v>452</v>
      </c>
      <c r="F41" s="1" t="n">
        <v>9</v>
      </c>
      <c r="I41" s="1" t="n">
        <v>9</v>
      </c>
    </row>
    <row r="42" customFormat="false" ht="15" hidden="false" customHeight="false" outlineLevel="0" collapsed="false">
      <c r="A42" s="1" t="n">
        <v>16</v>
      </c>
      <c r="B42" s="13" t="s">
        <v>135</v>
      </c>
      <c r="C42" s="1" t="s">
        <v>135</v>
      </c>
      <c r="D42" s="1" t="s">
        <v>209</v>
      </c>
      <c r="E42" s="1" t="s">
        <v>454</v>
      </c>
      <c r="F42" s="1" t="n">
        <v>10</v>
      </c>
      <c r="I42" s="1" t="n">
        <v>10</v>
      </c>
    </row>
    <row r="43" customFormat="false" ht="15" hidden="false" customHeight="false" outlineLevel="0" collapsed="false">
      <c r="A43" s="1" t="n">
        <v>17</v>
      </c>
      <c r="B43" s="2" t="s">
        <v>136</v>
      </c>
      <c r="C43" s="1" t="s">
        <v>136</v>
      </c>
      <c r="D43" s="1" t="s">
        <v>210</v>
      </c>
      <c r="E43" s="1" t="s">
        <v>406</v>
      </c>
      <c r="F43" s="1" t="n">
        <v>10</v>
      </c>
      <c r="I43" s="1" t="n">
        <v>10</v>
      </c>
    </row>
    <row r="44" customFormat="false" ht="15" hidden="false" customHeight="false" outlineLevel="0" collapsed="false">
      <c r="A44" s="1" t="n">
        <v>18</v>
      </c>
      <c r="B44" s="2" t="s">
        <v>137</v>
      </c>
      <c r="C44" s="1" t="s">
        <v>137</v>
      </c>
      <c r="D44" s="1" t="s">
        <v>211</v>
      </c>
      <c r="E44" s="1" t="s">
        <v>457</v>
      </c>
      <c r="F44" s="1" t="n">
        <v>10</v>
      </c>
      <c r="I44" s="1" t="n">
        <v>10</v>
      </c>
    </row>
    <row r="45" customFormat="false" ht="15" hidden="false" customHeight="false" outlineLevel="0" collapsed="false">
      <c r="A45" s="1" t="n">
        <v>19</v>
      </c>
      <c r="B45" s="2" t="s">
        <v>138</v>
      </c>
      <c r="C45" s="1" t="s">
        <v>138</v>
      </c>
      <c r="D45" s="1" t="s">
        <v>213</v>
      </c>
      <c r="E45" s="1" t="s">
        <v>459</v>
      </c>
      <c r="F45" s="1" t="n">
        <v>9</v>
      </c>
      <c r="G45" s="1" t="n">
        <f aca="false">AVERAGE(F45:F48)</f>
        <v>8</v>
      </c>
      <c r="H45" s="1" t="n">
        <v>5</v>
      </c>
      <c r="I45" s="1" t="n">
        <f aca="false">ROUND(MAX(H45,G45),0)</f>
        <v>8</v>
      </c>
    </row>
    <row r="46" customFormat="false" ht="15" hidden="false" customHeight="false" outlineLevel="0" collapsed="false">
      <c r="C46" s="1" t="s">
        <v>138</v>
      </c>
      <c r="D46" s="1" t="s">
        <v>213</v>
      </c>
      <c r="E46" s="1" t="s">
        <v>473</v>
      </c>
      <c r="F46" s="1" t="n">
        <v>9</v>
      </c>
    </row>
    <row r="47" customFormat="false" ht="15" hidden="false" customHeight="false" outlineLevel="0" collapsed="false">
      <c r="C47" s="1" t="s">
        <v>138</v>
      </c>
      <c r="D47" s="1" t="s">
        <v>213</v>
      </c>
      <c r="E47" s="1" t="s">
        <v>474</v>
      </c>
      <c r="F47" s="1" t="n">
        <v>9</v>
      </c>
    </row>
    <row r="48" customFormat="false" ht="15" hidden="false" customHeight="false" outlineLevel="0" collapsed="false">
      <c r="C48" s="1" t="s">
        <v>138</v>
      </c>
      <c r="D48" s="1" t="s">
        <v>213</v>
      </c>
      <c r="E48" s="1" t="s">
        <v>173</v>
      </c>
      <c r="F48" s="1" t="n">
        <v>5</v>
      </c>
    </row>
    <row r="49" customFormat="false" ht="15" hidden="false" customHeight="false" outlineLevel="0" collapsed="false">
      <c r="A49" s="1" t="n">
        <v>20</v>
      </c>
      <c r="B49" s="2" t="s">
        <v>139</v>
      </c>
      <c r="C49" s="1" t="s">
        <v>139</v>
      </c>
      <c r="D49" s="1" t="s">
        <v>428</v>
      </c>
      <c r="E49" s="1" t="s">
        <v>462</v>
      </c>
      <c r="F49" s="1" t="n">
        <v>8</v>
      </c>
      <c r="G49" s="1" t="n">
        <f aca="false">AVERAGE(F49:F50)</f>
        <v>7</v>
      </c>
      <c r="H49" s="1" t="n">
        <v>6</v>
      </c>
      <c r="I49" s="1" t="n">
        <f aca="false">ROUND(MAX(H49,G49),0)</f>
        <v>7</v>
      </c>
    </row>
    <row r="50" customFormat="false" ht="15" hidden="false" customHeight="false" outlineLevel="0" collapsed="false">
      <c r="C50" s="1" t="s">
        <v>139</v>
      </c>
      <c r="D50" s="1" t="s">
        <v>428</v>
      </c>
      <c r="E50" s="1" t="s">
        <v>173</v>
      </c>
      <c r="F50" s="1" t="n">
        <v>6</v>
      </c>
    </row>
    <row r="51" customFormat="false" ht="15" hidden="false" customHeight="false" outlineLevel="0" collapsed="false">
      <c r="A51" s="1" t="n">
        <v>21</v>
      </c>
      <c r="B51" s="14" t="s">
        <v>140</v>
      </c>
      <c r="C51" s="1" t="s">
        <v>140</v>
      </c>
      <c r="D51" s="1" t="s">
        <v>169</v>
      </c>
      <c r="E51" s="1" t="s">
        <v>248</v>
      </c>
      <c r="F51" s="1" t="n">
        <v>10</v>
      </c>
      <c r="G51" s="1" t="n">
        <f aca="false">AVERAGE(F51:F52)</f>
        <v>6.5</v>
      </c>
      <c r="H51" s="1" t="n">
        <v>3</v>
      </c>
      <c r="I51" s="1" t="n">
        <f aca="false">ROUND(MAX(H51,G51),0)</f>
        <v>7</v>
      </c>
    </row>
    <row r="52" customFormat="false" ht="15" hidden="false" customHeight="false" outlineLevel="0" collapsed="false">
      <c r="C52" s="1" t="s">
        <v>140</v>
      </c>
      <c r="D52" s="1" t="s">
        <v>169</v>
      </c>
      <c r="E52" s="1" t="s">
        <v>173</v>
      </c>
      <c r="F52" s="1" t="n">
        <v>3</v>
      </c>
    </row>
    <row r="53" customFormat="false" ht="15" hidden="false" customHeight="false" outlineLevel="0" collapsed="false">
      <c r="H53" s="1" t="s">
        <v>86</v>
      </c>
      <c r="I53" s="1" t="n">
        <f aca="false">COUNTIF(I2:I52,"&gt;0")</f>
        <v>21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F3" activeCellId="0" sqref="F3"/>
    </sheetView>
  </sheetViews>
  <sheetFormatPr defaultColWidth="9.43359375" defaultRowHeight="12.8" zeroHeight="false" outlineLevelRow="0" outlineLevelCol="0"/>
  <cols>
    <col collapsed="false" customWidth="true" hidden="false" outlineLevel="0" max="1" min="1" style="1" width="3.29"/>
    <col collapsed="false" customWidth="true" hidden="false" outlineLevel="0" max="3" min="2" style="1" width="13.43"/>
    <col collapsed="false" customWidth="true" hidden="false" outlineLevel="0" max="4" min="4" style="1" width="17.7"/>
    <col collapsed="false" customWidth="true" hidden="false" outlineLevel="0" max="6" min="6" style="1" width="18.12"/>
  </cols>
  <sheetData>
    <row r="1" customFormat="false" ht="15" hidden="false" customHeight="false" outlineLevel="0" collapsed="false">
      <c r="C1" s="1" t="s">
        <v>2</v>
      </c>
      <c r="D1" s="1" t="s">
        <v>1</v>
      </c>
      <c r="E1" s="1" t="s">
        <v>143</v>
      </c>
      <c r="F1" s="1" t="s">
        <v>100</v>
      </c>
      <c r="G1" s="1" t="s">
        <v>144</v>
      </c>
      <c r="H1" s="1" t="s">
        <v>145</v>
      </c>
    </row>
    <row r="2" customFormat="false" ht="15" hidden="false" customHeight="false" outlineLevel="0" collapsed="false">
      <c r="A2" s="1" t="n">
        <v>1</v>
      </c>
      <c r="B2" s="2" t="s">
        <v>120</v>
      </c>
      <c r="E2" s="1" t="n">
        <v>1</v>
      </c>
      <c r="H2" s="1" t="n">
        <v>1</v>
      </c>
    </row>
    <row r="3" customFormat="false" ht="15" hidden="false" customHeight="false" outlineLevel="0" collapsed="false">
      <c r="A3" s="1" t="n">
        <v>2</v>
      </c>
      <c r="B3" s="2" t="s">
        <v>121</v>
      </c>
      <c r="C3" s="1" t="s">
        <v>121</v>
      </c>
      <c r="D3" s="1" t="s">
        <v>160</v>
      </c>
      <c r="E3" s="1" t="n">
        <v>10</v>
      </c>
      <c r="F3" s="1" t="n">
        <f aca="false">AVERAGE(E3:E14)</f>
        <v>5.66666666666667</v>
      </c>
      <c r="G3" s="1" t="n">
        <v>9</v>
      </c>
      <c r="H3" s="1" t="n">
        <f aca="false">ROUND(MAX(G3,F3),0)</f>
        <v>9</v>
      </c>
    </row>
    <row r="4" customFormat="false" ht="15" hidden="false" customHeight="false" outlineLevel="0" collapsed="false">
      <c r="C4" s="1" t="s">
        <v>121</v>
      </c>
      <c r="D4" s="1" t="s">
        <v>160</v>
      </c>
      <c r="E4" s="1" t="n">
        <v>9</v>
      </c>
    </row>
    <row r="5" customFormat="false" ht="15" hidden="false" customHeight="false" outlineLevel="0" collapsed="false">
      <c r="C5" s="1" t="s">
        <v>121</v>
      </c>
      <c r="D5" s="1" t="s">
        <v>160</v>
      </c>
      <c r="E5" s="1" t="n">
        <v>7</v>
      </c>
    </row>
    <row r="6" customFormat="false" ht="15" hidden="false" customHeight="false" outlineLevel="0" collapsed="false">
      <c r="C6" s="1" t="s">
        <v>121</v>
      </c>
      <c r="D6" s="1" t="s">
        <v>160</v>
      </c>
      <c r="E6" s="1" t="n">
        <v>6</v>
      </c>
    </row>
    <row r="7" customFormat="false" ht="15" hidden="false" customHeight="false" outlineLevel="0" collapsed="false">
      <c r="C7" s="1" t="s">
        <v>121</v>
      </c>
      <c r="D7" s="1" t="s">
        <v>160</v>
      </c>
      <c r="E7" s="1" t="n">
        <v>5</v>
      </c>
    </row>
    <row r="8" customFormat="false" ht="15" hidden="false" customHeight="false" outlineLevel="0" collapsed="false">
      <c r="C8" s="1" t="s">
        <v>121</v>
      </c>
      <c r="D8" s="1" t="s">
        <v>160</v>
      </c>
      <c r="E8" s="1" t="n">
        <v>5</v>
      </c>
    </row>
    <row r="9" customFormat="false" ht="15" hidden="false" customHeight="false" outlineLevel="0" collapsed="false">
      <c r="C9" s="1" t="s">
        <v>121</v>
      </c>
      <c r="D9" s="1" t="s">
        <v>160</v>
      </c>
      <c r="E9" s="1" t="n">
        <v>5</v>
      </c>
    </row>
    <row r="10" customFormat="false" ht="15" hidden="false" customHeight="false" outlineLevel="0" collapsed="false">
      <c r="C10" s="1" t="s">
        <v>121</v>
      </c>
      <c r="D10" s="1" t="s">
        <v>160</v>
      </c>
      <c r="E10" s="1" t="n">
        <v>5</v>
      </c>
    </row>
    <row r="11" customFormat="false" ht="15" hidden="false" customHeight="false" outlineLevel="0" collapsed="false">
      <c r="C11" s="1" t="s">
        <v>121</v>
      </c>
      <c r="D11" s="1" t="s">
        <v>160</v>
      </c>
      <c r="E11" s="1" t="n">
        <v>5</v>
      </c>
    </row>
    <row r="12" customFormat="false" ht="15" hidden="false" customHeight="false" outlineLevel="0" collapsed="false">
      <c r="C12" s="1" t="s">
        <v>121</v>
      </c>
      <c r="D12" s="1" t="s">
        <v>160</v>
      </c>
      <c r="E12" s="1" t="n">
        <v>5</v>
      </c>
    </row>
    <row r="13" customFormat="false" ht="15" hidden="false" customHeight="false" outlineLevel="0" collapsed="false">
      <c r="C13" s="1" t="s">
        <v>121</v>
      </c>
      <c r="D13" s="1" t="s">
        <v>160</v>
      </c>
      <c r="E13" s="1" t="n">
        <v>3</v>
      </c>
    </row>
    <row r="14" customFormat="false" ht="15" hidden="false" customHeight="false" outlineLevel="0" collapsed="false">
      <c r="C14" s="1" t="s">
        <v>121</v>
      </c>
      <c r="D14" s="1" t="s">
        <v>160</v>
      </c>
      <c r="E14" s="1" t="n">
        <v>3</v>
      </c>
    </row>
    <row r="15" customFormat="false" ht="15" hidden="false" customHeight="false" outlineLevel="0" collapsed="false">
      <c r="C15" s="1" t="s">
        <v>121</v>
      </c>
      <c r="D15" s="1" t="s">
        <v>160</v>
      </c>
      <c r="E15" s="1" t="n">
        <v>0</v>
      </c>
    </row>
    <row r="16" customFormat="false" ht="15" hidden="false" customHeight="false" outlineLevel="0" collapsed="false">
      <c r="A16" s="1" t="n">
        <v>3</v>
      </c>
      <c r="B16" s="13" t="s">
        <v>122</v>
      </c>
      <c r="C16" s="1" t="s">
        <v>122</v>
      </c>
      <c r="D16" s="1" t="s">
        <v>164</v>
      </c>
      <c r="E16" s="1" t="n">
        <v>9</v>
      </c>
      <c r="H16" s="1" t="n">
        <v>9</v>
      </c>
    </row>
    <row r="17" customFormat="false" ht="15" hidden="false" customHeight="false" outlineLevel="0" collapsed="false">
      <c r="A17" s="1" t="n">
        <v>4</v>
      </c>
      <c r="B17" s="2" t="s">
        <v>123</v>
      </c>
      <c r="C17" s="1" t="s">
        <v>123</v>
      </c>
      <c r="D17" s="1" t="s">
        <v>169</v>
      </c>
      <c r="E17" s="1" t="n">
        <v>7</v>
      </c>
      <c r="F17" s="1" t="n">
        <f aca="false">AVERAGE(E17:E20)</f>
        <v>5</v>
      </c>
      <c r="G17" s="1" t="n">
        <v>6</v>
      </c>
      <c r="H17" s="1" t="n">
        <f aca="false">ROUND(MAX(G17,F17),0)</f>
        <v>6</v>
      </c>
    </row>
    <row r="18" customFormat="false" ht="15" hidden="false" customHeight="false" outlineLevel="0" collapsed="false">
      <c r="C18" s="1" t="s">
        <v>123</v>
      </c>
      <c r="D18" s="1" t="s">
        <v>169</v>
      </c>
      <c r="E18" s="1" t="n">
        <v>6</v>
      </c>
    </row>
    <row r="19" customFormat="false" ht="15" hidden="false" customHeight="false" outlineLevel="0" collapsed="false">
      <c r="C19" s="1" t="s">
        <v>123</v>
      </c>
      <c r="D19" s="1" t="s">
        <v>169</v>
      </c>
      <c r="E19" s="1" t="n">
        <v>5</v>
      </c>
    </row>
    <row r="20" customFormat="false" ht="15" hidden="false" customHeight="false" outlineLevel="0" collapsed="false">
      <c r="C20" s="1" t="s">
        <v>123</v>
      </c>
      <c r="D20" s="1" t="s">
        <v>169</v>
      </c>
      <c r="E20" s="1" t="n">
        <v>2</v>
      </c>
    </row>
    <row r="21" customFormat="false" ht="15" hidden="false" customHeight="false" outlineLevel="0" collapsed="false">
      <c r="A21" s="1" t="n">
        <v>5</v>
      </c>
      <c r="B21" s="2" t="s">
        <v>124</v>
      </c>
      <c r="C21" s="1" t="s">
        <v>124</v>
      </c>
      <c r="D21" s="1" t="s">
        <v>172</v>
      </c>
      <c r="E21" s="1" t="n">
        <v>9</v>
      </c>
      <c r="H21" s="1" t="n">
        <v>9</v>
      </c>
    </row>
    <row r="22" customFormat="false" ht="15" hidden="false" customHeight="false" outlineLevel="0" collapsed="false">
      <c r="A22" s="1" t="n">
        <v>6</v>
      </c>
      <c r="B22" s="2" t="s">
        <v>125</v>
      </c>
      <c r="C22" s="1" t="s">
        <v>125</v>
      </c>
      <c r="D22" s="1" t="s">
        <v>174</v>
      </c>
      <c r="E22" s="1" t="n">
        <v>10</v>
      </c>
      <c r="F22" s="1" t="n">
        <f aca="false">AVERAGE(E22:E32)</f>
        <v>6.27272727272727</v>
      </c>
      <c r="G22" s="1" t="n">
        <v>9</v>
      </c>
      <c r="H22" s="1" t="n">
        <f aca="false">ROUND(MAX(G22,F22),0)</f>
        <v>9</v>
      </c>
    </row>
    <row r="23" customFormat="false" ht="15" hidden="false" customHeight="false" outlineLevel="0" collapsed="false">
      <c r="C23" s="1" t="s">
        <v>125</v>
      </c>
      <c r="D23" s="1" t="s">
        <v>174</v>
      </c>
      <c r="E23" s="1" t="n">
        <v>9</v>
      </c>
    </row>
    <row r="24" customFormat="false" ht="15" hidden="false" customHeight="false" outlineLevel="0" collapsed="false">
      <c r="C24" s="1" t="s">
        <v>125</v>
      </c>
      <c r="D24" s="1" t="s">
        <v>174</v>
      </c>
      <c r="E24" s="1" t="n">
        <v>8</v>
      </c>
    </row>
    <row r="25" customFormat="false" ht="15" hidden="false" customHeight="false" outlineLevel="0" collapsed="false">
      <c r="C25" s="1" t="s">
        <v>125</v>
      </c>
      <c r="D25" s="1" t="s">
        <v>174</v>
      </c>
      <c r="E25" s="1" t="n">
        <v>8</v>
      </c>
    </row>
    <row r="26" customFormat="false" ht="15" hidden="false" customHeight="false" outlineLevel="0" collapsed="false">
      <c r="C26" s="1" t="s">
        <v>125</v>
      </c>
      <c r="D26" s="1" t="s">
        <v>174</v>
      </c>
      <c r="E26" s="1" t="n">
        <v>7</v>
      </c>
    </row>
    <row r="27" customFormat="false" ht="15" hidden="false" customHeight="false" outlineLevel="0" collapsed="false">
      <c r="C27" s="1" t="s">
        <v>125</v>
      </c>
      <c r="D27" s="1" t="s">
        <v>174</v>
      </c>
      <c r="E27" s="1" t="n">
        <v>6</v>
      </c>
    </row>
    <row r="28" customFormat="false" ht="15" hidden="false" customHeight="false" outlineLevel="0" collapsed="false">
      <c r="C28" s="1" t="s">
        <v>125</v>
      </c>
      <c r="D28" s="1" t="s">
        <v>174</v>
      </c>
      <c r="E28" s="1" t="n">
        <v>6</v>
      </c>
    </row>
    <row r="29" customFormat="false" ht="15" hidden="false" customHeight="false" outlineLevel="0" collapsed="false">
      <c r="C29" s="1" t="s">
        <v>125</v>
      </c>
      <c r="D29" s="1" t="s">
        <v>174</v>
      </c>
      <c r="E29" s="1" t="n">
        <v>5</v>
      </c>
    </row>
    <row r="30" customFormat="false" ht="15" hidden="false" customHeight="false" outlineLevel="0" collapsed="false">
      <c r="C30" s="1" t="s">
        <v>125</v>
      </c>
      <c r="D30" s="1" t="s">
        <v>174</v>
      </c>
      <c r="E30" s="1" t="n">
        <v>5</v>
      </c>
    </row>
    <row r="31" customFormat="false" ht="15" hidden="false" customHeight="false" outlineLevel="0" collapsed="false">
      <c r="C31" s="1" t="s">
        <v>125</v>
      </c>
      <c r="D31" s="1" t="s">
        <v>174</v>
      </c>
      <c r="E31" s="1" t="n">
        <v>4</v>
      </c>
    </row>
    <row r="32" customFormat="false" ht="15" hidden="false" customHeight="false" outlineLevel="0" collapsed="false">
      <c r="C32" s="1" t="s">
        <v>125</v>
      </c>
      <c r="D32" s="1" t="s">
        <v>174</v>
      </c>
      <c r="E32" s="1" t="n">
        <v>1</v>
      </c>
    </row>
    <row r="33" customFormat="false" ht="15" hidden="false" customHeight="false" outlineLevel="0" collapsed="false">
      <c r="A33" s="1" t="n">
        <v>7</v>
      </c>
      <c r="B33" s="2" t="s">
        <v>126</v>
      </c>
      <c r="C33" s="1" t="s">
        <v>126</v>
      </c>
      <c r="D33" s="1" t="s">
        <v>413</v>
      </c>
      <c r="E33" s="1" t="n">
        <v>10</v>
      </c>
      <c r="H33" s="1" t="n">
        <v>10</v>
      </c>
    </row>
    <row r="34" customFormat="false" ht="15" hidden="false" customHeight="false" outlineLevel="0" collapsed="false">
      <c r="A34" s="1" t="n">
        <v>8</v>
      </c>
      <c r="B34" s="13" t="s">
        <v>127</v>
      </c>
      <c r="C34" s="1" t="s">
        <v>127</v>
      </c>
      <c r="D34" s="1" t="s">
        <v>176</v>
      </c>
      <c r="E34" s="1" t="n">
        <v>10</v>
      </c>
      <c r="F34" s="1" t="n">
        <f aca="false">AVERAGE(E34:E45)</f>
        <v>7.66666666666667</v>
      </c>
      <c r="G34" s="1" t="n">
        <v>9</v>
      </c>
      <c r="H34" s="1" t="n">
        <f aca="false">ROUND(MAX(G34,F34),0)</f>
        <v>9</v>
      </c>
    </row>
    <row r="35" customFormat="false" ht="15" hidden="false" customHeight="false" outlineLevel="0" collapsed="false">
      <c r="C35" s="1" t="s">
        <v>127</v>
      </c>
      <c r="D35" s="1" t="s">
        <v>176</v>
      </c>
      <c r="E35" s="1" t="n">
        <v>10</v>
      </c>
    </row>
    <row r="36" customFormat="false" ht="15" hidden="false" customHeight="false" outlineLevel="0" collapsed="false">
      <c r="C36" s="1" t="s">
        <v>127</v>
      </c>
      <c r="D36" s="1" t="s">
        <v>176</v>
      </c>
      <c r="E36" s="1" t="n">
        <v>9</v>
      </c>
    </row>
    <row r="37" customFormat="false" ht="15" hidden="false" customHeight="false" outlineLevel="0" collapsed="false">
      <c r="C37" s="1" t="s">
        <v>127</v>
      </c>
      <c r="D37" s="1" t="s">
        <v>176</v>
      </c>
      <c r="E37" s="1" t="n">
        <v>8</v>
      </c>
    </row>
    <row r="38" customFormat="false" ht="15" hidden="false" customHeight="false" outlineLevel="0" collapsed="false">
      <c r="C38" s="1" t="s">
        <v>127</v>
      </c>
      <c r="D38" s="1" t="s">
        <v>176</v>
      </c>
      <c r="E38" s="1" t="n">
        <v>8</v>
      </c>
    </row>
    <row r="39" customFormat="false" ht="15" hidden="false" customHeight="false" outlineLevel="0" collapsed="false">
      <c r="C39" s="1" t="s">
        <v>127</v>
      </c>
      <c r="D39" s="1" t="s">
        <v>176</v>
      </c>
      <c r="E39" s="1" t="n">
        <v>8</v>
      </c>
    </row>
    <row r="40" customFormat="false" ht="15" hidden="false" customHeight="false" outlineLevel="0" collapsed="false">
      <c r="C40" s="1" t="s">
        <v>127</v>
      </c>
      <c r="D40" s="1" t="s">
        <v>176</v>
      </c>
      <c r="E40" s="1" t="n">
        <v>7</v>
      </c>
    </row>
    <row r="41" customFormat="false" ht="15" hidden="false" customHeight="false" outlineLevel="0" collapsed="false">
      <c r="C41" s="1" t="s">
        <v>127</v>
      </c>
      <c r="D41" s="1" t="s">
        <v>176</v>
      </c>
      <c r="E41" s="1" t="n">
        <v>7</v>
      </c>
    </row>
    <row r="42" customFormat="false" ht="15" hidden="false" customHeight="false" outlineLevel="0" collapsed="false">
      <c r="C42" s="1" t="s">
        <v>127</v>
      </c>
      <c r="D42" s="1" t="s">
        <v>176</v>
      </c>
      <c r="E42" s="1" t="n">
        <v>7</v>
      </c>
    </row>
    <row r="43" customFormat="false" ht="15" hidden="false" customHeight="false" outlineLevel="0" collapsed="false">
      <c r="C43" s="1" t="s">
        <v>127</v>
      </c>
      <c r="D43" s="1" t="s">
        <v>176</v>
      </c>
      <c r="E43" s="1" t="n">
        <v>7</v>
      </c>
    </row>
    <row r="44" customFormat="false" ht="15" hidden="false" customHeight="false" outlineLevel="0" collapsed="false">
      <c r="C44" s="1" t="s">
        <v>127</v>
      </c>
      <c r="D44" s="1" t="s">
        <v>176</v>
      </c>
      <c r="E44" s="1" t="n">
        <v>6</v>
      </c>
    </row>
    <row r="45" customFormat="false" ht="15" hidden="false" customHeight="false" outlineLevel="0" collapsed="false">
      <c r="C45" s="1" t="s">
        <v>127</v>
      </c>
      <c r="D45" s="1" t="s">
        <v>176</v>
      </c>
      <c r="E45" s="1" t="n">
        <v>5</v>
      </c>
    </row>
    <row r="46" customFormat="false" ht="15" hidden="false" customHeight="false" outlineLevel="0" collapsed="false">
      <c r="A46" s="1" t="n">
        <v>9</v>
      </c>
      <c r="B46" s="2" t="s">
        <v>128</v>
      </c>
      <c r="C46" s="1" t="s">
        <v>128</v>
      </c>
      <c r="D46" s="1" t="s">
        <v>186</v>
      </c>
      <c r="E46" s="1" t="n">
        <v>10</v>
      </c>
      <c r="F46" s="1" t="n">
        <f aca="false">AVERAGE(E46:E50)</f>
        <v>5</v>
      </c>
      <c r="G46" s="1" t="n">
        <v>5</v>
      </c>
      <c r="H46" s="1" t="n">
        <f aca="false">ROUND(MAX(G46,F46),0)</f>
        <v>5</v>
      </c>
    </row>
    <row r="47" customFormat="false" ht="15" hidden="false" customHeight="false" outlineLevel="0" collapsed="false">
      <c r="C47" s="1" t="s">
        <v>128</v>
      </c>
      <c r="D47" s="1" t="s">
        <v>186</v>
      </c>
      <c r="E47" s="1" t="n">
        <v>5</v>
      </c>
    </row>
    <row r="48" customFormat="false" ht="15" hidden="false" customHeight="false" outlineLevel="0" collapsed="false">
      <c r="C48" s="1" t="s">
        <v>128</v>
      </c>
      <c r="D48" s="1" t="s">
        <v>186</v>
      </c>
      <c r="E48" s="1" t="n">
        <v>4</v>
      </c>
    </row>
    <row r="49" customFormat="false" ht="15" hidden="false" customHeight="false" outlineLevel="0" collapsed="false">
      <c r="C49" s="1" t="s">
        <v>128</v>
      </c>
      <c r="D49" s="1" t="s">
        <v>186</v>
      </c>
      <c r="E49" s="1" t="n">
        <v>3</v>
      </c>
    </row>
    <row r="50" customFormat="false" ht="15" hidden="false" customHeight="false" outlineLevel="0" collapsed="false">
      <c r="C50" s="1" t="s">
        <v>128</v>
      </c>
      <c r="D50" s="1" t="s">
        <v>186</v>
      </c>
      <c r="E50" s="1" t="n">
        <v>3</v>
      </c>
    </row>
    <row r="51" customFormat="false" ht="15" hidden="false" customHeight="false" outlineLevel="0" collapsed="false">
      <c r="A51" s="1" t="n">
        <v>10</v>
      </c>
      <c r="B51" s="2" t="s">
        <v>129</v>
      </c>
      <c r="C51" s="1" t="s">
        <v>129</v>
      </c>
      <c r="D51" s="1" t="s">
        <v>189</v>
      </c>
      <c r="E51" s="1" t="n">
        <v>10</v>
      </c>
      <c r="F51" s="1" t="n">
        <f aca="false">AVERAGE(E51:E57)</f>
        <v>6.71428571428571</v>
      </c>
      <c r="G51" s="1" t="n">
        <v>9</v>
      </c>
      <c r="H51" s="1" t="n">
        <f aca="false">ROUND(MAX(G51,F51),0)</f>
        <v>9</v>
      </c>
    </row>
    <row r="52" customFormat="false" ht="15" hidden="false" customHeight="false" outlineLevel="0" collapsed="false">
      <c r="C52" s="1" t="s">
        <v>129</v>
      </c>
      <c r="D52" s="1" t="s">
        <v>189</v>
      </c>
      <c r="E52" s="1" t="n">
        <v>9</v>
      </c>
    </row>
    <row r="53" customFormat="false" ht="15" hidden="false" customHeight="false" outlineLevel="0" collapsed="false">
      <c r="C53" s="1" t="s">
        <v>129</v>
      </c>
      <c r="D53" s="1" t="s">
        <v>189</v>
      </c>
      <c r="E53" s="1" t="n">
        <v>9</v>
      </c>
    </row>
    <row r="54" customFormat="false" ht="15" hidden="false" customHeight="false" outlineLevel="0" collapsed="false">
      <c r="C54" s="1" t="s">
        <v>129</v>
      </c>
      <c r="D54" s="1" t="s">
        <v>189</v>
      </c>
      <c r="E54" s="1" t="n">
        <v>9</v>
      </c>
    </row>
    <row r="55" customFormat="false" ht="15" hidden="false" customHeight="false" outlineLevel="0" collapsed="false">
      <c r="C55" s="1" t="s">
        <v>129</v>
      </c>
      <c r="D55" s="1" t="s">
        <v>189</v>
      </c>
      <c r="E55" s="1" t="n">
        <v>5</v>
      </c>
    </row>
    <row r="56" customFormat="false" ht="15" hidden="false" customHeight="false" outlineLevel="0" collapsed="false">
      <c r="C56" s="1" t="s">
        <v>129</v>
      </c>
      <c r="D56" s="1" t="s">
        <v>189</v>
      </c>
      <c r="E56" s="1" t="n">
        <v>3</v>
      </c>
    </row>
    <row r="57" customFormat="false" ht="15" hidden="false" customHeight="false" outlineLevel="0" collapsed="false">
      <c r="C57" s="1" t="s">
        <v>129</v>
      </c>
      <c r="D57" s="1" t="s">
        <v>189</v>
      </c>
      <c r="E57" s="1" t="n">
        <v>2</v>
      </c>
    </row>
    <row r="58" customFormat="false" ht="15" hidden="false" customHeight="false" outlineLevel="0" collapsed="false">
      <c r="A58" s="1" t="n">
        <v>11</v>
      </c>
      <c r="B58" s="2" t="s">
        <v>130</v>
      </c>
      <c r="C58" s="1" t="s">
        <v>130</v>
      </c>
      <c r="D58" s="1" t="s">
        <v>198</v>
      </c>
      <c r="E58" s="1" t="n">
        <v>10</v>
      </c>
      <c r="F58" s="1" t="n">
        <f aca="false">AVERAGE(E58:E63)</f>
        <v>7.33333333333333</v>
      </c>
      <c r="G58" s="1" t="n">
        <v>8</v>
      </c>
      <c r="H58" s="1" t="n">
        <f aca="false">ROUND(MAX(G58,F58),0)</f>
        <v>8</v>
      </c>
    </row>
    <row r="59" customFormat="false" ht="15" hidden="false" customHeight="false" outlineLevel="0" collapsed="false">
      <c r="C59" s="1" t="s">
        <v>130</v>
      </c>
      <c r="D59" s="1" t="s">
        <v>198</v>
      </c>
      <c r="E59" s="1" t="n">
        <v>8</v>
      </c>
    </row>
    <row r="60" customFormat="false" ht="15" hidden="false" customHeight="false" outlineLevel="0" collapsed="false">
      <c r="C60" s="1" t="s">
        <v>130</v>
      </c>
      <c r="D60" s="1" t="s">
        <v>198</v>
      </c>
      <c r="E60" s="1" t="n">
        <v>7</v>
      </c>
    </row>
    <row r="61" customFormat="false" ht="15" hidden="false" customHeight="false" outlineLevel="0" collapsed="false">
      <c r="C61" s="1" t="s">
        <v>130</v>
      </c>
      <c r="D61" s="1" t="s">
        <v>198</v>
      </c>
      <c r="E61" s="1" t="n">
        <v>7</v>
      </c>
    </row>
    <row r="62" customFormat="false" ht="15" hidden="false" customHeight="false" outlineLevel="0" collapsed="false">
      <c r="C62" s="1" t="s">
        <v>130</v>
      </c>
      <c r="D62" s="1" t="s">
        <v>198</v>
      </c>
      <c r="E62" s="1" t="n">
        <v>7</v>
      </c>
    </row>
    <row r="63" customFormat="false" ht="15" hidden="false" customHeight="false" outlineLevel="0" collapsed="false">
      <c r="C63" s="1" t="s">
        <v>130</v>
      </c>
      <c r="D63" s="1" t="s">
        <v>198</v>
      </c>
      <c r="E63" s="1" t="n">
        <v>5</v>
      </c>
    </row>
    <row r="64" customFormat="false" ht="15" hidden="false" customHeight="false" outlineLevel="0" collapsed="false">
      <c r="A64" s="1" t="n">
        <v>12</v>
      </c>
      <c r="B64" s="13" t="s">
        <v>131</v>
      </c>
      <c r="C64" s="1" t="s">
        <v>131</v>
      </c>
      <c r="D64" s="1" t="s">
        <v>200</v>
      </c>
      <c r="E64" s="1" t="n">
        <v>9</v>
      </c>
      <c r="F64" s="1" t="n">
        <f aca="false">AVERAGE(E64:E70)</f>
        <v>6.85714285714286</v>
      </c>
      <c r="G64" s="1" t="n">
        <v>7</v>
      </c>
      <c r="H64" s="1" t="n">
        <f aca="false">ROUND(MAX(G64,F64),0)</f>
        <v>7</v>
      </c>
    </row>
    <row r="65" customFormat="false" ht="15" hidden="false" customHeight="false" outlineLevel="0" collapsed="false">
      <c r="C65" s="1" t="s">
        <v>131</v>
      </c>
      <c r="D65" s="1" t="s">
        <v>200</v>
      </c>
      <c r="E65" s="1" t="n">
        <v>9</v>
      </c>
    </row>
    <row r="66" customFormat="false" ht="15" hidden="false" customHeight="false" outlineLevel="0" collapsed="false">
      <c r="C66" s="1" t="s">
        <v>131</v>
      </c>
      <c r="D66" s="1" t="s">
        <v>200</v>
      </c>
      <c r="E66" s="1" t="n">
        <v>7</v>
      </c>
    </row>
    <row r="67" customFormat="false" ht="15" hidden="false" customHeight="false" outlineLevel="0" collapsed="false">
      <c r="C67" s="1" t="s">
        <v>131</v>
      </c>
      <c r="D67" s="1" t="s">
        <v>200</v>
      </c>
      <c r="E67" s="1" t="n">
        <v>7</v>
      </c>
    </row>
    <row r="68" customFormat="false" ht="15" hidden="false" customHeight="false" outlineLevel="0" collapsed="false">
      <c r="C68" s="1" t="s">
        <v>131</v>
      </c>
      <c r="D68" s="1" t="s">
        <v>200</v>
      </c>
      <c r="E68" s="1" t="n">
        <v>7</v>
      </c>
    </row>
    <row r="69" customFormat="false" ht="15" hidden="false" customHeight="false" outlineLevel="0" collapsed="false">
      <c r="C69" s="1" t="s">
        <v>131</v>
      </c>
      <c r="D69" s="1" t="s">
        <v>200</v>
      </c>
      <c r="E69" s="1" t="n">
        <v>6</v>
      </c>
    </row>
    <row r="70" customFormat="false" ht="15" hidden="false" customHeight="false" outlineLevel="0" collapsed="false">
      <c r="C70" s="1" t="s">
        <v>131</v>
      </c>
      <c r="D70" s="1" t="s">
        <v>200</v>
      </c>
      <c r="E70" s="1" t="n">
        <v>3</v>
      </c>
    </row>
    <row r="71" customFormat="false" ht="15" hidden="false" customHeight="false" outlineLevel="0" collapsed="false">
      <c r="A71" s="1" t="n">
        <v>13</v>
      </c>
      <c r="B71" s="2" t="s">
        <v>132</v>
      </c>
      <c r="C71" s="1" t="s">
        <v>132</v>
      </c>
      <c r="D71" s="1" t="s">
        <v>47</v>
      </c>
      <c r="E71" s="1" t="n">
        <v>8</v>
      </c>
      <c r="F71" s="1" t="n">
        <f aca="false">AVERAGE(E71:E73)</f>
        <v>7</v>
      </c>
      <c r="G71" s="1" t="n">
        <v>7</v>
      </c>
      <c r="H71" s="1" t="n">
        <f aca="false">ROUND(MAX(G71,F71),0)</f>
        <v>7</v>
      </c>
    </row>
    <row r="72" customFormat="false" ht="15" hidden="false" customHeight="false" outlineLevel="0" collapsed="false">
      <c r="C72" s="1" t="s">
        <v>132</v>
      </c>
      <c r="D72" s="1" t="s">
        <v>47</v>
      </c>
      <c r="E72" s="1" t="n">
        <v>7</v>
      </c>
    </row>
    <row r="73" customFormat="false" ht="15" hidden="false" customHeight="false" outlineLevel="0" collapsed="false">
      <c r="C73" s="1" t="s">
        <v>132</v>
      </c>
      <c r="D73" s="1" t="s">
        <v>47</v>
      </c>
      <c r="E73" s="1" t="n">
        <v>6</v>
      </c>
    </row>
    <row r="74" customFormat="false" ht="15" hidden="false" customHeight="false" outlineLevel="0" collapsed="false">
      <c r="A74" s="1" t="n">
        <v>14</v>
      </c>
      <c r="B74" s="14" t="s">
        <v>133</v>
      </c>
      <c r="C74" s="1" t="s">
        <v>133</v>
      </c>
      <c r="D74" s="1" t="s">
        <v>205</v>
      </c>
      <c r="E74" s="1" t="n">
        <v>10</v>
      </c>
      <c r="F74" s="1" t="n">
        <f aca="false">AVERAGE(E74:E82)</f>
        <v>7</v>
      </c>
      <c r="G74" s="1" t="n">
        <v>9</v>
      </c>
      <c r="H74" s="1" t="n">
        <f aca="false">ROUND(MAX(G74,F74),0)</f>
        <v>9</v>
      </c>
    </row>
    <row r="75" customFormat="false" ht="15" hidden="false" customHeight="false" outlineLevel="0" collapsed="false">
      <c r="C75" s="1" t="s">
        <v>133</v>
      </c>
      <c r="D75" s="1" t="s">
        <v>205</v>
      </c>
      <c r="E75" s="1" t="n">
        <v>9</v>
      </c>
    </row>
    <row r="76" customFormat="false" ht="15" hidden="false" customHeight="false" outlineLevel="0" collapsed="false">
      <c r="C76" s="1" t="s">
        <v>133</v>
      </c>
      <c r="D76" s="1" t="s">
        <v>205</v>
      </c>
      <c r="E76" s="1" t="n">
        <v>8</v>
      </c>
    </row>
    <row r="77" customFormat="false" ht="15" hidden="false" customHeight="false" outlineLevel="0" collapsed="false">
      <c r="C77" s="1" t="s">
        <v>133</v>
      </c>
      <c r="D77" s="1" t="s">
        <v>205</v>
      </c>
      <c r="E77" s="1" t="n">
        <v>8</v>
      </c>
    </row>
    <row r="78" customFormat="false" ht="15" hidden="false" customHeight="false" outlineLevel="0" collapsed="false">
      <c r="C78" s="1" t="s">
        <v>133</v>
      </c>
      <c r="D78" s="1" t="s">
        <v>205</v>
      </c>
      <c r="E78" s="1" t="n">
        <v>8</v>
      </c>
    </row>
    <row r="79" customFormat="false" ht="15" hidden="false" customHeight="false" outlineLevel="0" collapsed="false">
      <c r="C79" s="1" t="s">
        <v>133</v>
      </c>
      <c r="D79" s="1" t="s">
        <v>205</v>
      </c>
      <c r="E79" s="1" t="n">
        <v>6</v>
      </c>
    </row>
    <row r="80" customFormat="false" ht="15" hidden="false" customHeight="false" outlineLevel="0" collapsed="false">
      <c r="C80" s="1" t="s">
        <v>133</v>
      </c>
      <c r="D80" s="1" t="s">
        <v>205</v>
      </c>
      <c r="E80" s="1" t="n">
        <v>6</v>
      </c>
    </row>
    <row r="81" customFormat="false" ht="15" hidden="false" customHeight="false" outlineLevel="0" collapsed="false">
      <c r="C81" s="1" t="s">
        <v>133</v>
      </c>
      <c r="D81" s="1" t="s">
        <v>205</v>
      </c>
      <c r="E81" s="1" t="n">
        <v>5</v>
      </c>
    </row>
    <row r="82" customFormat="false" ht="15" hidden="false" customHeight="false" outlineLevel="0" collapsed="false">
      <c r="C82" s="1" t="s">
        <v>133</v>
      </c>
      <c r="D82" s="1" t="s">
        <v>205</v>
      </c>
      <c r="E82" s="1" t="n">
        <v>3</v>
      </c>
    </row>
    <row r="83" customFormat="false" ht="15" hidden="false" customHeight="false" outlineLevel="0" collapsed="false">
      <c r="A83" s="1" t="n">
        <v>15</v>
      </c>
      <c r="B83" s="2" t="s">
        <v>134</v>
      </c>
      <c r="C83" s="1" t="s">
        <v>134</v>
      </c>
      <c r="D83" s="1" t="s">
        <v>207</v>
      </c>
      <c r="E83" s="1" t="n">
        <v>8</v>
      </c>
      <c r="H83" s="1" t="n">
        <v>8</v>
      </c>
    </row>
    <row r="84" customFormat="false" ht="15" hidden="false" customHeight="false" outlineLevel="0" collapsed="false">
      <c r="A84" s="1" t="n">
        <v>16</v>
      </c>
      <c r="B84" s="13" t="s">
        <v>135</v>
      </c>
      <c r="C84" s="1" t="s">
        <v>134</v>
      </c>
      <c r="D84" s="1" t="s">
        <v>207</v>
      </c>
      <c r="E84" s="1" t="n">
        <v>5</v>
      </c>
      <c r="F84" s="1" t="n">
        <f aca="false">AVERAGE(E84:E86)</f>
        <v>4</v>
      </c>
      <c r="G84" s="1" t="n">
        <v>2</v>
      </c>
      <c r="H84" s="1" t="n">
        <f aca="false">ROUND(MAX(G84,F84),0)</f>
        <v>4</v>
      </c>
    </row>
    <row r="85" customFormat="false" ht="15" hidden="false" customHeight="false" outlineLevel="0" collapsed="false">
      <c r="C85" s="1" t="s">
        <v>134</v>
      </c>
      <c r="D85" s="1" t="s">
        <v>207</v>
      </c>
      <c r="E85" s="1" t="n">
        <v>5</v>
      </c>
    </row>
    <row r="86" customFormat="false" ht="15" hidden="false" customHeight="false" outlineLevel="0" collapsed="false">
      <c r="C86" s="1" t="s">
        <v>134</v>
      </c>
      <c r="D86" s="1" t="s">
        <v>207</v>
      </c>
      <c r="E86" s="1" t="n">
        <v>2</v>
      </c>
    </row>
    <row r="87" customFormat="false" ht="15" hidden="false" customHeight="false" outlineLevel="0" collapsed="false">
      <c r="C87" s="1" t="s">
        <v>135</v>
      </c>
      <c r="D87" s="1" t="s">
        <v>209</v>
      </c>
      <c r="E87" s="1" t="n">
        <v>7</v>
      </c>
    </row>
    <row r="88" customFormat="false" ht="15" hidden="false" customHeight="false" outlineLevel="0" collapsed="false">
      <c r="C88" s="1" t="s">
        <v>135</v>
      </c>
      <c r="D88" s="1" t="s">
        <v>209</v>
      </c>
      <c r="E88" s="1" t="n">
        <v>7</v>
      </c>
    </row>
    <row r="89" customFormat="false" ht="15" hidden="false" customHeight="false" outlineLevel="0" collapsed="false">
      <c r="C89" s="1" t="s">
        <v>135</v>
      </c>
      <c r="D89" s="1" t="s">
        <v>209</v>
      </c>
      <c r="E89" s="1" t="n">
        <v>5</v>
      </c>
    </row>
    <row r="90" customFormat="false" ht="15" hidden="false" customHeight="false" outlineLevel="0" collapsed="false">
      <c r="A90" s="1" t="n">
        <v>17</v>
      </c>
      <c r="B90" s="2" t="s">
        <v>136</v>
      </c>
      <c r="C90" s="1" t="s">
        <v>136</v>
      </c>
      <c r="D90" s="1" t="s">
        <v>210</v>
      </c>
      <c r="E90" s="1" t="n">
        <v>10</v>
      </c>
      <c r="H90" s="1" t="n">
        <v>10</v>
      </c>
    </row>
    <row r="91" customFormat="false" ht="15" hidden="false" customHeight="false" outlineLevel="0" collapsed="false">
      <c r="A91" s="1" t="n">
        <v>18</v>
      </c>
      <c r="B91" s="2" t="s">
        <v>137</v>
      </c>
      <c r="C91" s="1" t="s">
        <v>137</v>
      </c>
      <c r="D91" s="1" t="s">
        <v>211</v>
      </c>
      <c r="E91" s="1" t="n">
        <v>10</v>
      </c>
      <c r="H91" s="1" t="n">
        <v>10</v>
      </c>
    </row>
    <row r="92" customFormat="false" ht="15" hidden="false" customHeight="false" outlineLevel="0" collapsed="false">
      <c r="A92" s="1" t="n">
        <v>19</v>
      </c>
      <c r="B92" s="2" t="s">
        <v>138</v>
      </c>
      <c r="C92" s="1" t="s">
        <v>138</v>
      </c>
      <c r="D92" s="1" t="s">
        <v>213</v>
      </c>
      <c r="E92" s="1" t="n">
        <v>8</v>
      </c>
      <c r="F92" s="1" t="n">
        <f aca="false">AVERAGE(E92:E95)</f>
        <v>6</v>
      </c>
      <c r="G92" s="1" t="n">
        <v>7</v>
      </c>
      <c r="H92" s="1" t="n">
        <f aca="false">ROUND(MAX(G92,F92),0)</f>
        <v>7</v>
      </c>
    </row>
    <row r="93" customFormat="false" ht="15" hidden="false" customHeight="false" outlineLevel="0" collapsed="false">
      <c r="C93" s="1" t="s">
        <v>138</v>
      </c>
      <c r="D93" s="1" t="s">
        <v>213</v>
      </c>
      <c r="E93" s="1" t="n">
        <v>7</v>
      </c>
    </row>
    <row r="94" customFormat="false" ht="15" hidden="false" customHeight="false" outlineLevel="0" collapsed="false">
      <c r="C94" s="1" t="s">
        <v>138</v>
      </c>
      <c r="D94" s="1" t="s">
        <v>213</v>
      </c>
      <c r="E94" s="1" t="n">
        <v>5</v>
      </c>
    </row>
    <row r="95" customFormat="false" ht="15" hidden="false" customHeight="false" outlineLevel="0" collapsed="false">
      <c r="C95" s="1" t="s">
        <v>138</v>
      </c>
      <c r="D95" s="1" t="s">
        <v>213</v>
      </c>
      <c r="E95" s="1" t="n">
        <v>4</v>
      </c>
    </row>
    <row r="96" customFormat="false" ht="15" hidden="false" customHeight="false" outlineLevel="0" collapsed="false">
      <c r="A96" s="1" t="n">
        <v>20</v>
      </c>
      <c r="B96" s="2" t="s">
        <v>139</v>
      </c>
      <c r="C96" s="1" t="s">
        <v>139</v>
      </c>
      <c r="D96" s="1" t="s">
        <v>428</v>
      </c>
      <c r="E96" s="1" t="n">
        <v>7</v>
      </c>
      <c r="F96" s="1" t="n">
        <f aca="false">AVERAGE(E96:E100)</f>
        <v>5.2</v>
      </c>
      <c r="G96" s="1" t="n">
        <v>5</v>
      </c>
      <c r="H96" s="1" t="n">
        <f aca="false">ROUND(MAX(G96,F96),0)</f>
        <v>5</v>
      </c>
    </row>
    <row r="97" customFormat="false" ht="15" hidden="false" customHeight="false" outlineLevel="0" collapsed="false">
      <c r="C97" s="1" t="s">
        <v>139</v>
      </c>
      <c r="D97" s="1" t="s">
        <v>428</v>
      </c>
      <c r="E97" s="1" t="n">
        <v>5</v>
      </c>
    </row>
    <row r="98" customFormat="false" ht="15" hidden="false" customHeight="false" outlineLevel="0" collapsed="false">
      <c r="C98" s="1" t="s">
        <v>139</v>
      </c>
      <c r="D98" s="1" t="s">
        <v>428</v>
      </c>
      <c r="E98" s="1" t="n">
        <v>5</v>
      </c>
    </row>
    <row r="99" customFormat="false" ht="15" hidden="false" customHeight="false" outlineLevel="0" collapsed="false">
      <c r="C99" s="1" t="s">
        <v>139</v>
      </c>
      <c r="D99" s="1" t="s">
        <v>428</v>
      </c>
      <c r="E99" s="1" t="n">
        <v>5</v>
      </c>
    </row>
    <row r="100" customFormat="false" ht="15" hidden="false" customHeight="false" outlineLevel="0" collapsed="false">
      <c r="C100" s="1" t="s">
        <v>139</v>
      </c>
      <c r="D100" s="1" t="s">
        <v>428</v>
      </c>
      <c r="E100" s="1" t="n">
        <v>4</v>
      </c>
    </row>
    <row r="101" customFormat="false" ht="15" hidden="false" customHeight="false" outlineLevel="0" collapsed="false">
      <c r="A101" s="1" t="n">
        <v>21</v>
      </c>
      <c r="B101" s="14" t="s">
        <v>140</v>
      </c>
      <c r="C101" s="1" t="s">
        <v>140</v>
      </c>
      <c r="D101" s="1" t="s">
        <v>169</v>
      </c>
      <c r="E101" s="1" t="n">
        <v>8</v>
      </c>
      <c r="F101" s="1" t="n">
        <f aca="false">AVERAGE(E101:E105)</f>
        <v>5.8</v>
      </c>
      <c r="G101" s="1" t="n">
        <v>6</v>
      </c>
      <c r="H101" s="1" t="n">
        <f aca="false">ROUND(MAX(G101,F101),0)</f>
        <v>6</v>
      </c>
    </row>
    <row r="102" customFormat="false" ht="15" hidden="false" customHeight="false" outlineLevel="0" collapsed="false">
      <c r="C102" s="1" t="s">
        <v>140</v>
      </c>
      <c r="D102" s="1" t="s">
        <v>169</v>
      </c>
      <c r="E102" s="1" t="n">
        <v>6</v>
      </c>
    </row>
    <row r="103" customFormat="false" ht="15" hidden="false" customHeight="false" outlineLevel="0" collapsed="false">
      <c r="C103" s="1" t="s">
        <v>140</v>
      </c>
      <c r="D103" s="1" t="s">
        <v>169</v>
      </c>
      <c r="E103" s="1" t="n">
        <v>6</v>
      </c>
    </row>
    <row r="104" customFormat="false" ht="15" hidden="false" customHeight="false" outlineLevel="0" collapsed="false">
      <c r="C104" s="1" t="s">
        <v>140</v>
      </c>
      <c r="D104" s="1" t="s">
        <v>169</v>
      </c>
      <c r="E104" s="1" t="n">
        <v>6</v>
      </c>
    </row>
    <row r="105" customFormat="false" ht="15" hidden="false" customHeight="false" outlineLevel="0" collapsed="false">
      <c r="C105" s="1" t="s">
        <v>140</v>
      </c>
      <c r="D105" s="1" t="s">
        <v>169</v>
      </c>
      <c r="E105" s="1" t="n">
        <v>3</v>
      </c>
    </row>
    <row r="106" customFormat="false" ht="15" hidden="false" customHeight="false" outlineLevel="0" collapsed="false">
      <c r="G106" s="1" t="s">
        <v>86</v>
      </c>
      <c r="H106" s="1" t="n">
        <f aca="false">COUNTIF(H2:H105,"&gt;0")</f>
        <v>21</v>
      </c>
    </row>
    <row r="107" customFormat="false" ht="15" hidden="false" customHeight="false" outlineLevel="0" collapsed="false"/>
    <row r="108" customFormat="false" ht="15" hidden="false" customHeight="false" outlineLevel="0" collapsed="false"/>
    <row r="109" customFormat="false" ht="15" hidden="false" customHeight="false" outlineLevel="0" collapsed="false"/>
    <row r="110" customFormat="false" ht="15" hidden="false" customHeight="false" outlineLevel="0" collapsed="false"/>
    <row r="111" customFormat="false" ht="15" hidden="false" customHeight="false" outlineLevel="0" collapsed="false"/>
    <row r="112" customFormat="false" ht="15" hidden="false" customHeight="false" outlineLevel="0" collapsed="false"/>
    <row r="113" customFormat="false" ht="15" hidden="false" customHeight="false" outlineLevel="0" collapsed="false"/>
    <row r="114" customFormat="false" ht="15" hidden="false" customHeight="false" outlineLevel="0" collapsed="false"/>
    <row r="115" customFormat="false" ht="15" hidden="false" customHeight="false" outlineLevel="0" collapsed="false"/>
    <row r="116" customFormat="false" ht="15" hidden="false" customHeight="false" outlineLevel="0" collapsed="false"/>
    <row r="117" customFormat="false" ht="15" hidden="false" customHeight="false" outlineLevel="0" collapsed="false"/>
    <row r="118" customFormat="false" ht="15" hidden="false" customHeight="false" outlineLevel="0" collapsed="false"/>
    <row r="119" customFormat="false" ht="15" hidden="false" customHeight="false" outlineLevel="0" collapsed="false"/>
    <row r="120" customFormat="false" ht="15" hidden="false" customHeight="false" outlineLevel="0" collapsed="false"/>
    <row r="121" customFormat="false" ht="15" hidden="false" customHeight="false" outlineLevel="0" collapsed="false"/>
    <row r="122" customFormat="false" ht="15" hidden="false" customHeight="false" outlineLevel="0" collapsed="false"/>
    <row r="123" customFormat="false" ht="15" hidden="false" customHeight="false" outlineLevel="0" collapsed="false"/>
    <row r="124" customFormat="false" ht="15" hidden="false" customHeight="false" outlineLevel="0" collapsed="false"/>
    <row r="125" customFormat="false" ht="15" hidden="false" customHeight="false" outlineLevel="0" collapsed="false"/>
    <row r="126" customFormat="false" ht="15" hidden="false" customHeight="false" outlineLevel="0" collapsed="false"/>
    <row r="127" customFormat="false" ht="15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3349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2025-05-05T16:38:05Z</dcterms:created>
  <dc:creator/>
  <dc:description/>
  <dc:language>es-AR</dc:language>
  <cp:lastModifiedBy/>
  <dcterms:modified xsi:type="dcterms:W3CDTF">2026-05-07T16:45:26Z</dcterms:modified>
  <cp:revision>87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